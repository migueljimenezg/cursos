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gue\Dropbox\UNAL\DERIVADOS FINANCIEROS\CLASES\Futuros\"/>
    </mc:Choice>
  </mc:AlternateContent>
  <xr:revisionPtr revIDLastSave="0" documentId="13_ncr:1_{68823D9C-C28E-4B59-AC33-BD13158D473F}" xr6:coauthVersionLast="45" xr6:coauthVersionMax="45" xr10:uidLastSave="{00000000-0000-0000-0000-000000000000}"/>
  <bookViews>
    <workbookView xWindow="-120" yWindow="-120" windowWidth="29040" windowHeight="15840" xr2:uid="{49894DDF-7A4E-4CA1-B361-16B2C13C2398}"/>
  </bookViews>
  <sheets>
    <sheet name="Margen en porcentaje" sheetId="1" r:id="rId1"/>
    <sheet name="Margen $ por contrat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5" i="2" l="1"/>
  <c r="C16" i="2"/>
  <c r="C17" i="2"/>
  <c r="B13" i="2"/>
  <c r="C14" i="2" s="1"/>
  <c r="B9" i="2"/>
  <c r="B8" i="2"/>
  <c r="E13" i="2" s="1"/>
  <c r="G12" i="1"/>
  <c r="H12" i="1"/>
  <c r="G13" i="1"/>
  <c r="H13" i="1"/>
  <c r="G14" i="1"/>
  <c r="H14" i="1"/>
  <c r="G15" i="1"/>
  <c r="H15" i="1"/>
  <c r="C13" i="1"/>
  <c r="C14" i="1"/>
  <c r="C15" i="1"/>
  <c r="E11" i="1"/>
  <c r="B11" i="1"/>
  <c r="C12" i="1" s="1"/>
  <c r="D12" i="1" s="1"/>
  <c r="D13" i="1" l="1"/>
  <c r="D14" i="1" s="1"/>
  <c r="D15" i="1" s="1"/>
  <c r="E12" i="1"/>
  <c r="F12" i="1" s="1"/>
  <c r="E13" i="1" s="1"/>
  <c r="D14" i="2"/>
  <c r="D15" i="2" s="1"/>
  <c r="D16" i="2" s="1"/>
  <c r="D17" i="2" s="1"/>
  <c r="E14" i="2"/>
  <c r="F14" i="2" s="1"/>
  <c r="G11" i="1"/>
  <c r="H11" i="1"/>
  <c r="E15" i="2" l="1"/>
  <c r="F15" i="2" s="1"/>
  <c r="F13" i="1"/>
  <c r="E14" i="1" s="1"/>
  <c r="E16" i="2" l="1"/>
  <c r="F16" i="2" s="1"/>
  <c r="F14" i="1"/>
  <c r="E15" i="1" s="1"/>
  <c r="F15" i="1" s="1"/>
  <c r="E17" i="2" l="1"/>
  <c r="F17" i="2" s="1"/>
</calcChain>
</file>

<file path=xl/sharedStrings.xml><?xml version="1.0" encoding="utf-8"?>
<sst xmlns="http://schemas.openxmlformats.org/spreadsheetml/2006/main" count="40" uniqueCount="26">
  <si>
    <t>Tamaño del contrato</t>
  </si>
  <si>
    <t>Número de contratos</t>
  </si>
  <si>
    <t>Garantía</t>
  </si>
  <si>
    <t>Margen de mantenimiento</t>
  </si>
  <si>
    <t>Futuro TRM</t>
  </si>
  <si>
    <t>COP</t>
  </si>
  <si>
    <t>USD</t>
  </si>
  <si>
    <t>Sobre nominal</t>
  </si>
  <si>
    <t>Margen mantenimiento</t>
  </si>
  <si>
    <t>Día</t>
  </si>
  <si>
    <t>Ganancia o pérdida acumulada</t>
  </si>
  <si>
    <t>Llamado al margen</t>
  </si>
  <si>
    <t>Precio Futuro</t>
  </si>
  <si>
    <t>Compensación del día</t>
  </si>
  <si>
    <t>Saldo cuenta de margen</t>
  </si>
  <si>
    <t>Margen Mantenimiento del día</t>
  </si>
  <si>
    <t>Margen de garantía del día</t>
  </si>
  <si>
    <t>Posición en largo</t>
  </si>
  <si>
    <t>Futuro Petróleo Brent</t>
  </si>
  <si>
    <t>Barriles</t>
  </si>
  <si>
    <t>USD/contrato</t>
  </si>
  <si>
    <t>Margen de mantenimiento total</t>
  </si>
  <si>
    <t>Margen de garantía</t>
  </si>
  <si>
    <t>Margen de garantía total</t>
  </si>
  <si>
    <t>Posición en corto</t>
  </si>
  <si>
    <r>
      <t>F</t>
    </r>
    <r>
      <rPr>
        <vertAlign val="subscript"/>
        <sz val="11"/>
        <color rgb="FF000000"/>
        <rFont val="Tahoma"/>
        <family val="2"/>
      </rPr>
      <t>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</si>
</sst>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\ #,##0;[Red]\-&quot;$&quot;\ #,##0"/>
    <numFmt numFmtId="164" formatCode="&quot;$&quot;\ #,##0.0;[Red]\-&quot;$&quot;\ #,##0.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Tahoma"/>
      <family val="2"/>
    </font>
    <font>
      <sz val="11"/>
      <color theme="1"/>
      <name val="Tahoma"/>
      <family val="2"/>
    </font>
    <font>
      <sz val="11"/>
      <color rgb="FF000000"/>
      <name val="Tahoma"/>
      <family val="2"/>
    </font>
    <font>
      <vertAlign val="subscript"/>
      <sz val="11"/>
      <color rgb="FF000000"/>
      <name val="Tahoma"/>
      <family val="2"/>
    </font>
    <font>
      <sz val="9"/>
      <color rgb="FF000000"/>
      <name val="Tahoma"/>
      <family val="2"/>
    </font>
    <font>
      <sz val="8"/>
      <color rgb="FF000000"/>
      <name val="Tahoma"/>
      <family val="2"/>
    </font>
    <font>
      <sz val="9"/>
      <color theme="1"/>
      <name val="Tahoma"/>
      <family val="2"/>
    </font>
    <font>
      <b/>
      <sz val="9"/>
      <color rgb="FF000000"/>
      <name val="Tahoma"/>
      <family val="2"/>
    </font>
    <font>
      <sz val="11"/>
      <color theme="9" tint="-0.499984740745262"/>
      <name val="Tahoma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9">
    <xf numFmtId="0" fontId="0" fillId="0" borderId="0" xfId="0"/>
    <xf numFmtId="0" fontId="3" fillId="0" borderId="0" xfId="0" applyFont="1"/>
    <xf numFmtId="0" fontId="4" fillId="0" borderId="1" xfId="0" applyFont="1" applyBorder="1" applyAlignment="1">
      <alignment horizontal="center" vertical="center" wrapText="1" readingOrder="1"/>
    </xf>
    <xf numFmtId="6" fontId="3" fillId="0" borderId="1" xfId="0" applyNumberFormat="1" applyFont="1" applyBorder="1" applyAlignment="1">
      <alignment horizontal="center" vertical="center"/>
    </xf>
    <xf numFmtId="0" fontId="3" fillId="0" borderId="1" xfId="0" applyFont="1" applyBorder="1"/>
    <xf numFmtId="0" fontId="6" fillId="0" borderId="1" xfId="0" applyFont="1" applyBorder="1" applyAlignment="1">
      <alignment horizontal="center" vertical="center" wrapText="1" readingOrder="1"/>
    </xf>
    <xf numFmtId="0" fontId="7" fillId="0" borderId="0" xfId="0" applyFont="1" applyFill="1" applyBorder="1" applyAlignment="1">
      <alignment horizontal="center" vertical="center" wrapText="1" readingOrder="1"/>
    </xf>
    <xf numFmtId="6" fontId="8" fillId="0" borderId="1" xfId="0" applyNumberFormat="1" applyFont="1" applyBorder="1" applyAlignment="1">
      <alignment horizontal="center" vertical="center"/>
    </xf>
    <xf numFmtId="6" fontId="8" fillId="0" borderId="2" xfId="0" applyNumberFormat="1" applyFont="1" applyBorder="1" applyAlignment="1">
      <alignment horizontal="center" vertical="center"/>
    </xf>
    <xf numFmtId="6" fontId="8" fillId="0" borderId="5" xfId="0" applyNumberFormat="1" applyFont="1" applyBorder="1" applyAlignment="1">
      <alignment horizontal="center" vertical="center"/>
    </xf>
    <xf numFmtId="6" fontId="8" fillId="0" borderId="6" xfId="0" applyNumberFormat="1" applyFont="1" applyBorder="1" applyAlignment="1">
      <alignment horizontal="center" vertical="center"/>
    </xf>
    <xf numFmtId="6" fontId="8" fillId="0" borderId="7" xfId="0" applyNumberFormat="1" applyFont="1" applyBorder="1" applyAlignment="1">
      <alignment horizontal="center" vertical="center"/>
    </xf>
    <xf numFmtId="6" fontId="8" fillId="0" borderId="8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0" fontId="3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9" fillId="0" borderId="1" xfId="0" applyFont="1" applyBorder="1" applyAlignment="1">
      <alignment horizontal="center" vertical="center" wrapText="1" readingOrder="1"/>
    </xf>
    <xf numFmtId="0" fontId="9" fillId="0" borderId="1" xfId="0" applyFont="1" applyFill="1" applyBorder="1" applyAlignment="1">
      <alignment horizontal="center" vertical="center" wrapText="1" readingOrder="1"/>
    </xf>
    <xf numFmtId="0" fontId="9" fillId="0" borderId="2" xfId="0" applyFont="1" applyFill="1" applyBorder="1" applyAlignment="1">
      <alignment horizontal="center" vertical="center" wrapText="1" readingOrder="1"/>
    </xf>
    <xf numFmtId="0" fontId="9" fillId="0" borderId="3" xfId="0" applyFont="1" applyBorder="1" applyAlignment="1">
      <alignment horizontal="center" vertical="center" wrapText="1" readingOrder="1"/>
    </xf>
    <xf numFmtId="0" fontId="9" fillId="0" borderId="4" xfId="0" applyFont="1" applyBorder="1" applyAlignment="1">
      <alignment horizontal="center" vertical="center" wrapText="1" readingOrder="1"/>
    </xf>
    <xf numFmtId="3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0" xfId="1" applyNumberFormat="1" applyFont="1"/>
    <xf numFmtId="164" fontId="8" fillId="0" borderId="1" xfId="0" applyNumberFormat="1" applyFont="1" applyBorder="1" applyAlignment="1">
      <alignment horizontal="center" vertical="center"/>
    </xf>
    <xf numFmtId="0" fontId="10" fillId="0" borderId="0" xfId="0" applyFont="1"/>
    <xf numFmtId="0" fontId="10" fillId="0" borderId="0" xfId="0" applyFont="1" applyFill="1" applyBorder="1"/>
    <xf numFmtId="0" fontId="2" fillId="0" borderId="0" xfId="0" applyFont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3473A-DC8A-4E22-8F6C-C223863B1918}">
  <dimension ref="A1:L15"/>
  <sheetViews>
    <sheetView showGridLines="0" tabSelected="1" zoomScale="200" zoomScaleNormal="200" workbookViewId="0">
      <selection sqref="A1:C1"/>
    </sheetView>
  </sheetViews>
  <sheetFormatPr baseColWidth="10" defaultRowHeight="14.25" x14ac:dyDescent="0.2"/>
  <cols>
    <col min="1" max="1" width="21.28515625" style="1" customWidth="1"/>
    <col min="2" max="2" width="11.5703125" style="1" bestFit="1" customWidth="1"/>
    <col min="3" max="3" width="14" style="1" customWidth="1"/>
    <col min="4" max="4" width="15" style="1" customWidth="1"/>
    <col min="5" max="5" width="16.5703125" style="1" customWidth="1"/>
    <col min="6" max="6" width="13.85546875" style="1" customWidth="1"/>
    <col min="7" max="7" width="14.85546875" style="1" customWidth="1"/>
    <col min="8" max="8" width="16.5703125" style="1" customWidth="1"/>
    <col min="9" max="9" width="16.140625" style="1" customWidth="1"/>
    <col min="10" max="11" width="11.7109375" style="1" bestFit="1" customWidth="1"/>
    <col min="12" max="16384" width="11.42578125" style="1"/>
  </cols>
  <sheetData>
    <row r="1" spans="1:12" x14ac:dyDescent="0.2">
      <c r="A1" s="28" t="s">
        <v>4</v>
      </c>
      <c r="B1" s="28"/>
      <c r="C1" s="28"/>
    </row>
    <row r="2" spans="1:12" ht="18" customHeight="1" x14ac:dyDescent="0.2">
      <c r="A2" s="2" t="s">
        <v>25</v>
      </c>
      <c r="B2" s="3">
        <v>3400</v>
      </c>
      <c r="C2" s="1" t="s">
        <v>5</v>
      </c>
    </row>
    <row r="3" spans="1:12" ht="18" customHeight="1" x14ac:dyDescent="0.2">
      <c r="A3" s="4" t="s">
        <v>0</v>
      </c>
      <c r="B3" s="13">
        <v>50000</v>
      </c>
      <c r="C3" s="1" t="s">
        <v>6</v>
      </c>
    </row>
    <row r="4" spans="1:12" ht="18" customHeight="1" x14ac:dyDescent="0.2">
      <c r="A4" s="4" t="s">
        <v>1</v>
      </c>
      <c r="B4" s="14">
        <v>3</v>
      </c>
    </row>
    <row r="5" spans="1:12" ht="18" customHeight="1" x14ac:dyDescent="0.2">
      <c r="A5" s="4" t="s">
        <v>2</v>
      </c>
      <c r="B5" s="15">
        <v>5.2999999999999999E-2</v>
      </c>
      <c r="C5" s="1" t="s">
        <v>7</v>
      </c>
    </row>
    <row r="6" spans="1:12" ht="18" customHeight="1" x14ac:dyDescent="0.2">
      <c r="A6" s="4" t="s">
        <v>8</v>
      </c>
      <c r="B6" s="15">
        <v>3.9800000000000002E-2</v>
      </c>
      <c r="C6" s="1" t="s">
        <v>7</v>
      </c>
    </row>
    <row r="7" spans="1:12" ht="18" customHeight="1" x14ac:dyDescent="0.2">
      <c r="A7" s="26" t="s">
        <v>17</v>
      </c>
      <c r="B7" s="16"/>
    </row>
    <row r="9" spans="1:12" ht="15" thickBot="1" x14ac:dyDescent="0.25"/>
    <row r="10" spans="1:12" ht="33.75" x14ac:dyDescent="0.2">
      <c r="A10" s="17" t="s">
        <v>9</v>
      </c>
      <c r="B10" s="17" t="s">
        <v>12</v>
      </c>
      <c r="C10" s="17" t="s">
        <v>13</v>
      </c>
      <c r="D10" s="18" t="s">
        <v>10</v>
      </c>
      <c r="E10" s="18" t="s">
        <v>14</v>
      </c>
      <c r="F10" s="19" t="s">
        <v>11</v>
      </c>
      <c r="G10" s="21" t="s">
        <v>16</v>
      </c>
      <c r="H10" s="20" t="s">
        <v>15</v>
      </c>
      <c r="L10" s="6"/>
    </row>
    <row r="11" spans="1:12" ht="16.5" customHeight="1" x14ac:dyDescent="0.2">
      <c r="A11" s="5">
        <v>0</v>
      </c>
      <c r="B11" s="7">
        <f>+B2</f>
        <v>3400</v>
      </c>
      <c r="C11" s="7"/>
      <c r="D11" s="7"/>
      <c r="E11" s="7">
        <f>+B2*B3*B4*B5</f>
        <v>27030000</v>
      </c>
      <c r="F11" s="8"/>
      <c r="G11" s="9">
        <f>+B11*$B$3*$B$4*$B$5</f>
        <v>27030000</v>
      </c>
      <c r="H11" s="10">
        <f>+B11*$B$3*$B$4*$B$6</f>
        <v>20298000</v>
      </c>
    </row>
    <row r="12" spans="1:12" ht="16.5" customHeight="1" x14ac:dyDescent="0.2">
      <c r="A12" s="5">
        <v>1</v>
      </c>
      <c r="B12" s="7">
        <v>3420</v>
      </c>
      <c r="C12" s="7">
        <f>+(B12-B11)*$B$3*$B$4</f>
        <v>3000000</v>
      </c>
      <c r="D12" s="7">
        <f>+C12+D11</f>
        <v>3000000</v>
      </c>
      <c r="E12" s="7">
        <f>+E11+C12+F11</f>
        <v>30030000</v>
      </c>
      <c r="F12" s="8">
        <f>+IF(E12&lt;H12,G12-E12,0)</f>
        <v>0</v>
      </c>
      <c r="G12" s="9">
        <f t="shared" ref="G12:G15" si="0">+B12*$B$3*$B$4*$B$5</f>
        <v>27189000</v>
      </c>
      <c r="H12" s="10">
        <f t="shared" ref="H12:H15" si="1">+B12*$B$3*$B$4*$B$6</f>
        <v>20417400</v>
      </c>
    </row>
    <row r="13" spans="1:12" ht="16.5" customHeight="1" x14ac:dyDescent="0.2">
      <c r="A13" s="5">
        <v>2</v>
      </c>
      <c r="B13" s="7">
        <v>3400</v>
      </c>
      <c r="C13" s="7">
        <f t="shared" ref="C13:C15" si="2">+(B13-B12)*$B$3*$B$4</f>
        <v>-3000000</v>
      </c>
      <c r="D13" s="7">
        <f>+D12+C13</f>
        <v>0</v>
      </c>
      <c r="E13" s="7">
        <f t="shared" ref="E13:E15" si="3">+E12+C13+F12</f>
        <v>27030000</v>
      </c>
      <c r="F13" s="8">
        <f t="shared" ref="F13:F15" si="4">+IF(E13&lt;H13,G13-E13,0)</f>
        <v>0</v>
      </c>
      <c r="G13" s="9">
        <f t="shared" si="0"/>
        <v>27030000</v>
      </c>
      <c r="H13" s="10">
        <f t="shared" si="1"/>
        <v>20298000</v>
      </c>
    </row>
    <row r="14" spans="1:12" ht="16.5" customHeight="1" x14ac:dyDescent="0.2">
      <c r="A14" s="5">
        <v>3</v>
      </c>
      <c r="B14" s="7">
        <v>3300</v>
      </c>
      <c r="C14" s="7">
        <f t="shared" si="2"/>
        <v>-15000000</v>
      </c>
      <c r="D14" s="7">
        <f t="shared" ref="D14:D15" si="5">+D13+C14</f>
        <v>-15000000</v>
      </c>
      <c r="E14" s="7">
        <f t="shared" si="3"/>
        <v>12030000</v>
      </c>
      <c r="F14" s="8">
        <f t="shared" si="4"/>
        <v>14205000</v>
      </c>
      <c r="G14" s="9">
        <f t="shared" si="0"/>
        <v>26235000</v>
      </c>
      <c r="H14" s="10">
        <f t="shared" si="1"/>
        <v>19701000</v>
      </c>
    </row>
    <row r="15" spans="1:12" ht="16.5" customHeight="1" thickBot="1" x14ac:dyDescent="0.25">
      <c r="A15" s="5">
        <v>4</v>
      </c>
      <c r="B15" s="7">
        <v>3385</v>
      </c>
      <c r="C15" s="7">
        <f t="shared" si="2"/>
        <v>12750000</v>
      </c>
      <c r="D15" s="7">
        <f t="shared" si="5"/>
        <v>-2250000</v>
      </c>
      <c r="E15" s="7">
        <f t="shared" si="3"/>
        <v>38985000</v>
      </c>
      <c r="F15" s="8">
        <f t="shared" si="4"/>
        <v>0</v>
      </c>
      <c r="G15" s="11">
        <f t="shared" si="0"/>
        <v>26910750</v>
      </c>
      <c r="H15" s="12">
        <f t="shared" si="1"/>
        <v>20208450</v>
      </c>
    </row>
  </sheetData>
  <mergeCells count="1">
    <mergeCell ref="A1:C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0F929-7338-4354-8683-A1F864ADA1B7}">
  <dimension ref="A1:F17"/>
  <sheetViews>
    <sheetView showGridLines="0" zoomScale="200" zoomScaleNormal="200" workbookViewId="0">
      <selection sqref="A1:C1"/>
    </sheetView>
  </sheetViews>
  <sheetFormatPr baseColWidth="10" defaultRowHeight="14.25" x14ac:dyDescent="0.2"/>
  <cols>
    <col min="1" max="1" width="31.7109375" style="1" customWidth="1"/>
    <col min="2" max="2" width="12.140625" style="1" customWidth="1"/>
    <col min="3" max="6" width="17.7109375" style="1" customWidth="1"/>
    <col min="7" max="7" width="11.7109375" style="1" bestFit="1" customWidth="1"/>
    <col min="8" max="8" width="14.5703125" style="1" bestFit="1" customWidth="1"/>
    <col min="9" max="16384" width="11.42578125" style="1"/>
  </cols>
  <sheetData>
    <row r="1" spans="1:6" x14ac:dyDescent="0.2">
      <c r="A1" s="28" t="s">
        <v>18</v>
      </c>
      <c r="B1" s="28"/>
      <c r="C1" s="28"/>
    </row>
    <row r="2" spans="1:6" ht="15.75" customHeight="1" x14ac:dyDescent="0.2">
      <c r="A2" s="2" t="s">
        <v>25</v>
      </c>
      <c r="B2" s="3">
        <v>62</v>
      </c>
      <c r="C2" s="1" t="s">
        <v>6</v>
      </c>
    </row>
    <row r="3" spans="1:6" ht="15.75" customHeight="1" x14ac:dyDescent="0.2">
      <c r="A3" s="4" t="s">
        <v>0</v>
      </c>
      <c r="B3" s="22">
        <v>1000</v>
      </c>
      <c r="C3" s="1" t="s">
        <v>19</v>
      </c>
    </row>
    <row r="4" spans="1:6" ht="15.75" customHeight="1" x14ac:dyDescent="0.2">
      <c r="A4" s="4" t="s">
        <v>1</v>
      </c>
      <c r="B4" s="23">
        <v>30</v>
      </c>
    </row>
    <row r="5" spans="1:6" ht="15.75" customHeight="1" x14ac:dyDescent="0.2">
      <c r="A5" s="4" t="s">
        <v>22</v>
      </c>
      <c r="B5" s="3">
        <v>5335</v>
      </c>
      <c r="C5" s="1" t="s">
        <v>20</v>
      </c>
    </row>
    <row r="6" spans="1:6" ht="15.75" customHeight="1" x14ac:dyDescent="0.2">
      <c r="A6" s="4" t="s">
        <v>3</v>
      </c>
      <c r="B6" s="3">
        <v>4850</v>
      </c>
      <c r="C6" s="1" t="s">
        <v>20</v>
      </c>
      <c r="E6" s="24"/>
    </row>
    <row r="7" spans="1:6" ht="15.75" customHeight="1" x14ac:dyDescent="0.2"/>
    <row r="8" spans="1:6" ht="15.75" customHeight="1" x14ac:dyDescent="0.2">
      <c r="A8" s="4" t="s">
        <v>23</v>
      </c>
      <c r="B8" s="3">
        <f>+B5*B4</f>
        <v>160050</v>
      </c>
      <c r="C8" s="1" t="s">
        <v>6</v>
      </c>
    </row>
    <row r="9" spans="1:6" ht="15.75" customHeight="1" x14ac:dyDescent="0.2">
      <c r="A9" s="4" t="s">
        <v>21</v>
      </c>
      <c r="B9" s="3">
        <f>+B6*B4</f>
        <v>145500</v>
      </c>
      <c r="C9" s="1" t="s">
        <v>6</v>
      </c>
    </row>
    <row r="10" spans="1:6" ht="15.75" customHeight="1" x14ac:dyDescent="0.2">
      <c r="A10" s="27" t="s">
        <v>24</v>
      </c>
    </row>
    <row r="12" spans="1:6" ht="22.5" x14ac:dyDescent="0.2">
      <c r="A12" s="17" t="s">
        <v>9</v>
      </c>
      <c r="B12" s="17" t="s">
        <v>12</v>
      </c>
      <c r="C12" s="17" t="s">
        <v>13</v>
      </c>
      <c r="D12" s="18" t="s">
        <v>10</v>
      </c>
      <c r="E12" s="18" t="s">
        <v>14</v>
      </c>
      <c r="F12" s="18" t="s">
        <v>11</v>
      </c>
    </row>
    <row r="13" spans="1:6" x14ac:dyDescent="0.2">
      <c r="A13" s="5">
        <v>0</v>
      </c>
      <c r="B13" s="25">
        <f>+B2</f>
        <v>62</v>
      </c>
      <c r="C13" s="7"/>
      <c r="D13" s="7"/>
      <c r="E13" s="7">
        <f>+B8</f>
        <v>160050</v>
      </c>
      <c r="F13" s="7"/>
    </row>
    <row r="14" spans="1:6" x14ac:dyDescent="0.2">
      <c r="A14" s="5">
        <v>1</v>
      </c>
      <c r="B14" s="25">
        <v>62.1</v>
      </c>
      <c r="C14" s="7">
        <f>+(B13-B14)*$B$3*$B$4</f>
        <v>-3000.0000000000427</v>
      </c>
      <c r="D14" s="7">
        <f>+C14+D13</f>
        <v>-3000.0000000000427</v>
      </c>
      <c r="E14" s="7">
        <f>+E13+C14+F13</f>
        <v>157049.99999999997</v>
      </c>
      <c r="F14" s="7">
        <f>+IF(E14&lt;$B$9,$B$8-E14,0)</f>
        <v>0</v>
      </c>
    </row>
    <row r="15" spans="1:6" x14ac:dyDescent="0.2">
      <c r="A15" s="5">
        <v>2</v>
      </c>
      <c r="B15" s="25">
        <v>62.5</v>
      </c>
      <c r="C15" s="7">
        <f t="shared" ref="C15:C17" si="0">+(B14-B15)*$B$3*$B$4</f>
        <v>-11999.999999999958</v>
      </c>
      <c r="D15" s="7">
        <f>+D14+C15</f>
        <v>-15000</v>
      </c>
      <c r="E15" s="7">
        <f t="shared" ref="E15:E17" si="1">+E14+C15+F14</f>
        <v>145050</v>
      </c>
      <c r="F15" s="7">
        <f t="shared" ref="F15:F17" si="2">+IF(E15&lt;$B$9,$B$8-E15,0)</f>
        <v>15000</v>
      </c>
    </row>
    <row r="16" spans="1:6" x14ac:dyDescent="0.2">
      <c r="A16" s="5">
        <v>3</v>
      </c>
      <c r="B16" s="25">
        <v>62.1</v>
      </c>
      <c r="C16" s="7">
        <f t="shared" si="0"/>
        <v>11999.999999999958</v>
      </c>
      <c r="D16" s="7">
        <f t="shared" ref="D16:D17" si="3">+D15+C16</f>
        <v>-3000.0000000000418</v>
      </c>
      <c r="E16" s="7">
        <f t="shared" si="1"/>
        <v>172049.99999999997</v>
      </c>
      <c r="F16" s="7">
        <f t="shared" si="2"/>
        <v>0</v>
      </c>
    </row>
    <row r="17" spans="1:6" x14ac:dyDescent="0.2">
      <c r="A17" s="5">
        <v>4</v>
      </c>
      <c r="B17" s="25">
        <v>58</v>
      </c>
      <c r="C17" s="7">
        <f t="shared" si="0"/>
        <v>123000.00000000006</v>
      </c>
      <c r="D17" s="7">
        <f t="shared" si="3"/>
        <v>120000.00000000001</v>
      </c>
      <c r="E17" s="7">
        <f t="shared" si="1"/>
        <v>295050</v>
      </c>
      <c r="F17" s="7">
        <f t="shared" si="2"/>
        <v>0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Margen en porcentaje</vt:lpstr>
      <vt:lpstr>Margen $ por contrato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JIMÉNEZ</dc:creator>
  <cp:lastModifiedBy>MIGUEL JIMÉNEZ</cp:lastModifiedBy>
  <dcterms:created xsi:type="dcterms:W3CDTF">2019-11-19T03:27:04Z</dcterms:created>
  <dcterms:modified xsi:type="dcterms:W3CDTF">2020-10-08T18:00:35Z</dcterms:modified>
</cp:coreProperties>
</file>