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DERIVADOS FINANCIEROS\CLASES\Futuros\"/>
    </mc:Choice>
  </mc:AlternateContent>
  <xr:revisionPtr revIDLastSave="0" documentId="13_ncr:1_{DE385DAE-250B-4036-B2F9-B596DC388E72}" xr6:coauthVersionLast="45" xr6:coauthVersionMax="45" xr10:uidLastSave="{00000000-0000-0000-0000-000000000000}"/>
  <bookViews>
    <workbookView xWindow="-120" yWindow="-120" windowWidth="29040" windowHeight="15840" tabRatio="864" xr2:uid="{4D54FE90-19E0-4DD1-A95D-1A44F40A4508}"/>
  </bookViews>
  <sheets>
    <sheet name="Rentabilidad Futuros" sheetId="1" r:id="rId1"/>
    <sheet name="Precio cobertura" sheetId="2" r:id="rId2"/>
    <sheet name="Cuenta de Margen" sheetId="3" r:id="rId3"/>
    <sheet name="Cobertura portafolios" sheetId="4" r:id="rId4"/>
    <sheet name="Futuros CME" sheetId="5" r:id="rId5"/>
    <sheet name="Futuro CO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20" i="7" l="1"/>
  <c r="B16" i="7" l="1"/>
  <c r="B14" i="7"/>
  <c r="B16" i="5"/>
  <c r="B19" i="3" l="1"/>
  <c r="B20" i="3" s="1"/>
  <c r="B30" i="2"/>
  <c r="B29" i="2"/>
  <c r="B19" i="2"/>
  <c r="C23" i="2" s="1"/>
  <c r="B33" i="2" s="1"/>
  <c r="B34" i="2" s="1"/>
  <c r="C22" i="2" l="1"/>
  <c r="B31" i="2" s="1"/>
  <c r="B32" i="2" s="1"/>
  <c r="B21" i="3"/>
  <c r="B22" i="3" s="1"/>
  <c r="B19" i="4"/>
  <c r="B27" i="7"/>
  <c r="B28" i="7" s="1"/>
  <c r="B12" i="1"/>
  <c r="B14" i="1" s="1"/>
  <c r="B35" i="2" l="1"/>
  <c r="B37" i="2" s="1"/>
  <c r="B25" i="7"/>
  <c r="B26" i="7" s="1"/>
  <c r="B29" i="7" s="1"/>
  <c r="B32" i="7" s="1"/>
  <c r="B31" i="7"/>
</calcChain>
</file>

<file path=xl/sharedStrings.xml><?xml version="1.0" encoding="utf-8"?>
<sst xmlns="http://schemas.openxmlformats.org/spreadsheetml/2006/main" count="87" uniqueCount="66">
  <si>
    <t>Posición</t>
  </si>
  <si>
    <t>Largo</t>
  </si>
  <si>
    <t>Tamaño contrato</t>
  </si>
  <si>
    <t>USD</t>
  </si>
  <si>
    <t>Nominal</t>
  </si>
  <si>
    <t>Garantía</t>
  </si>
  <si>
    <t>sobre nominal</t>
  </si>
  <si>
    <t>Compensación</t>
  </si>
  <si>
    <t>Rentabilidad</t>
  </si>
  <si>
    <t>Futuro COLCAP</t>
  </si>
  <si>
    <t>COP x precio</t>
  </si>
  <si>
    <t>1 contrato</t>
  </si>
  <si>
    <t>Corto</t>
  </si>
  <si>
    <t>Comisión fija</t>
  </si>
  <si>
    <t>Comisión variable</t>
  </si>
  <si>
    <t>Comisión de entrada</t>
  </si>
  <si>
    <t>IVA (19% de la comisión)</t>
  </si>
  <si>
    <t>Comisión de salida</t>
  </si>
  <si>
    <t>Calcule la rentabilidad de la siguiente operación bursátil:
Se abre posición en largo en el Futuro TRM pagando el 5,30% de garantía sobre el nominal. Al cerrar posición, el precio del Futuro subió un 1%.</t>
  </si>
  <si>
    <t>Nivel de apalancamiento</t>
  </si>
  <si>
    <t>Movimiento precio</t>
  </si>
  <si>
    <t>Cobertura en Corto Futuro TRS</t>
  </si>
  <si>
    <t>Qsuby</t>
  </si>
  <si>
    <t>Razón cobetura</t>
  </si>
  <si>
    <t>Qfuturos</t>
  </si>
  <si>
    <t>Ventas al spot</t>
  </si>
  <si>
    <t>Comisión</t>
  </si>
  <si>
    <t>Comisión inicial</t>
  </si>
  <si>
    <t>IVA</t>
  </si>
  <si>
    <t>sobre comisión</t>
  </si>
  <si>
    <t>IVA inicial</t>
  </si>
  <si>
    <t>Comisión final</t>
  </si>
  <si>
    <t>IVA final</t>
  </si>
  <si>
    <t>TOTAL</t>
  </si>
  <si>
    <t>Precio cobertura</t>
  </si>
  <si>
    <t>Después de costos de transacción</t>
  </si>
  <si>
    <t>Un exportador cubrirá el 80% de los dólares que recibirá de la venta de una mercancía al extranjero con Futuros TRS. La mercancía fue vendida en 250.000 USD y el pago se realizará dentro de dos meses. Actualmente los Futuros TRS tienen un precio de $3.450. Si al cerrar la operación del Futuro el precio baja a $3.300 y la TRM a $3.280, ¿cuál sería el precio con cobertura después de costos de transacción para el exportador?
La Comisionista de Bolsa cobra por cada transacción el 0,15% del nominal y se debe pagar IVA del 19% sobre el valor de la comisión.</t>
  </si>
  <si>
    <t>Futuro ECO</t>
  </si>
  <si>
    <t>Número de contratos</t>
  </si>
  <si>
    <t>Tamaño del contrato</t>
  </si>
  <si>
    <t>acciones</t>
  </si>
  <si>
    <t>Posición en corto</t>
  </si>
  <si>
    <t>CM inicial</t>
  </si>
  <si>
    <t>CM final</t>
  </si>
  <si>
    <t xml:space="preserve">Un inversionista abrió posición en corto en el Futuro ECO en 12 contratos. El precio Futuro inicial fue de $3.200. El día de hoy el precio del Futuro cerró en $3.250. ¿Cuánto dinero hay en la Cuenta de Margen?
La garantía para los Futuros ECO es de 12,90% sobre el nominal.
</t>
  </si>
  <si>
    <t>VP</t>
  </si>
  <si>
    <t>Beta portafolio</t>
  </si>
  <si>
    <t>Beta objetivo</t>
  </si>
  <si>
    <t>Precio Futuro</t>
  </si>
  <si>
    <t>VF</t>
  </si>
  <si>
    <t>N*</t>
  </si>
  <si>
    <t>Un portafolio de inversión del mercado colombiano está valorado en 800 millones de pesos y tiene un coeficiente Beta de 1,9 con respecto al índice COLCAP. El administrador del portafolio quiere disminuir el Beta a 1,0 por dos meses por medio de los Futuros COL. El precio actual del Futuro es de 1.600 y el tamaño del contrato es de $25.000 por el precio.
¿Cuál es el número de contratos óptimo para realizar la cobertura que quiere hacer el administrador del portafolio?</t>
  </si>
  <si>
    <t>Futuro E-Mini S&amp;P 500</t>
  </si>
  <si>
    <t>USD por precio</t>
  </si>
  <si>
    <t>Posición en largo</t>
  </si>
  <si>
    <t>Calcule la compensación de la siguiente operación bursátil:
Posición en largo en el Futuro E-Mini S&amp;P 500 en cinco contratos. Precio Futuro inicial de 3.200 y precio Futuro final de 3.220.</t>
  </si>
  <si>
    <t>Futuro COS</t>
  </si>
  <si>
    <t>Se tomó posición en corto en el Futuro COS a un precio Futuro de 1.562,5 en un solo contrato. La operación se cerró a un precio Futuro de 1.550. La garantía exigida fue de 6,40% sobre el nominal. La Comisionista de Bolsa cobró por cada transacción una comisión fija de $15.000 más una comisión variable de 0,30% sobre el nominal y se pagó de IVA el 19% de la comisión.
¿Cuál fue la rentabilidad de la operación después de costos de transacción?</t>
  </si>
  <si>
    <t>Futuro TRM</t>
  </si>
  <si>
    <r>
      <t>F</t>
    </r>
    <r>
      <rPr>
        <vertAlign val="subscript"/>
        <sz val="11"/>
        <color theme="1"/>
        <rFont val="Tahoma"/>
        <family val="2"/>
      </rPr>
      <t>0</t>
    </r>
  </si>
  <si>
    <r>
      <t>F</t>
    </r>
    <r>
      <rPr>
        <vertAlign val="subscript"/>
        <sz val="11"/>
        <color theme="1"/>
        <rFont val="Tahoma"/>
        <family val="2"/>
      </rPr>
      <t>T</t>
    </r>
  </si>
  <si>
    <r>
      <t>S</t>
    </r>
    <r>
      <rPr>
        <vertAlign val="subscript"/>
        <sz val="11"/>
        <color theme="1"/>
        <rFont val="Tahoma"/>
        <family val="2"/>
      </rPr>
      <t>T</t>
    </r>
  </si>
  <si>
    <r>
      <t>Q</t>
    </r>
    <r>
      <rPr>
        <vertAlign val="subscript"/>
        <sz val="11"/>
        <color theme="1"/>
        <rFont val="Tahoma"/>
        <family val="2"/>
      </rPr>
      <t>futuros</t>
    </r>
  </si>
  <si>
    <t>Total CT</t>
  </si>
  <si>
    <t>Rentabilidad antes de CT</t>
  </si>
  <si>
    <t>Rentabilidad después de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</si>
</sst>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8" formatCode="&quot;$&quot;\ #,##0.00;[Red]\-&quot;$&quot;\ #,##0.00"/>
    <numFmt numFmtId="164" formatCode="&quot;$&quot;#,##0;[Red]\-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vertAlign val="subscript"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2" borderId="0" xfId="0" applyFont="1" applyFill="1"/>
    <xf numFmtId="10" fontId="2" fillId="2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6" fontId="2" fillId="0" borderId="0" xfId="0" applyNumberFormat="1" applyFont="1"/>
    <xf numFmtId="6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6" fontId="2" fillId="2" borderId="0" xfId="0" applyNumberFormat="1" applyFont="1" applyFill="1" applyAlignment="1">
      <alignment horizontal="center" vertical="center"/>
    </xf>
    <xf numFmtId="1" fontId="2" fillId="0" borderId="0" xfId="0" applyNumberFormat="1" applyFont="1"/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2" fillId="0" borderId="0" xfId="1" applyNumberFormat="1" applyFont="1"/>
    <xf numFmtId="10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1CB5-C3C9-4274-92DB-89C64FCB5849}">
  <dimension ref="A1:D14"/>
  <sheetViews>
    <sheetView showGridLines="0" tabSelected="1" zoomScale="175" zoomScaleNormal="175" workbookViewId="0">
      <selection sqref="A1:D8"/>
    </sheetView>
  </sheetViews>
  <sheetFormatPr baseColWidth="10" defaultRowHeight="14.25" x14ac:dyDescent="0.2"/>
  <cols>
    <col min="1" max="1" width="24.28515625" style="2" bestFit="1" customWidth="1"/>
    <col min="2" max="2" width="12.28515625" style="2" bestFit="1" customWidth="1"/>
    <col min="3" max="16384" width="11.42578125" style="2"/>
  </cols>
  <sheetData>
    <row r="1" spans="1:4" ht="15" customHeight="1" x14ac:dyDescent="0.2">
      <c r="A1" s="1" t="s">
        <v>18</v>
      </c>
      <c r="B1" s="1"/>
      <c r="C1" s="1"/>
      <c r="D1" s="1"/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4" t="s">
        <v>58</v>
      </c>
      <c r="B9" s="4"/>
      <c r="C9" s="4"/>
    </row>
    <row r="10" spans="1:4" x14ac:dyDescent="0.2">
      <c r="A10" s="2" t="s">
        <v>0</v>
      </c>
      <c r="B10" s="2" t="s">
        <v>1</v>
      </c>
    </row>
    <row r="11" spans="1:4" x14ac:dyDescent="0.2">
      <c r="A11" s="2" t="s">
        <v>5</v>
      </c>
      <c r="B11" s="5">
        <v>5.2999999999999999E-2</v>
      </c>
      <c r="C11" s="2" t="s">
        <v>6</v>
      </c>
    </row>
    <row r="12" spans="1:4" x14ac:dyDescent="0.2">
      <c r="A12" s="2" t="s">
        <v>19</v>
      </c>
      <c r="B12" s="6">
        <f>1/B11</f>
        <v>18.867924528301888</v>
      </c>
    </row>
    <row r="13" spans="1:4" x14ac:dyDescent="0.2">
      <c r="A13" s="2" t="s">
        <v>20</v>
      </c>
      <c r="B13" s="7">
        <v>0.01</v>
      </c>
    </row>
    <row r="14" spans="1:4" x14ac:dyDescent="0.2">
      <c r="A14" s="8" t="s">
        <v>8</v>
      </c>
      <c r="B14" s="9">
        <f>+B13*B12</f>
        <v>0.18867924528301888</v>
      </c>
    </row>
  </sheetData>
  <mergeCells count="2">
    <mergeCell ref="A1:D8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66ED-5674-43E2-8E89-9168A166D299}">
  <dimension ref="A1:D38"/>
  <sheetViews>
    <sheetView showGridLines="0" zoomScale="175" zoomScaleNormal="175" workbookViewId="0">
      <selection sqref="A1:D12"/>
    </sheetView>
  </sheetViews>
  <sheetFormatPr baseColWidth="10" defaultRowHeight="14.25" x14ac:dyDescent="0.2"/>
  <cols>
    <col min="1" max="1" width="16.5703125" style="2" customWidth="1"/>
    <col min="2" max="2" width="15.5703125" style="2" bestFit="1" customWidth="1"/>
    <col min="3" max="4" width="14.5703125" style="2" bestFit="1" customWidth="1"/>
    <col min="5" max="16384" width="11.42578125" style="2"/>
  </cols>
  <sheetData>
    <row r="1" spans="1:4" ht="15" customHeight="1" x14ac:dyDescent="0.2">
      <c r="A1" s="1" t="s">
        <v>36</v>
      </c>
      <c r="B1" s="1"/>
      <c r="C1" s="1"/>
      <c r="D1" s="1"/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0"/>
      <c r="B13" s="10"/>
      <c r="C13" s="10"/>
      <c r="D13" s="10"/>
    </row>
    <row r="15" spans="1:4" x14ac:dyDescent="0.2">
      <c r="A15" s="4" t="s">
        <v>21</v>
      </c>
      <c r="B15" s="4"/>
      <c r="C15" s="4"/>
      <c r="D15" s="4"/>
    </row>
    <row r="17" spans="1:4" x14ac:dyDescent="0.2">
      <c r="A17" s="2" t="s">
        <v>22</v>
      </c>
      <c r="B17" s="13">
        <v>250000</v>
      </c>
      <c r="C17" s="2" t="s">
        <v>3</v>
      </c>
    </row>
    <row r="18" spans="1:4" x14ac:dyDescent="0.2">
      <c r="A18" s="2" t="s">
        <v>23</v>
      </c>
      <c r="B18" s="7">
        <v>0.8</v>
      </c>
    </row>
    <row r="19" spans="1:4" x14ac:dyDescent="0.2">
      <c r="A19" s="2" t="s">
        <v>24</v>
      </c>
      <c r="B19" s="13">
        <f>+B18*B17</f>
        <v>200000</v>
      </c>
      <c r="C19" s="2" t="s">
        <v>3</v>
      </c>
    </row>
    <row r="20" spans="1:4" x14ac:dyDescent="0.2">
      <c r="B20" s="13"/>
    </row>
    <row r="21" spans="1:4" x14ac:dyDescent="0.2">
      <c r="B21" s="5"/>
      <c r="C21" s="16" t="s">
        <v>4</v>
      </c>
    </row>
    <row r="22" spans="1:4" ht="17.25" x14ac:dyDescent="0.3">
      <c r="A22" s="2" t="s">
        <v>59</v>
      </c>
      <c r="B22" s="12">
        <v>3450</v>
      </c>
      <c r="C22" s="11">
        <f>+B22*B19</f>
        <v>690000000</v>
      </c>
    </row>
    <row r="23" spans="1:4" ht="17.25" x14ac:dyDescent="0.3">
      <c r="A23" s="2" t="s">
        <v>60</v>
      </c>
      <c r="B23" s="12">
        <v>3300</v>
      </c>
      <c r="C23" s="11">
        <f>+B23*B19</f>
        <v>660000000</v>
      </c>
    </row>
    <row r="24" spans="1:4" ht="17.25" x14ac:dyDescent="0.3">
      <c r="A24" s="2" t="s">
        <v>61</v>
      </c>
      <c r="B24" s="12">
        <v>3280</v>
      </c>
    </row>
    <row r="25" spans="1:4" x14ac:dyDescent="0.2">
      <c r="B25" s="11"/>
    </row>
    <row r="26" spans="1:4" x14ac:dyDescent="0.2">
      <c r="A26" s="2" t="s">
        <v>26</v>
      </c>
      <c r="B26" s="5">
        <v>1.5E-3</v>
      </c>
      <c r="C26" s="2" t="s">
        <v>6</v>
      </c>
    </row>
    <row r="27" spans="1:4" x14ac:dyDescent="0.2">
      <c r="A27" s="2" t="s">
        <v>28</v>
      </c>
      <c r="B27" s="7">
        <v>0.19</v>
      </c>
      <c r="C27" s="2" t="s">
        <v>29</v>
      </c>
    </row>
    <row r="29" spans="1:4" x14ac:dyDescent="0.2">
      <c r="A29" s="2" t="s">
        <v>25</v>
      </c>
      <c r="B29" s="12">
        <f>+B24*B17</f>
        <v>820000000</v>
      </c>
      <c r="C29" s="12"/>
    </row>
    <row r="30" spans="1:4" x14ac:dyDescent="0.2">
      <c r="A30" s="2" t="s">
        <v>7</v>
      </c>
      <c r="B30" s="12">
        <f>+(B22-B23)*B19</f>
        <v>30000000</v>
      </c>
      <c r="C30" s="12"/>
      <c r="D30" s="11"/>
    </row>
    <row r="31" spans="1:4" x14ac:dyDescent="0.2">
      <c r="A31" s="2" t="s">
        <v>27</v>
      </c>
      <c r="B31" s="12">
        <f>+$B$26*C22</f>
        <v>1035000</v>
      </c>
      <c r="C31" s="12"/>
      <c r="D31" s="3"/>
    </row>
    <row r="32" spans="1:4" x14ac:dyDescent="0.2">
      <c r="A32" s="2" t="s">
        <v>30</v>
      </c>
      <c r="B32" s="12">
        <f>+B31*$B$27</f>
        <v>196650</v>
      </c>
      <c r="C32" s="12"/>
    </row>
    <row r="33" spans="1:3" x14ac:dyDescent="0.2">
      <c r="A33" s="2" t="s">
        <v>31</v>
      </c>
      <c r="B33" s="12">
        <f>+$B$26*C23</f>
        <v>990000</v>
      </c>
      <c r="C33" s="12"/>
    </row>
    <row r="34" spans="1:3" x14ac:dyDescent="0.2">
      <c r="A34" s="2" t="s">
        <v>32</v>
      </c>
      <c r="B34" s="12">
        <f>+B33*$B$27</f>
        <v>188100</v>
      </c>
      <c r="C34" s="12"/>
    </row>
    <row r="35" spans="1:3" x14ac:dyDescent="0.2">
      <c r="A35" s="2" t="s">
        <v>33</v>
      </c>
      <c r="B35" s="12">
        <f>+B29+B30-B31-B32-B33-B34</f>
        <v>847590250</v>
      </c>
      <c r="C35" s="12"/>
    </row>
    <row r="36" spans="1:3" x14ac:dyDescent="0.2">
      <c r="B36" s="12"/>
      <c r="C36" s="12"/>
    </row>
    <row r="37" spans="1:3" x14ac:dyDescent="0.2">
      <c r="A37" s="8" t="s">
        <v>34</v>
      </c>
      <c r="B37" s="14">
        <f>+B35/B17</f>
        <v>3390.3609999999999</v>
      </c>
      <c r="C37" s="2" t="s">
        <v>35</v>
      </c>
    </row>
    <row r="38" spans="1:3" x14ac:dyDescent="0.2">
      <c r="B38" s="12"/>
      <c r="C38" s="12"/>
    </row>
  </sheetData>
  <mergeCells count="2">
    <mergeCell ref="A1:D12"/>
    <mergeCell ref="A15:D15"/>
  </mergeCells>
  <pageMargins left="0.7" right="0.7" top="0.75" bottom="0.75" header="0.3" footer="0.3"/>
  <ignoredErrors>
    <ignoredError sqref="B3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5E98-78D8-47C8-9715-19A621CEC2D9}">
  <dimension ref="A1:D22"/>
  <sheetViews>
    <sheetView showGridLines="0" zoomScale="175" zoomScaleNormal="175" workbookViewId="0">
      <selection sqref="A1:D9"/>
    </sheetView>
  </sheetViews>
  <sheetFormatPr baseColWidth="10" defaultRowHeight="14.25" x14ac:dyDescent="0.2"/>
  <cols>
    <col min="1" max="1" width="21.5703125" style="2" customWidth="1"/>
    <col min="2" max="2" width="13.42578125" style="2" bestFit="1" customWidth="1"/>
    <col min="3" max="16384" width="11.42578125" style="2"/>
  </cols>
  <sheetData>
    <row r="1" spans="1:4" x14ac:dyDescent="0.2">
      <c r="A1" s="1" t="s">
        <v>44</v>
      </c>
      <c r="B1" s="17"/>
      <c r="C1" s="17"/>
      <c r="D1" s="17"/>
    </row>
    <row r="2" spans="1:4" x14ac:dyDescent="0.2">
      <c r="A2" s="17"/>
      <c r="B2" s="17"/>
      <c r="C2" s="17"/>
      <c r="D2" s="17"/>
    </row>
    <row r="3" spans="1:4" x14ac:dyDescent="0.2">
      <c r="A3" s="17"/>
      <c r="B3" s="17"/>
      <c r="C3" s="17"/>
      <c r="D3" s="17"/>
    </row>
    <row r="4" spans="1:4" x14ac:dyDescent="0.2">
      <c r="A4" s="17"/>
      <c r="B4" s="17"/>
      <c r="C4" s="17"/>
      <c r="D4" s="17"/>
    </row>
    <row r="5" spans="1:4" x14ac:dyDescent="0.2">
      <c r="A5" s="17"/>
      <c r="B5" s="17"/>
      <c r="C5" s="17"/>
      <c r="D5" s="17"/>
    </row>
    <row r="6" spans="1:4" x14ac:dyDescent="0.2">
      <c r="A6" s="17"/>
      <c r="B6" s="17"/>
      <c r="C6" s="17"/>
      <c r="D6" s="17"/>
    </row>
    <row r="7" spans="1:4" x14ac:dyDescent="0.2">
      <c r="A7" s="17"/>
      <c r="B7" s="17"/>
      <c r="C7" s="17"/>
      <c r="D7" s="17"/>
    </row>
    <row r="8" spans="1:4" x14ac:dyDescent="0.2">
      <c r="A8" s="17"/>
      <c r="B8" s="17"/>
      <c r="C8" s="17"/>
      <c r="D8" s="17"/>
    </row>
    <row r="9" spans="1:4" x14ac:dyDescent="0.2">
      <c r="A9" s="17"/>
      <c r="B9" s="17"/>
      <c r="C9" s="17"/>
      <c r="D9" s="17"/>
    </row>
    <row r="11" spans="1:4" x14ac:dyDescent="0.2">
      <c r="A11" s="4" t="s">
        <v>37</v>
      </c>
      <c r="B11" s="4"/>
      <c r="C11" s="4"/>
    </row>
    <row r="12" spans="1:4" x14ac:dyDescent="0.2">
      <c r="A12" s="2" t="s">
        <v>41</v>
      </c>
    </row>
    <row r="13" spans="1:4" x14ac:dyDescent="0.2">
      <c r="A13" s="2" t="s">
        <v>38</v>
      </c>
      <c r="B13" s="15">
        <v>12</v>
      </c>
    </row>
    <row r="14" spans="1:4" x14ac:dyDescent="0.2">
      <c r="A14" s="2" t="s">
        <v>39</v>
      </c>
      <c r="B14" s="13">
        <v>1000</v>
      </c>
      <c r="C14" s="2" t="s">
        <v>40</v>
      </c>
    </row>
    <row r="15" spans="1:4" x14ac:dyDescent="0.2">
      <c r="A15" s="2" t="s">
        <v>5</v>
      </c>
      <c r="B15" s="5">
        <v>0.129</v>
      </c>
    </row>
    <row r="16" spans="1:4" ht="17.25" x14ac:dyDescent="0.3">
      <c r="A16" s="2" t="s">
        <v>59</v>
      </c>
      <c r="B16" s="12">
        <v>3200</v>
      </c>
    </row>
    <row r="17" spans="1:3" ht="17.25" x14ac:dyDescent="0.3">
      <c r="A17" s="2" t="s">
        <v>60</v>
      </c>
      <c r="B17" s="12">
        <v>3250</v>
      </c>
    </row>
    <row r="19" spans="1:3" ht="17.25" x14ac:dyDescent="0.3">
      <c r="A19" s="2" t="s">
        <v>62</v>
      </c>
      <c r="B19" s="13">
        <f>+B13*B14</f>
        <v>12000</v>
      </c>
      <c r="C19" s="2" t="s">
        <v>40</v>
      </c>
    </row>
    <row r="20" spans="1:3" x14ac:dyDescent="0.2">
      <c r="A20" s="2" t="s">
        <v>42</v>
      </c>
      <c r="B20" s="12">
        <f>+B19*B16*B15</f>
        <v>4953600</v>
      </c>
    </row>
    <row r="21" spans="1:3" x14ac:dyDescent="0.2">
      <c r="A21" s="2" t="s">
        <v>7</v>
      </c>
      <c r="B21" s="12">
        <f>+(B16-B17)*B19</f>
        <v>-600000</v>
      </c>
    </row>
    <row r="22" spans="1:3" x14ac:dyDescent="0.2">
      <c r="A22" s="8" t="s">
        <v>43</v>
      </c>
      <c r="B22" s="18">
        <f>+B20+B21</f>
        <v>4353600</v>
      </c>
    </row>
  </sheetData>
  <mergeCells count="2">
    <mergeCell ref="A1:D9"/>
    <mergeCell ref="A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5719-6097-4479-A8BD-4DD52A62DD38}">
  <dimension ref="A1:E19"/>
  <sheetViews>
    <sheetView showGridLines="0" zoomScale="175" zoomScaleNormal="175" workbookViewId="0">
      <selection sqref="A1:E8"/>
    </sheetView>
  </sheetViews>
  <sheetFormatPr baseColWidth="10" defaultRowHeight="14.25" x14ac:dyDescent="0.2"/>
  <cols>
    <col min="1" max="1" width="19.28515625" style="2" customWidth="1"/>
    <col min="2" max="2" width="14.5703125" style="2" bestFit="1" customWidth="1"/>
    <col min="3" max="3" width="11.5703125" style="2" bestFit="1" customWidth="1"/>
    <col min="4" max="16384" width="11.42578125" style="2"/>
  </cols>
  <sheetData>
    <row r="1" spans="1:5" x14ac:dyDescent="0.2">
      <c r="A1" s="1" t="s">
        <v>51</v>
      </c>
      <c r="B1" s="1"/>
      <c r="C1" s="1"/>
      <c r="D1" s="1"/>
      <c r="E1" s="1"/>
    </row>
    <row r="2" spans="1:5" x14ac:dyDescent="0.2">
      <c r="A2" s="1"/>
      <c r="B2" s="1"/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x14ac:dyDescent="0.2">
      <c r="A4" s="1"/>
      <c r="B4" s="1"/>
      <c r="C4" s="1"/>
      <c r="D4" s="1"/>
      <c r="E4" s="1"/>
    </row>
    <row r="5" spans="1:5" x14ac:dyDescent="0.2">
      <c r="A5" s="1"/>
      <c r="B5" s="1"/>
      <c r="C5" s="1"/>
      <c r="D5" s="1"/>
      <c r="E5" s="1"/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10" spans="1:5" x14ac:dyDescent="0.2">
      <c r="A10" s="2" t="s">
        <v>45</v>
      </c>
      <c r="B10" s="12">
        <v>800000000</v>
      </c>
    </row>
    <row r="11" spans="1:5" x14ac:dyDescent="0.2">
      <c r="A11" s="2" t="s">
        <v>46</v>
      </c>
      <c r="B11" s="15">
        <v>1.9</v>
      </c>
    </row>
    <row r="12" spans="1:5" x14ac:dyDescent="0.2">
      <c r="A12" s="2" t="s">
        <v>47</v>
      </c>
      <c r="B12" s="15">
        <v>1</v>
      </c>
    </row>
    <row r="13" spans="1:5" x14ac:dyDescent="0.2">
      <c r="A13" s="2" t="s">
        <v>9</v>
      </c>
      <c r="B13" s="15"/>
    </row>
    <row r="14" spans="1:5" x14ac:dyDescent="0.2">
      <c r="A14" s="2" t="s">
        <v>48</v>
      </c>
      <c r="B14" s="13">
        <v>1600</v>
      </c>
    </row>
    <row r="15" spans="1:5" x14ac:dyDescent="0.2">
      <c r="A15" s="2" t="s">
        <v>2</v>
      </c>
      <c r="B15" s="12">
        <v>25000</v>
      </c>
    </row>
    <row r="16" spans="1:5" x14ac:dyDescent="0.2">
      <c r="B16" s="15"/>
    </row>
    <row r="17" spans="1:3" x14ac:dyDescent="0.2">
      <c r="A17" s="2" t="s">
        <v>49</v>
      </c>
      <c r="B17" s="12">
        <f>+B14*B15</f>
        <v>40000000</v>
      </c>
    </row>
    <row r="18" spans="1:3" x14ac:dyDescent="0.2">
      <c r="B18" s="12"/>
    </row>
    <row r="19" spans="1:3" x14ac:dyDescent="0.2">
      <c r="A19" s="20" t="s">
        <v>50</v>
      </c>
      <c r="B19" s="21">
        <f>+(B11-B12)*B10/B17</f>
        <v>17.999999999999996</v>
      </c>
      <c r="C19" s="19"/>
    </row>
  </sheetData>
  <mergeCells count="1">
    <mergeCell ref="A1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6F25-716C-458D-96C5-072060DFC163}">
  <dimension ref="A1:D16"/>
  <sheetViews>
    <sheetView showGridLines="0" zoomScale="175" zoomScaleNormal="175" workbookViewId="0">
      <selection sqref="A1:D7"/>
    </sheetView>
  </sheetViews>
  <sheetFormatPr baseColWidth="10" defaultRowHeight="14.25" x14ac:dyDescent="0.2"/>
  <cols>
    <col min="1" max="1" width="22.140625" style="2" customWidth="1"/>
    <col min="2" max="16384" width="11.42578125" style="2"/>
  </cols>
  <sheetData>
    <row r="1" spans="1:4" x14ac:dyDescent="0.2">
      <c r="A1" s="1" t="s">
        <v>55</v>
      </c>
      <c r="B1" s="17"/>
      <c r="C1" s="17"/>
      <c r="D1" s="17"/>
    </row>
    <row r="2" spans="1:4" x14ac:dyDescent="0.2">
      <c r="A2" s="17"/>
      <c r="B2" s="17"/>
      <c r="C2" s="17"/>
      <c r="D2" s="17"/>
    </row>
    <row r="3" spans="1:4" x14ac:dyDescent="0.2">
      <c r="A3" s="17"/>
      <c r="B3" s="17"/>
      <c r="C3" s="17"/>
      <c r="D3" s="17"/>
    </row>
    <row r="4" spans="1:4" x14ac:dyDescent="0.2">
      <c r="A4" s="17"/>
      <c r="B4" s="17"/>
      <c r="C4" s="17"/>
      <c r="D4" s="17"/>
    </row>
    <row r="5" spans="1:4" x14ac:dyDescent="0.2">
      <c r="A5" s="17"/>
      <c r="B5" s="17"/>
      <c r="C5" s="17"/>
      <c r="D5" s="17"/>
    </row>
    <row r="6" spans="1:4" x14ac:dyDescent="0.2">
      <c r="A6" s="17"/>
      <c r="B6" s="17"/>
      <c r="C6" s="17"/>
      <c r="D6" s="17"/>
    </row>
    <row r="7" spans="1:4" x14ac:dyDescent="0.2">
      <c r="A7" s="17"/>
      <c r="B7" s="17"/>
      <c r="C7" s="17"/>
      <c r="D7" s="17"/>
    </row>
    <row r="9" spans="1:4" x14ac:dyDescent="0.2">
      <c r="A9" s="4" t="s">
        <v>52</v>
      </c>
      <c r="B9" s="4"/>
      <c r="C9" s="4"/>
    </row>
    <row r="10" spans="1:4" x14ac:dyDescent="0.2">
      <c r="A10" s="2" t="s">
        <v>54</v>
      </c>
    </row>
    <row r="11" spans="1:4" x14ac:dyDescent="0.2">
      <c r="A11" s="2" t="s">
        <v>38</v>
      </c>
      <c r="B11" s="15">
        <v>5</v>
      </c>
    </row>
    <row r="12" spans="1:4" x14ac:dyDescent="0.2">
      <c r="A12" s="2" t="s">
        <v>2</v>
      </c>
      <c r="B12" s="12">
        <v>50</v>
      </c>
      <c r="C12" s="2" t="s">
        <v>53</v>
      </c>
    </row>
    <row r="13" spans="1:4" ht="17.25" x14ac:dyDescent="0.3">
      <c r="A13" s="2" t="s">
        <v>59</v>
      </c>
      <c r="B13" s="15">
        <v>3200</v>
      </c>
    </row>
    <row r="14" spans="1:4" ht="17.25" x14ac:dyDescent="0.3">
      <c r="A14" s="2" t="s">
        <v>60</v>
      </c>
      <c r="B14" s="15">
        <v>3220</v>
      </c>
    </row>
    <row r="16" spans="1:4" x14ac:dyDescent="0.2">
      <c r="A16" s="20" t="s">
        <v>7</v>
      </c>
      <c r="B16" s="18">
        <f>+(B14-B13)*B11*B12</f>
        <v>5000</v>
      </c>
    </row>
  </sheetData>
  <mergeCells count="2">
    <mergeCell ref="A1:D7"/>
    <mergeCell ref="A9:C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D618-73C0-43DC-AA23-B31214DFDC04}">
  <dimension ref="A1:D34"/>
  <sheetViews>
    <sheetView showGridLines="0" zoomScale="175" zoomScaleNormal="175" workbookViewId="0">
      <selection sqref="A1:D9"/>
    </sheetView>
  </sheetViews>
  <sheetFormatPr baseColWidth="10" defaultRowHeight="14.25" x14ac:dyDescent="0.2"/>
  <cols>
    <col min="1" max="1" width="27.28515625" style="2" bestFit="1" customWidth="1"/>
    <col min="2" max="2" width="13.28515625" style="2" bestFit="1" customWidth="1"/>
    <col min="3" max="16384" width="11.42578125" style="2"/>
  </cols>
  <sheetData>
    <row r="1" spans="1:4" x14ac:dyDescent="0.2">
      <c r="A1" s="1" t="s">
        <v>57</v>
      </c>
      <c r="B1" s="1"/>
      <c r="C1" s="1"/>
      <c r="D1" s="1"/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1" spans="1:4" x14ac:dyDescent="0.2">
      <c r="A11" s="2" t="s">
        <v>56</v>
      </c>
      <c r="B11" s="15"/>
    </row>
    <row r="12" spans="1:4" x14ac:dyDescent="0.2">
      <c r="A12" s="2" t="s">
        <v>2</v>
      </c>
      <c r="B12" s="15">
        <v>2500</v>
      </c>
      <c r="C12" s="2" t="s">
        <v>10</v>
      </c>
    </row>
    <row r="13" spans="1:4" ht="17.25" x14ac:dyDescent="0.3">
      <c r="A13" s="2" t="s">
        <v>59</v>
      </c>
      <c r="B13" s="15">
        <v>1562.5</v>
      </c>
    </row>
    <row r="14" spans="1:4" x14ac:dyDescent="0.2">
      <c r="A14" s="2" t="s">
        <v>11</v>
      </c>
      <c r="B14" s="22">
        <f>+B13*B12</f>
        <v>3906250</v>
      </c>
    </row>
    <row r="15" spans="1:4" x14ac:dyDescent="0.2">
      <c r="A15" s="2" t="s">
        <v>5</v>
      </c>
      <c r="B15" s="5">
        <v>6.4000000000000001E-2</v>
      </c>
    </row>
    <row r="16" spans="1:4" x14ac:dyDescent="0.2">
      <c r="A16" s="2" t="s">
        <v>5</v>
      </c>
      <c r="B16" s="22">
        <f>+B15*B14</f>
        <v>250000</v>
      </c>
    </row>
    <row r="17" spans="1:3" x14ac:dyDescent="0.2">
      <c r="A17" s="2" t="s">
        <v>0</v>
      </c>
      <c r="B17" s="15" t="s">
        <v>12</v>
      </c>
    </row>
    <row r="18" spans="1:3" ht="17.25" x14ac:dyDescent="0.3">
      <c r="A18" s="2" t="s">
        <v>60</v>
      </c>
      <c r="B18" s="15">
        <v>1550</v>
      </c>
    </row>
    <row r="19" spans="1:3" x14ac:dyDescent="0.2">
      <c r="B19" s="15"/>
    </row>
    <row r="20" spans="1:3" x14ac:dyDescent="0.2">
      <c r="A20" s="2" t="s">
        <v>7</v>
      </c>
      <c r="B20" s="22">
        <f>+(B13-B18)*B12</f>
        <v>31250</v>
      </c>
    </row>
    <row r="21" spans="1:3" x14ac:dyDescent="0.2">
      <c r="B21" s="22"/>
    </row>
    <row r="22" spans="1:3" x14ac:dyDescent="0.2">
      <c r="A22" s="2" t="s">
        <v>13</v>
      </c>
      <c r="B22" s="22">
        <v>15000</v>
      </c>
    </row>
    <row r="23" spans="1:3" x14ac:dyDescent="0.2">
      <c r="A23" s="2" t="s">
        <v>14</v>
      </c>
      <c r="B23" s="5">
        <v>3.0000000000000001E-3</v>
      </c>
      <c r="C23" s="2" t="s">
        <v>6</v>
      </c>
    </row>
    <row r="24" spans="1:3" x14ac:dyDescent="0.2">
      <c r="B24" s="22"/>
    </row>
    <row r="25" spans="1:3" x14ac:dyDescent="0.2">
      <c r="A25" s="2" t="s">
        <v>15</v>
      </c>
      <c r="B25" s="22">
        <f>+B22+B14*B23</f>
        <v>26718.75</v>
      </c>
    </row>
    <row r="26" spans="1:3" x14ac:dyDescent="0.2">
      <c r="A26" s="2" t="s">
        <v>16</v>
      </c>
      <c r="B26" s="22">
        <f>+B25*0.19</f>
        <v>5076.5625</v>
      </c>
    </row>
    <row r="27" spans="1:3" x14ac:dyDescent="0.2">
      <c r="A27" s="2" t="s">
        <v>17</v>
      </c>
      <c r="B27" s="22">
        <f>B22+1*B12*B18*B23</f>
        <v>26625</v>
      </c>
    </row>
    <row r="28" spans="1:3" x14ac:dyDescent="0.2">
      <c r="A28" s="2" t="s">
        <v>16</v>
      </c>
      <c r="B28" s="22">
        <f>+B27*0.19</f>
        <v>5058.75</v>
      </c>
    </row>
    <row r="29" spans="1:3" x14ac:dyDescent="0.2">
      <c r="A29" s="16" t="s">
        <v>63</v>
      </c>
      <c r="B29" s="23">
        <f>SUM(B25:B28)</f>
        <v>63479.0625</v>
      </c>
    </row>
    <row r="30" spans="1:3" x14ac:dyDescent="0.2">
      <c r="A30" s="16"/>
      <c r="B30" s="23"/>
    </row>
    <row r="31" spans="1:3" x14ac:dyDescent="0.2">
      <c r="A31" s="15" t="s">
        <v>64</v>
      </c>
      <c r="B31" s="25">
        <f>+B20/B16</f>
        <v>0.125</v>
      </c>
    </row>
    <row r="32" spans="1:3" x14ac:dyDescent="0.2">
      <c r="A32" s="20" t="s">
        <v>65</v>
      </c>
      <c r="B32" s="9">
        <f>+(B20-B29)/B16</f>
        <v>-0.12891625000000001</v>
      </c>
      <c r="C32" s="24"/>
    </row>
    <row r="33" spans="1:2" x14ac:dyDescent="0.2">
      <c r="A33" s="16"/>
      <c r="B33" s="23"/>
    </row>
    <row r="34" spans="1:2" x14ac:dyDescent="0.2">
      <c r="A34" s="16"/>
      <c r="B34" s="23"/>
    </row>
  </sheetData>
  <mergeCells count="1">
    <mergeCell ref="A1:D9"/>
  </mergeCells>
  <pageMargins left="0.7" right="0.7" top="0.75" bottom="0.75" header="0.3" footer="0.3"/>
  <ignoredErrors>
    <ignoredError sqref="B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Rentabilidad Futuros</vt:lpstr>
      <vt:lpstr>Precio cobertura</vt:lpstr>
      <vt:lpstr>Cuenta de Margen</vt:lpstr>
      <vt:lpstr>Cobertura portafolios</vt:lpstr>
      <vt:lpstr>Futuros CME</vt:lpstr>
      <vt:lpstr>Futuro 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2020-02-02T14:38:50Z</dcterms:created>
  <dcterms:modified xsi:type="dcterms:W3CDTF">2020-10-08T14:46:34Z</dcterms:modified>
</cp:coreProperties>
</file>