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UNAL\ADMINISTRACIÓN FINANCIERA\Excel\"/>
    </mc:Choice>
  </mc:AlternateContent>
  <xr:revisionPtr revIDLastSave="0" documentId="13_ncr:1_{8626EFB8-1171-4DB4-8BA3-F4297576B6A8}" xr6:coauthVersionLast="47" xr6:coauthVersionMax="47" xr10:uidLastSave="{00000000-0000-0000-0000-000000000000}"/>
  <bookViews>
    <workbookView xWindow="-120" yWindow="-120" windowWidth="29040" windowHeight="15840" xr2:uid="{88032940-B68D-4784-94D6-624C0E8A8768}"/>
  </bookViews>
  <sheets>
    <sheet name="H&amp;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1" i="1" l="1"/>
  <c r="K40" i="1"/>
  <c r="K39" i="1"/>
  <c r="K38" i="1"/>
  <c r="J37" i="1"/>
  <c r="K37" i="1"/>
  <c r="I37" i="1"/>
  <c r="J33" i="1"/>
  <c r="K33" i="1"/>
  <c r="I33" i="1"/>
  <c r="K32" i="1"/>
  <c r="K31" i="1"/>
  <c r="I29" i="1"/>
  <c r="J29" i="1"/>
  <c r="K29" i="1"/>
  <c r="I28" i="1"/>
  <c r="J28" i="1"/>
  <c r="K28" i="1"/>
  <c r="I27" i="1"/>
  <c r="J27" i="1"/>
  <c r="K27" i="1"/>
  <c r="H27" i="1"/>
  <c r="H28" i="1" s="1"/>
  <c r="I26" i="1"/>
  <c r="J26" i="1"/>
  <c r="K26" i="1"/>
  <c r="H26" i="1"/>
  <c r="I25" i="1"/>
  <c r="J25" i="1"/>
  <c r="K25" i="1"/>
  <c r="H25" i="1"/>
  <c r="I20" i="1"/>
  <c r="J20" i="1"/>
  <c r="K20" i="1"/>
  <c r="H20" i="1"/>
  <c r="I19" i="1"/>
  <c r="J19" i="1"/>
  <c r="K19" i="1"/>
  <c r="H19" i="1"/>
  <c r="K18" i="1"/>
  <c r="J17" i="1"/>
  <c r="K17" i="1"/>
  <c r="I16" i="1"/>
  <c r="J16" i="1"/>
  <c r="K16" i="1"/>
  <c r="J15" i="1"/>
  <c r="K15" i="1"/>
  <c r="I14" i="1"/>
  <c r="I17" i="1" s="1"/>
  <c r="J14" i="1"/>
  <c r="K14" i="1"/>
  <c r="H14" i="1"/>
  <c r="H17" i="1" s="1"/>
  <c r="J13" i="1"/>
  <c r="K13" i="1"/>
  <c r="I9" i="1"/>
  <c r="J9" i="1"/>
  <c r="K9" i="1"/>
  <c r="H9" i="1"/>
  <c r="J8" i="1"/>
  <c r="K8" i="1"/>
  <c r="J7" i="1"/>
  <c r="K7" i="1"/>
  <c r="H7" i="1"/>
  <c r="J6" i="1"/>
  <c r="K6" i="1"/>
  <c r="D61" i="1"/>
  <c r="E61" i="1"/>
  <c r="C61" i="1"/>
  <c r="C59" i="1"/>
  <c r="D59" i="1"/>
  <c r="E59" i="1"/>
  <c r="B59" i="1"/>
  <c r="B61" i="1" s="1"/>
  <c r="H29" i="1" s="1"/>
  <c r="D56" i="1"/>
  <c r="E56" i="1"/>
  <c r="C56" i="1"/>
  <c r="B56" i="1"/>
  <c r="C50" i="1"/>
  <c r="D50" i="1"/>
  <c r="E50" i="1"/>
  <c r="B50" i="1"/>
  <c r="D44" i="1"/>
  <c r="E44" i="1"/>
  <c r="C43" i="1"/>
  <c r="D43" i="1"/>
  <c r="E43" i="1"/>
  <c r="B43" i="1"/>
  <c r="D39" i="1"/>
  <c r="E39" i="1"/>
  <c r="C38" i="1"/>
  <c r="C39" i="1" s="1"/>
  <c r="C44" i="1" s="1"/>
  <c r="D38" i="1"/>
  <c r="E38" i="1"/>
  <c r="B38" i="1"/>
  <c r="C30" i="1"/>
  <c r="I7" i="1" s="1"/>
  <c r="D30" i="1"/>
  <c r="E30" i="1"/>
  <c r="B30" i="1"/>
  <c r="D23" i="1"/>
  <c r="E23" i="1"/>
  <c r="C22" i="1"/>
  <c r="D22" i="1"/>
  <c r="E22" i="1"/>
  <c r="B22" i="1"/>
  <c r="C12" i="1"/>
  <c r="D12" i="1"/>
  <c r="E12" i="1"/>
  <c r="B12" i="1"/>
  <c r="H16" i="1" l="1"/>
  <c r="B39" i="1"/>
  <c r="B44" i="1" s="1"/>
  <c r="H8" i="1"/>
  <c r="I8" i="1"/>
  <c r="H6" i="1"/>
  <c r="I6" i="1"/>
  <c r="B23" i="1"/>
  <c r="I38" i="1" s="1"/>
  <c r="C23" i="1"/>
  <c r="J32" i="1"/>
  <c r="H15" i="1" l="1"/>
  <c r="J18" i="1"/>
  <c r="J39" i="1" s="1"/>
  <c r="J38" i="1"/>
  <c r="J31" i="1"/>
  <c r="I13" i="1"/>
  <c r="I15" i="1"/>
  <c r="H13" i="1"/>
  <c r="I31" i="1"/>
  <c r="I32" i="1"/>
  <c r="I18" i="1"/>
  <c r="I39" i="1" s="1"/>
  <c r="I40" i="1"/>
  <c r="I41" i="1" s="1"/>
  <c r="J40" i="1" l="1"/>
  <c r="J41" i="1" s="1"/>
</calcChain>
</file>

<file path=xl/sharedStrings.xml><?xml version="1.0" encoding="utf-8"?>
<sst xmlns="http://schemas.openxmlformats.org/spreadsheetml/2006/main" count="87" uniqueCount="85">
  <si>
    <t>Ingresos de actividades ordinarias</t>
  </si>
  <si>
    <t>Costo de ventas</t>
  </si>
  <si>
    <t>Ganancia bruta</t>
  </si>
  <si>
    <t>Otros ingresos</t>
  </si>
  <si>
    <t>Gastos de ventas</t>
  </si>
  <si>
    <t>Gastos de administración</t>
  </si>
  <si>
    <t>Otros gastos</t>
  </si>
  <si>
    <t>Otras ganancias (pérdidas)</t>
  </si>
  <si>
    <t>Ganancia (pérdida) por actividades de operación</t>
  </si>
  <si>
    <t>Ingresos financieros</t>
  </si>
  <si>
    <t>Costos financieros</t>
  </si>
  <si>
    <t>Ganancia (pérdida), antes de impuestos</t>
  </si>
  <si>
    <t>Ingreso (gasto) por impuestos</t>
  </si>
  <si>
    <t>Ganancia (pérdida)</t>
  </si>
  <si>
    <t>H&amp;M HENNES &amp; MAURITZ COLOMBIA S.A.S</t>
  </si>
  <si>
    <t>G4771 - Comercio al por menor de prendas de vestir y sus accesorios (incluye artículos de piel) en establecimientos especializados</t>
  </si>
  <si>
    <t>Efectivo y equivalentes al efectivo</t>
  </si>
  <si>
    <t>Cuentas comerciales por cobrar y otras cuentas por cobrar corrientes</t>
  </si>
  <si>
    <t>Inventarios corrientes</t>
  </si>
  <si>
    <t>Activos por impuestos corrientes, corriente</t>
  </si>
  <si>
    <t>Otros activos financieros corrientes</t>
  </si>
  <si>
    <t>Otros activos no financieros corrientes</t>
  </si>
  <si>
    <t>Activos corrientes totales</t>
  </si>
  <si>
    <t>Propiedad de inversión</t>
  </si>
  <si>
    <t>Propiedades, planta y equipo</t>
  </si>
  <si>
    <t>Plusvalía</t>
  </si>
  <si>
    <t>Activos intangibles distintos de la plusvalía</t>
  </si>
  <si>
    <t>Cuentas comerciales por cobrar y otras cuentas por cobrar no corrientes</t>
  </si>
  <si>
    <t>Inventarios no corrientes</t>
  </si>
  <si>
    <t>Activos por impuestos diferidos</t>
  </si>
  <si>
    <t>Otros activos financieros no corrientes</t>
  </si>
  <si>
    <t>Otros activos no financieros no corrientes</t>
  </si>
  <si>
    <t>Total de activos no corrientes</t>
  </si>
  <si>
    <t>Total de activos</t>
  </si>
  <si>
    <t>Provisiones corrientes por beneficios a los empleados</t>
  </si>
  <si>
    <t>Otras provisiones corrientes</t>
  </si>
  <si>
    <t>Cuentas por pagar comerciales y otras cuentas por pagar</t>
  </si>
  <si>
    <t>Pasivos por impuestos corrientes, corriente</t>
  </si>
  <si>
    <t>Otros pasivos financieros corrientes</t>
  </si>
  <si>
    <t>Otros pasivos no financieros corrientes</t>
  </si>
  <si>
    <t>Pasivos corrientes totales</t>
  </si>
  <si>
    <t>Provisiones no corrientes por beneficios a los empleados</t>
  </si>
  <si>
    <t>Otras provisiones no corrientes</t>
  </si>
  <si>
    <t>Cuentas comerciales por pagar y otras cuentas por pagar no corrientes</t>
  </si>
  <si>
    <t>Pasivo por impuestos diferidos</t>
  </si>
  <si>
    <t>Pasivos por impuestos corrientes, no corriente</t>
  </si>
  <si>
    <t>Otros pasivos financieros no corrientes</t>
  </si>
  <si>
    <t>Otros pasivos no financieros no corrientes</t>
  </si>
  <si>
    <t>Total de pasivos no corrientes</t>
  </si>
  <si>
    <t>Total pasivos</t>
  </si>
  <si>
    <t>Capital emitido</t>
  </si>
  <si>
    <t>Prima de emisión</t>
  </si>
  <si>
    <t>Ganancias acumuladas</t>
  </si>
  <si>
    <t>Patrimonio total</t>
  </si>
  <si>
    <t>Total de patrimonio y pasivos</t>
  </si>
  <si>
    <t>Depreciación y Amortización</t>
  </si>
  <si>
    <t>Cifras en miles de pesos</t>
  </si>
  <si>
    <t>Razón corriente</t>
  </si>
  <si>
    <t>Prueba Ácida</t>
  </si>
  <si>
    <t>Capital de trabajo</t>
  </si>
  <si>
    <t>Indicadores de Liquidez</t>
  </si>
  <si>
    <t>Nivel endeudamiento</t>
  </si>
  <si>
    <t>Total Deuda</t>
  </si>
  <si>
    <t>Ratio Deuda-Capital</t>
  </si>
  <si>
    <t>Ratio Deuda-Equity</t>
  </si>
  <si>
    <t>Cobertura de intereses</t>
  </si>
  <si>
    <t>Impacto carga financiera</t>
  </si>
  <si>
    <t>Indicadores de Endeudamiento</t>
  </si>
  <si>
    <t>ROA Operacional</t>
  </si>
  <si>
    <t>ROA</t>
  </si>
  <si>
    <t>ROE</t>
  </si>
  <si>
    <t>Margen Bruto</t>
  </si>
  <si>
    <t>Margen Operacional</t>
  </si>
  <si>
    <t>EBITDA</t>
  </si>
  <si>
    <t>Margen EBITDA</t>
  </si>
  <si>
    <t>Margen Neto</t>
  </si>
  <si>
    <t>Indicadores de Rentabilidad</t>
  </si>
  <si>
    <t>DuPont</t>
  </si>
  <si>
    <t>Rotación de Activos</t>
  </si>
  <si>
    <t>Apalancamiento financiero</t>
  </si>
  <si>
    <t>Liquidez (personalizado)</t>
  </si>
  <si>
    <t>Nivel endeudamiento*</t>
  </si>
  <si>
    <t>Apalancamiento financiero**</t>
  </si>
  <si>
    <t>**promedios</t>
  </si>
  <si>
    <t>*con Total Deuda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</si>
</sst>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12"/>
      <name val="Franklin Gothic Book"/>
      <family val="2"/>
    </font>
    <font>
      <sz val="12"/>
      <name val="Franklin Gothic Book"/>
      <family val="2"/>
    </font>
    <font>
      <sz val="12"/>
      <color theme="9" tint="-0.499984740745262"/>
      <name val="Franklin Gothic Book"/>
      <family val="2"/>
    </font>
    <font>
      <b/>
      <sz val="12"/>
      <color theme="1"/>
      <name val="Franklin Gothic Book"/>
      <family val="2"/>
    </font>
    <font>
      <sz val="11"/>
      <color theme="1"/>
      <name val="Calibri"/>
      <family val="2"/>
      <scheme val="minor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Font="1"/>
    <xf numFmtId="165" fontId="2" fillId="0" borderId="0" xfId="1" applyNumberFormat="1" applyFont="1" applyBorder="1" applyAlignment="1">
      <alignment vertical="center"/>
    </xf>
    <xf numFmtId="165" fontId="3" fillId="0" borderId="0" xfId="1" applyNumberFormat="1" applyFont="1" applyBorder="1" applyAlignment="1">
      <alignment vertical="center"/>
    </xf>
    <xf numFmtId="6" fontId="4" fillId="2" borderId="1" xfId="0" applyNumberFormat="1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6" fontId="5" fillId="0" borderId="2" xfId="0" applyNumberFormat="1" applyFont="1" applyBorder="1" applyAlignment="1">
      <alignment horizontal="center" vertical="center"/>
    </xf>
    <xf numFmtId="6" fontId="0" fillId="0" borderId="0" xfId="0" applyNumberFormat="1"/>
    <xf numFmtId="2" fontId="4" fillId="2" borderId="1" xfId="0" applyNumberFormat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vertical="center"/>
    </xf>
    <xf numFmtId="9" fontId="4" fillId="2" borderId="1" xfId="2" applyFont="1" applyFill="1" applyBorder="1" applyAlignment="1">
      <alignment horizontal="center" vertical="center"/>
    </xf>
    <xf numFmtId="165" fontId="7" fillId="0" borderId="0" xfId="1" applyNumberFormat="1" applyFont="1" applyFill="1" applyBorder="1" applyAlignment="1">
      <alignment vertical="center"/>
    </xf>
    <xf numFmtId="9" fontId="5" fillId="0" borderId="2" xfId="2" applyFont="1" applyBorder="1" applyAlignment="1">
      <alignment horizontal="center" vertical="center"/>
    </xf>
    <xf numFmtId="165" fontId="2" fillId="0" borderId="0" xfId="1" applyNumberFormat="1" applyFont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left" vertical="center"/>
    </xf>
    <xf numFmtId="165" fontId="3" fillId="0" borderId="3" xfId="1" applyNumberFormat="1" applyFont="1" applyFill="1" applyBorder="1" applyAlignment="1">
      <alignment horizontal="left" vertical="center"/>
    </xf>
  </cellXfs>
  <cellStyles count="3">
    <cellStyle name="Comma 28" xfId="1" xr:uid="{12DEAFC6-C4D5-4A8D-B475-FBB3A2BDEA7F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Activos corrientes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'H&amp;M'!$A$6</c:f>
              <c:strCache>
                <c:ptCount val="1"/>
                <c:pt idx="0">
                  <c:v> Efectivo y equivalentes al efectivo 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'H&amp;M'!$B$6:$E$6</c:f>
              <c:numCache>
                <c:formatCode>"$"#,##0_);[Red]\("$"#,##0\)</c:formatCode>
                <c:ptCount val="4"/>
                <c:pt idx="0">
                  <c:v>61719652</c:v>
                </c:pt>
                <c:pt idx="1">
                  <c:v>75907248</c:v>
                </c:pt>
                <c:pt idx="2">
                  <c:v>43692134</c:v>
                </c:pt>
                <c:pt idx="3">
                  <c:v>92566164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93-44E2-8A4C-1A34D187EF05}"/>
            </c:ext>
          </c:extLst>
        </c:ser>
        <c:ser>
          <c:idx val="1"/>
          <c:order val="1"/>
          <c:tx>
            <c:strRef>
              <c:f>'H&amp;M'!$A$7</c:f>
              <c:strCache>
                <c:ptCount val="1"/>
                <c:pt idx="0">
                  <c:v> Cuentas comerciales por cobrar y otras cuentas por cobrar corrientes 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'H&amp;M'!$B$7:$E$7</c:f>
              <c:numCache>
                <c:formatCode>"$"#,##0_);[Red]\("$"#,##0\)</c:formatCode>
                <c:ptCount val="4"/>
                <c:pt idx="0">
                  <c:v>16010669</c:v>
                </c:pt>
                <c:pt idx="1">
                  <c:v>17048669</c:v>
                </c:pt>
                <c:pt idx="2">
                  <c:v>4264339</c:v>
                </c:pt>
                <c:pt idx="3">
                  <c:v>5860535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93-44E2-8A4C-1A34D187EF05}"/>
            </c:ext>
          </c:extLst>
        </c:ser>
        <c:ser>
          <c:idx val="2"/>
          <c:order val="2"/>
          <c:tx>
            <c:strRef>
              <c:f>'H&amp;M'!$A$8</c:f>
              <c:strCache>
                <c:ptCount val="1"/>
                <c:pt idx="0">
                  <c:v> Inventarios corrientes 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'H&amp;M'!$B$8:$E$8</c:f>
              <c:numCache>
                <c:formatCode>"$"#,##0_);[Red]\("$"#,##0\)</c:formatCode>
                <c:ptCount val="4"/>
                <c:pt idx="0">
                  <c:v>41791255</c:v>
                </c:pt>
                <c:pt idx="1">
                  <c:v>28159599</c:v>
                </c:pt>
                <c:pt idx="2">
                  <c:v>41724993</c:v>
                </c:pt>
                <c:pt idx="3">
                  <c:v>74369335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93-44E2-8A4C-1A34D187EF05}"/>
            </c:ext>
          </c:extLst>
        </c:ser>
        <c:ser>
          <c:idx val="3"/>
          <c:order val="3"/>
          <c:tx>
            <c:strRef>
              <c:f>'H&amp;M'!$A$9</c:f>
              <c:strCache>
                <c:ptCount val="1"/>
                <c:pt idx="0">
                  <c:v> Activos por impuestos corrientes, corriente </c:v>
                </c:pt>
              </c:strCache>
            </c:strRef>
          </c:tx>
          <c:spPr>
            <a:ln w="1905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90000"/>
                </a:schemeClr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'H&amp;M'!$B$9:$E$9</c:f>
              <c:numCache>
                <c:formatCode>"$"#,##0_);[Red]\("$"#,##0\)</c:formatCode>
                <c:ptCount val="4"/>
                <c:pt idx="0">
                  <c:v>1485552</c:v>
                </c:pt>
                <c:pt idx="1">
                  <c:v>236088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93-44E2-8A4C-1A34D187EF05}"/>
            </c:ext>
          </c:extLst>
        </c:ser>
        <c:ser>
          <c:idx val="4"/>
          <c:order val="4"/>
          <c:tx>
            <c:strRef>
              <c:f>'H&amp;M'!$A$10</c:f>
              <c:strCache>
                <c:ptCount val="1"/>
                <c:pt idx="0">
                  <c:v> Otros activos financieros corrientes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'H&amp;M'!$B$10:$E$10</c:f>
              <c:numCache>
                <c:formatCode>"$"#,##0_);[Red]\("$"#,##0\)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93-44E2-8A4C-1A34D187EF05}"/>
            </c:ext>
          </c:extLst>
        </c:ser>
        <c:ser>
          <c:idx val="5"/>
          <c:order val="5"/>
          <c:tx>
            <c:strRef>
              <c:f>'H&amp;M'!$A$11</c:f>
              <c:strCache>
                <c:ptCount val="1"/>
                <c:pt idx="0">
                  <c:v> Otros activos no financieros corrientes </c:v>
                </c:pt>
              </c:strCache>
            </c:strRef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'H&amp;M'!$B$11:$E$11</c:f>
              <c:numCache>
                <c:formatCode>"$"#,##0_);[Red]\("$"#,##0\)</c:formatCode>
                <c:ptCount val="4"/>
                <c:pt idx="0">
                  <c:v>2669096</c:v>
                </c:pt>
                <c:pt idx="1">
                  <c:v>61487</c:v>
                </c:pt>
                <c:pt idx="2">
                  <c:v>62370</c:v>
                </c:pt>
                <c:pt idx="3">
                  <c:v>26676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593-44E2-8A4C-1A34D187E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51535"/>
        <c:axId val="1924039887"/>
      </c:scatterChart>
      <c:valAx>
        <c:axId val="1924051535"/>
        <c:scaling>
          <c:orientation val="minMax"/>
          <c:max val="2020"/>
          <c:min val="2017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39887"/>
        <c:crosses val="autoZero"/>
        <c:crossBetween val="midCat"/>
        <c:majorUnit val="1"/>
      </c:valAx>
      <c:valAx>
        <c:axId val="1924039887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51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396519794223436"/>
          <c:y val="0.76018860239467889"/>
          <c:w val="0.8000587363676066"/>
          <c:h val="0.225482920576298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Pasivos corrientes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'H&amp;M'!$A$24</c:f>
              <c:strCache>
                <c:ptCount val="1"/>
                <c:pt idx="0">
                  <c:v> Provisiones corrientes por beneficios a los empleados 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'H&amp;M'!$B$24:$E$24</c:f>
              <c:numCache>
                <c:formatCode>"$"#,##0_);[Red]\("$"#,##0\)</c:formatCode>
                <c:ptCount val="4"/>
                <c:pt idx="0">
                  <c:v>920670</c:v>
                </c:pt>
                <c:pt idx="1">
                  <c:v>777985</c:v>
                </c:pt>
                <c:pt idx="2">
                  <c:v>1145927</c:v>
                </c:pt>
                <c:pt idx="3">
                  <c:v>1057416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92-43B9-BA81-8E2A56110DF4}"/>
            </c:ext>
          </c:extLst>
        </c:ser>
        <c:ser>
          <c:idx val="1"/>
          <c:order val="1"/>
          <c:tx>
            <c:strRef>
              <c:f>'H&amp;M'!$A$25</c:f>
              <c:strCache>
                <c:ptCount val="1"/>
                <c:pt idx="0">
                  <c:v> Otras provisiones corrientes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'H&amp;M'!$B$25:$E$25</c:f>
              <c:numCache>
                <c:formatCode>"$"#,##0_);[Red]\("$"#,##0\)</c:formatCode>
                <c:ptCount val="4"/>
                <c:pt idx="0">
                  <c:v>610000</c:v>
                </c:pt>
                <c:pt idx="1">
                  <c:v>3582232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92-43B9-BA81-8E2A56110DF4}"/>
            </c:ext>
          </c:extLst>
        </c:ser>
        <c:ser>
          <c:idx val="2"/>
          <c:order val="2"/>
          <c:tx>
            <c:strRef>
              <c:f>'H&amp;M'!$A$26</c:f>
              <c:strCache>
                <c:ptCount val="1"/>
                <c:pt idx="0">
                  <c:v> Cuentas por pagar comerciales y otras cuentas por pagar 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x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'H&amp;M'!$B$26:$E$26</c:f>
              <c:numCache>
                <c:formatCode>"$"#,##0_);[Red]\("$"#,##0\)</c:formatCode>
                <c:ptCount val="4"/>
                <c:pt idx="0">
                  <c:v>116865783</c:v>
                </c:pt>
                <c:pt idx="1">
                  <c:v>60603760</c:v>
                </c:pt>
                <c:pt idx="2">
                  <c:v>44475434</c:v>
                </c:pt>
                <c:pt idx="3">
                  <c:v>27356986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92-43B9-BA81-8E2A56110DF4}"/>
            </c:ext>
          </c:extLst>
        </c:ser>
        <c:ser>
          <c:idx val="3"/>
          <c:order val="3"/>
          <c:tx>
            <c:strRef>
              <c:f>'H&amp;M'!$A$27</c:f>
              <c:strCache>
                <c:ptCount val="1"/>
                <c:pt idx="0">
                  <c:v> Pasivos por impuestos corrientes, corriente 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'H&amp;M'!$B$27:$E$27</c:f>
              <c:numCache>
                <c:formatCode>"$"#,##0_);[Red]\("$"#,##0\)</c:formatCode>
                <c:ptCount val="4"/>
                <c:pt idx="0">
                  <c:v>588184</c:v>
                </c:pt>
                <c:pt idx="1">
                  <c:v>6871218</c:v>
                </c:pt>
                <c:pt idx="2">
                  <c:v>20341366</c:v>
                </c:pt>
                <c:pt idx="3">
                  <c:v>11817178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92-43B9-BA81-8E2A56110DF4}"/>
            </c:ext>
          </c:extLst>
        </c:ser>
        <c:ser>
          <c:idx val="4"/>
          <c:order val="4"/>
          <c:tx>
            <c:strRef>
              <c:f>'H&amp;M'!$A$28</c:f>
              <c:strCache>
                <c:ptCount val="1"/>
                <c:pt idx="0">
                  <c:v> Otros pasivos financieros corrientes </c:v>
                </c:pt>
              </c:strCache>
            </c:strRef>
          </c:tx>
          <c:spPr>
            <a:ln w="19050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chemeClr val="tx2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'H&amp;M'!$B$28:$E$28</c:f>
              <c:numCache>
                <c:formatCode>"$"#,##0_);[Red]\("$"#,##0\)</c:formatCode>
                <c:ptCount val="4"/>
                <c:pt idx="2">
                  <c:v>3319970</c:v>
                </c:pt>
                <c:pt idx="3">
                  <c:v>4567100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92-43B9-BA81-8E2A56110DF4}"/>
            </c:ext>
          </c:extLst>
        </c:ser>
        <c:ser>
          <c:idx val="5"/>
          <c:order val="5"/>
          <c:tx>
            <c:strRef>
              <c:f>'H&amp;M'!$A$29</c:f>
              <c:strCache>
                <c:ptCount val="1"/>
                <c:pt idx="0">
                  <c:v> Otros pasivos no financieros corrientes 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'H&amp;M'!$B$29:$E$29</c:f>
              <c:numCache>
                <c:formatCode>"$"#,##0_);[Red]\("$"#,##0\)</c:formatCode>
                <c:ptCount val="4"/>
                <c:pt idx="0">
                  <c:v>831606</c:v>
                </c:pt>
                <c:pt idx="1">
                  <c:v>0</c:v>
                </c:pt>
                <c:pt idx="2">
                  <c:v>2788402</c:v>
                </c:pt>
                <c:pt idx="3">
                  <c:v>1853237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92-43B9-BA81-8E2A56110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51535"/>
        <c:axId val="1924039887"/>
      </c:scatterChart>
      <c:valAx>
        <c:axId val="1924051535"/>
        <c:scaling>
          <c:orientation val="minMax"/>
          <c:max val="2020"/>
          <c:min val="2017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39887"/>
        <c:crosses val="autoZero"/>
        <c:crossBetween val="midCat"/>
        <c:majorUnit val="1"/>
      </c:valAx>
      <c:valAx>
        <c:axId val="1924039887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51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396519794223436"/>
          <c:y val="0.76018860239467889"/>
          <c:w val="0.8000587363676066"/>
          <c:h val="0.225482920576298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Activos corrientes y Pasivos corrientes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879112604497702"/>
          <c:y val="7.5008968573254869E-2"/>
          <c:w val="0.80837082768252944"/>
          <c:h val="0.814953641160700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'H&amp;M'!$A$12</c:f>
              <c:strCache>
                <c:ptCount val="1"/>
                <c:pt idx="0">
                  <c:v> Activos corrientes totales </c:v>
                </c:pt>
              </c:strCache>
            </c:strRef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'H&amp;M'!$B$12:$E$12</c:f>
              <c:numCache>
                <c:formatCode>"$"#,##0_);[Red]\("$"#,##0\)</c:formatCode>
                <c:ptCount val="4"/>
                <c:pt idx="0">
                  <c:v>123676224</c:v>
                </c:pt>
                <c:pt idx="1">
                  <c:v>121413091</c:v>
                </c:pt>
                <c:pt idx="2">
                  <c:v>89743836</c:v>
                </c:pt>
                <c:pt idx="3">
                  <c:v>172822710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C1-4FB4-94C4-367A3126BEA6}"/>
            </c:ext>
          </c:extLst>
        </c:ser>
        <c:ser>
          <c:idx val="1"/>
          <c:order val="1"/>
          <c:tx>
            <c:strRef>
              <c:f>'H&amp;M'!$A$30</c:f>
              <c:strCache>
                <c:ptCount val="1"/>
                <c:pt idx="0">
                  <c:v> Pasivos corrientes totales 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'H&amp;M'!$B$30:$E$30</c:f>
              <c:numCache>
                <c:formatCode>"$"#,##0_);[Red]\("$"#,##0\)</c:formatCode>
                <c:ptCount val="4"/>
                <c:pt idx="0">
                  <c:v>119816243</c:v>
                </c:pt>
                <c:pt idx="1">
                  <c:v>71835195</c:v>
                </c:pt>
                <c:pt idx="2">
                  <c:v>72071099</c:v>
                </c:pt>
                <c:pt idx="3">
                  <c:v>46651917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0C1-4FB4-94C4-367A3126B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51535"/>
        <c:axId val="1924039887"/>
      </c:scatterChart>
      <c:valAx>
        <c:axId val="1924051535"/>
        <c:scaling>
          <c:orientation val="minMax"/>
          <c:max val="2020"/>
          <c:min val="2017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39887"/>
        <c:crosses val="autoZero"/>
        <c:crossBetween val="midCat"/>
        <c:majorUnit val="1"/>
      </c:valAx>
      <c:valAx>
        <c:axId val="1924039887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51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01348096269457"/>
          <c:y val="0.92689760362604101"/>
          <c:w val="0.63734377846425616"/>
          <c:h val="3.4066171021927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Indicadores de Liquidez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879112604497702"/>
          <c:y val="7.5008968573254869E-2"/>
          <c:w val="0.80837082768252944"/>
          <c:h val="0.814953641160700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'H&amp;M'!$A$12</c:f>
              <c:strCache>
                <c:ptCount val="1"/>
                <c:pt idx="0">
                  <c:v> Activos corrientes totales </c:v>
                </c:pt>
              </c:strCache>
            </c:strRef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'H&amp;M'!$B$12:$E$12</c:f>
              <c:numCache>
                <c:formatCode>"$"#,##0_);[Red]\("$"#,##0\)</c:formatCode>
                <c:ptCount val="4"/>
                <c:pt idx="0">
                  <c:v>123676224</c:v>
                </c:pt>
                <c:pt idx="1">
                  <c:v>121413091</c:v>
                </c:pt>
                <c:pt idx="2">
                  <c:v>89743836</c:v>
                </c:pt>
                <c:pt idx="3">
                  <c:v>172822710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C-4D7C-AE0B-6CB84D105D72}"/>
            </c:ext>
          </c:extLst>
        </c:ser>
        <c:ser>
          <c:idx val="1"/>
          <c:order val="1"/>
          <c:tx>
            <c:strRef>
              <c:f>'H&amp;M'!$A$30</c:f>
              <c:strCache>
                <c:ptCount val="1"/>
                <c:pt idx="0">
                  <c:v> Pasivos corrientes totales 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'H&amp;M'!$B$30:$E$30</c:f>
              <c:numCache>
                <c:formatCode>"$"#,##0_);[Red]\("$"#,##0\)</c:formatCode>
                <c:ptCount val="4"/>
                <c:pt idx="0">
                  <c:v>119816243</c:v>
                </c:pt>
                <c:pt idx="1">
                  <c:v>71835195</c:v>
                </c:pt>
                <c:pt idx="2">
                  <c:v>72071099</c:v>
                </c:pt>
                <c:pt idx="3">
                  <c:v>46651917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7C-4D7C-AE0B-6CB84D105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51535"/>
        <c:axId val="1924039887"/>
      </c:scatterChart>
      <c:scatterChart>
        <c:scatterStyle val="lineMarker"/>
        <c:varyColors val="0"/>
        <c:ser>
          <c:idx val="2"/>
          <c:order val="2"/>
          <c:tx>
            <c:strRef>
              <c:f>'H&amp;M'!$G$6</c:f>
              <c:strCache>
                <c:ptCount val="1"/>
                <c:pt idx="0">
                  <c:v> Razón corriente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'H&amp;M'!$H$5:$K$5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'H&amp;M'!$H$6:$K$6</c:f>
              <c:numCache>
                <c:formatCode>0.00</c:formatCode>
                <c:ptCount val="4"/>
                <c:pt idx="0">
                  <c:v>1.0322158407186912</c:v>
                </c:pt>
                <c:pt idx="1">
                  <c:v>1.6901616401264032</c:v>
                </c:pt>
                <c:pt idx="2">
                  <c:v>1.2452125365814111</c:v>
                </c:pt>
                <c:pt idx="3">
                  <c:v>3.7045146504912112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7C-4D7C-AE0B-6CB84D105D72}"/>
            </c:ext>
          </c:extLst>
        </c:ser>
        <c:ser>
          <c:idx val="3"/>
          <c:order val="3"/>
          <c:tx>
            <c:strRef>
              <c:f>'H&amp;M'!$G$7</c:f>
              <c:strCache>
                <c:ptCount val="1"/>
                <c:pt idx="0">
                  <c:v> Prueba Ácida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solidFill>
                <a:schemeClr val="accent1">
                  <a:lumMod val="75000"/>
                </a:schemeClr>
              </a:solidFill>
              <a:ln w="381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'H&amp;M'!$H$5:$K$5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'H&amp;M'!$H$7:$K$7</c:f>
              <c:numCache>
                <c:formatCode>0.00</c:formatCode>
                <c:ptCount val="4"/>
                <c:pt idx="0">
                  <c:v>0.64874610531728993</c:v>
                </c:pt>
                <c:pt idx="1">
                  <c:v>1.2940163522908235</c:v>
                </c:pt>
                <c:pt idx="2">
                  <c:v>0.66540504675806322</c:v>
                </c:pt>
                <c:pt idx="3">
                  <c:v>2.109810385712553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7C-4D7C-AE0B-6CB84D105D72}"/>
            </c:ext>
          </c:extLst>
        </c:ser>
        <c:ser>
          <c:idx val="4"/>
          <c:order val="4"/>
          <c:tx>
            <c:strRef>
              <c:f>'H&amp;M'!$G$9</c:f>
              <c:strCache>
                <c:ptCount val="1"/>
                <c:pt idx="0">
                  <c:v> Liquidez (personalizado)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6">
                  <a:lumMod val="75000"/>
                </a:schemeClr>
              </a:solidFill>
              <a:ln w="38100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'H&amp;M'!$H$5:$K$5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'H&amp;M'!$H$9:$K$9</c:f>
              <c:numCache>
                <c:formatCode>0.00</c:formatCode>
                <c:ptCount val="4"/>
                <c:pt idx="0">
                  <c:v>0.52399618485837252</c:v>
                </c:pt>
                <c:pt idx="1">
                  <c:v>1.2366420667903788</c:v>
                </c:pt>
                <c:pt idx="2">
                  <c:v>0.8927451114886924</c:v>
                </c:pt>
                <c:pt idx="3">
                  <c:v>2.8066085043670843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7C-4D7C-AE0B-6CB84D105D72}"/>
            </c:ext>
          </c:extLst>
        </c:ser>
        <c:ser>
          <c:idx val="5"/>
          <c:order val="5"/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dash"/>
            <c:size val="5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xVal>
            <c:numRef>
              <c:f>'H&amp;M'!$H$5:$K$5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D67C-4D7C-AE0B-6CB84D105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903919"/>
        <c:axId val="2133915151"/>
      </c:scatterChart>
      <c:valAx>
        <c:axId val="1924051535"/>
        <c:scaling>
          <c:orientation val="minMax"/>
          <c:max val="2020"/>
          <c:min val="2017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39887"/>
        <c:crosses val="autoZero"/>
        <c:crossBetween val="midCat"/>
        <c:majorUnit val="1"/>
      </c:valAx>
      <c:valAx>
        <c:axId val="1924039887"/>
        <c:scaling>
          <c:orientation val="minMax"/>
          <c:max val="175000000.00000003"/>
          <c:min val="45000000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51535"/>
        <c:crosses val="autoZero"/>
        <c:crossBetween val="midCat"/>
      </c:valAx>
      <c:valAx>
        <c:axId val="2133915151"/>
        <c:scaling>
          <c:orientation val="minMax"/>
          <c:max val="5"/>
          <c:min val="-8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2133903919"/>
        <c:crosses val="max"/>
        <c:crossBetween val="midCat"/>
      </c:valAx>
      <c:valAx>
        <c:axId val="2133903919"/>
        <c:scaling>
          <c:orientation val="minMax"/>
        </c:scaling>
        <c:delete val="1"/>
        <c:axPos val="b"/>
        <c:numFmt formatCode="@" sourceLinked="1"/>
        <c:majorTickMark val="out"/>
        <c:minorTickMark val="none"/>
        <c:tickLblPos val="nextTo"/>
        <c:crossAx val="21339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0.1801348096269457"/>
          <c:y val="0.92689760362604101"/>
          <c:w val="0.80019015638439073"/>
          <c:h val="6.13415105920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9112604497702"/>
          <c:y val="8.1875239278279915E-2"/>
          <c:w val="0.80837082768252944"/>
          <c:h val="0.76906691614043299"/>
        </c:manualLayout>
      </c:layout>
      <c:scatterChart>
        <c:scatterStyle val="lineMarker"/>
        <c:varyColors val="0"/>
        <c:ser>
          <c:idx val="0"/>
          <c:order val="0"/>
          <c:tx>
            <c:strRef>
              <c:f>'H&amp;M'!$A$23</c:f>
              <c:strCache>
                <c:ptCount val="1"/>
                <c:pt idx="0">
                  <c:v> Total de activos 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'H&amp;M'!$B$23:$E$23</c:f>
              <c:numCache>
                <c:formatCode>"$"#,##0_);[Red]\("$"#,##0\)</c:formatCode>
                <c:ptCount val="4"/>
                <c:pt idx="0">
                  <c:v>181453670</c:v>
                </c:pt>
                <c:pt idx="1">
                  <c:v>180111072</c:v>
                </c:pt>
                <c:pt idx="2">
                  <c:v>184414887</c:v>
                </c:pt>
                <c:pt idx="3">
                  <c:v>278453717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64-4D1C-8A72-6A82ED5AE55C}"/>
            </c:ext>
          </c:extLst>
        </c:ser>
        <c:ser>
          <c:idx val="1"/>
          <c:order val="1"/>
          <c:tx>
            <c:strRef>
              <c:f>'H&amp;M'!$A$39</c:f>
              <c:strCache>
                <c:ptCount val="1"/>
                <c:pt idx="0">
                  <c:v> Total pasivos 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x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'H&amp;M'!$B$39:$E$39</c:f>
              <c:numCache>
                <c:formatCode>"$"#,##0_);[Red]\("$"#,##0\)</c:formatCode>
                <c:ptCount val="4"/>
                <c:pt idx="0">
                  <c:v>175298743</c:v>
                </c:pt>
                <c:pt idx="1">
                  <c:v>176817977</c:v>
                </c:pt>
                <c:pt idx="2">
                  <c:v>119078142</c:v>
                </c:pt>
                <c:pt idx="3">
                  <c:v>202959310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164-4D1C-8A72-6A82ED5AE55C}"/>
            </c:ext>
          </c:extLst>
        </c:ser>
        <c:ser>
          <c:idx val="2"/>
          <c:order val="2"/>
          <c:tx>
            <c:strRef>
              <c:f>'H&amp;M'!$A$43</c:f>
              <c:strCache>
                <c:ptCount val="1"/>
                <c:pt idx="0">
                  <c:v> Patrimonio total 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'H&amp;M'!$B$5:$E$5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'H&amp;M'!$B$43:$E$43</c:f>
              <c:numCache>
                <c:formatCode>"$"#,##0_);[Red]\("$"#,##0\)</c:formatCode>
                <c:ptCount val="4"/>
                <c:pt idx="0">
                  <c:v>6154927</c:v>
                </c:pt>
                <c:pt idx="1">
                  <c:v>3293095</c:v>
                </c:pt>
                <c:pt idx="2">
                  <c:v>65336745</c:v>
                </c:pt>
                <c:pt idx="3">
                  <c:v>75494407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164-4D1C-8A72-6A82ED5AE55C}"/>
            </c:ext>
          </c:extLst>
        </c:ser>
        <c:ser>
          <c:idx val="3"/>
          <c:order val="3"/>
          <c:tx>
            <c:strRef>
              <c:f>'H&amp;M'!$G$14</c:f>
              <c:strCache>
                <c:ptCount val="1"/>
                <c:pt idx="0">
                  <c:v> Total Deuda 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'H&amp;M'!$H$12:$K$12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'H&amp;M'!$H$14:$K$14</c:f>
              <c:numCache>
                <c:formatCode>"$"#,##0_);[Red]\("$"#,##0\)</c:formatCode>
                <c:ptCount val="4"/>
                <c:pt idx="0">
                  <c:v>0</c:v>
                </c:pt>
                <c:pt idx="1">
                  <c:v>103658589</c:v>
                </c:pt>
                <c:pt idx="2">
                  <c:v>7954861</c:v>
                </c:pt>
                <c:pt idx="3">
                  <c:v>5758703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164-4D1C-8A72-6A82ED5AE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51535"/>
        <c:axId val="1924039887"/>
      </c:scatterChart>
      <c:valAx>
        <c:axId val="1924051535"/>
        <c:scaling>
          <c:orientation val="minMax"/>
          <c:max val="2020"/>
          <c:min val="2017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39887"/>
        <c:crosses val="autoZero"/>
        <c:crossBetween val="midCat"/>
        <c:majorUnit val="1"/>
      </c:valAx>
      <c:valAx>
        <c:axId val="1924039887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51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90858854725419"/>
          <c:y val="0.91068361009329279"/>
          <c:w val="0.82809141145274578"/>
          <c:h val="4.4153621113566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Indicadores de endeudamiento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0929052891524808E-2"/>
          <c:y val="0.10894489701882197"/>
          <c:w val="0.87640426694735141"/>
          <c:h val="0.6416661089695348"/>
        </c:manualLayout>
      </c:layout>
      <c:scatterChart>
        <c:scatterStyle val="lineMarker"/>
        <c:varyColors val="0"/>
        <c:ser>
          <c:idx val="0"/>
          <c:order val="0"/>
          <c:tx>
            <c:strRef>
              <c:f>'H&amp;M'!$G$13</c:f>
              <c:strCache>
                <c:ptCount val="1"/>
                <c:pt idx="0">
                  <c:v> Nivel endeudamiento 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056555269922879E-2"/>
                  <c:y val="-2.2191395015742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E7-4FE3-931D-C4708433272D}"/>
                </c:ext>
              </c:extLst>
            </c:dLbl>
            <c:dLbl>
              <c:idx val="1"/>
              <c:layout>
                <c:manualLayout>
                  <c:x val="-3.0848329048843225E-2"/>
                  <c:y val="-1.99722555141685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8E7-4FE3-931D-C4708433272D}"/>
                </c:ext>
              </c:extLst>
            </c:dLbl>
            <c:dLbl>
              <c:idx val="2"/>
              <c:layout>
                <c:manualLayout>
                  <c:x val="-2.6735218508997429E-2"/>
                  <c:y val="-2.4410534517317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E7-4FE3-931D-C4708433272D}"/>
                </c:ext>
              </c:extLst>
            </c:dLbl>
            <c:dLbl>
              <c:idx val="3"/>
              <c:layout>
                <c:manualLayout>
                  <c:x val="-4.7300771208226372E-2"/>
                  <c:y val="-2.2191395015742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8E7-4FE3-931D-C470843327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'H&amp;M'!$H$12:$K$12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'H&amp;M'!$H$13:$K$13</c:f>
              <c:numCache>
                <c:formatCode>0.00</c:formatCode>
                <c:ptCount val="4"/>
                <c:pt idx="0">
                  <c:v>0.96607989797065008</c:v>
                </c:pt>
                <c:pt idx="1">
                  <c:v>0.98171631003339987</c:v>
                </c:pt>
                <c:pt idx="2">
                  <c:v>0.64570785979984358</c:v>
                </c:pt>
                <c:pt idx="3">
                  <c:v>0.72887987341896388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E7-4FE3-931D-C4708433272D}"/>
            </c:ext>
          </c:extLst>
        </c:ser>
        <c:ser>
          <c:idx val="1"/>
          <c:order val="1"/>
          <c:tx>
            <c:strRef>
              <c:f>'H&amp;M'!$G$15</c:f>
              <c:strCache>
                <c:ptCount val="1"/>
                <c:pt idx="0">
                  <c:v> Nivel endeudamiento* </c:v>
                </c:pt>
              </c:strCache>
            </c:strRef>
          </c:tx>
          <c:spPr>
            <a:ln w="254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star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904884318766071E-2"/>
                  <c:y val="-3.99445110283370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E7-4FE3-931D-C4708433272D}"/>
                </c:ext>
              </c:extLst>
            </c:dLbl>
            <c:dLbl>
              <c:idx val="2"/>
              <c:layout>
                <c:manualLayout>
                  <c:x val="-2.0565552699228867E-2"/>
                  <c:y val="-1.9972255514168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8E7-4FE3-931D-C4708433272D}"/>
                </c:ext>
              </c:extLst>
            </c:dLbl>
            <c:dLbl>
              <c:idx val="3"/>
              <c:layout>
                <c:manualLayout>
                  <c:x val="-3.084832904884334E-2"/>
                  <c:y val="-1.9972255514168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E7-4FE3-931D-C470843327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'H&amp;M'!$H$12:$K$12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'H&amp;M'!$H$15:$K$15</c:f>
              <c:numCache>
                <c:formatCode>0.00</c:formatCode>
                <c:ptCount val="4"/>
                <c:pt idx="0">
                  <c:v>0</c:v>
                </c:pt>
                <c:pt idx="1">
                  <c:v>0.5755259121438131</c:v>
                </c:pt>
                <c:pt idx="2">
                  <c:v>4.31356770020416E-2</c:v>
                </c:pt>
                <c:pt idx="3">
                  <c:v>2.0681006028732594E-2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E7-4FE3-931D-C4708433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51535"/>
        <c:axId val="1924039887"/>
      </c:scatterChart>
      <c:valAx>
        <c:axId val="1924051535"/>
        <c:scaling>
          <c:orientation val="minMax"/>
          <c:max val="2020"/>
          <c:min val="2017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39887"/>
        <c:crosses val="autoZero"/>
        <c:crossBetween val="midCat"/>
        <c:majorUnit val="1"/>
        <c:minorUnit val="1"/>
      </c:valAx>
      <c:valAx>
        <c:axId val="192403988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51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589822480416163E-2"/>
          <c:y val="0.82232450843875848"/>
          <c:w val="0.85668530251199315"/>
          <c:h val="0.142052885763765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Indicadores de endeudamiento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0929052891524808E-2"/>
          <c:y val="0.10894489701882197"/>
          <c:w val="0.84207987369188109"/>
          <c:h val="0.6416661089695348"/>
        </c:manualLayout>
      </c:layout>
      <c:scatterChart>
        <c:scatterStyle val="lineMarker"/>
        <c:varyColors val="0"/>
        <c:ser>
          <c:idx val="2"/>
          <c:order val="0"/>
          <c:tx>
            <c:strRef>
              <c:f>'H&amp;M'!$G$16</c:f>
              <c:strCache>
                <c:ptCount val="1"/>
                <c:pt idx="0">
                  <c:v> Ratio Deuda-Capital 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D98-4C57-B6FE-DEAAC3E3B638}"/>
                </c:ext>
              </c:extLst>
            </c:dLbl>
            <c:dLbl>
              <c:idx val="1"/>
              <c:layout>
                <c:manualLayout>
                  <c:x val="-9.8714652956298166E-2"/>
                  <c:y val="2.21913950157427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D98-4C57-B6FE-DEAAC3E3B638}"/>
                </c:ext>
              </c:extLst>
            </c:dLbl>
            <c:dLbl>
              <c:idx val="2"/>
              <c:layout>
                <c:manualLayout>
                  <c:x val="-0.12956298200514138"/>
                  <c:y val="4.43827900314855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98-4C57-B6FE-DEAAC3E3B638}"/>
                </c:ext>
              </c:extLst>
            </c:dLbl>
            <c:dLbl>
              <c:idx val="3"/>
              <c:layout>
                <c:manualLayout>
                  <c:x val="-6.7866323907455006E-2"/>
                  <c:y val="-5.5478487539356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D98-4C57-B6FE-DEAAC3E3B6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'H&amp;M'!$H$12:$K$12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'H&amp;M'!$H$16:$K$16</c:f>
              <c:numCache>
                <c:formatCode>0%</c:formatCode>
                <c:ptCount val="4"/>
                <c:pt idx="0">
                  <c:v>0</c:v>
                </c:pt>
                <c:pt idx="1">
                  <c:v>0.96920950772500225</c:v>
                </c:pt>
                <c:pt idx="2">
                  <c:v>0.10853713588974978</c:v>
                </c:pt>
                <c:pt idx="3">
                  <c:v>7.0873631790832378E-2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98-4C57-B6FE-DEAAC3E3B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51535"/>
        <c:axId val="1924039887"/>
      </c:scatterChart>
      <c:scatterChart>
        <c:scatterStyle val="lineMarker"/>
        <c:varyColors val="0"/>
        <c:ser>
          <c:idx val="3"/>
          <c:order val="1"/>
          <c:tx>
            <c:strRef>
              <c:f>'H&amp;M'!$G$17</c:f>
              <c:strCache>
                <c:ptCount val="1"/>
                <c:pt idx="0">
                  <c:v> Ratio Deuda-Equity </c:v>
                </c:pt>
              </c:strCache>
            </c:strRef>
          </c:tx>
          <c:spPr>
            <a:ln w="2540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056555269922879E-3"/>
                  <c:y val="-1.7753116012594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98-4C57-B6FE-DEAAC3E3B638}"/>
                </c:ext>
              </c:extLst>
            </c:dLbl>
            <c:dLbl>
              <c:idx val="1"/>
              <c:layout>
                <c:manualLayout>
                  <c:x val="9.4601542416452439E-2"/>
                  <c:y val="-1.5533976511019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D98-4C57-B6FE-DEAAC3E3B638}"/>
                </c:ext>
              </c:extLst>
            </c:dLbl>
            <c:dLbl>
              <c:idx val="2"/>
              <c:layout>
                <c:manualLayout>
                  <c:x val="-6.1696658097685625E-3"/>
                  <c:y val="-2.6629674018891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98-4C57-B6FE-DEAAC3E3B638}"/>
                </c:ext>
              </c:extLst>
            </c:dLbl>
            <c:dLbl>
              <c:idx val="3"/>
              <c:layout>
                <c:manualLayout>
                  <c:x val="1.6452442159382883E-2"/>
                  <c:y val="-1.7753116012594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D98-4C57-B6FE-DEAAC3E3B6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'H&amp;M'!$H$12:$K$12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'H&amp;M'!$H$17:$K$17</c:f>
              <c:numCache>
                <c:formatCode>0.00</c:formatCode>
                <c:ptCount val="4"/>
                <c:pt idx="0">
                  <c:v>0</c:v>
                </c:pt>
                <c:pt idx="1">
                  <c:v>31.477558041902832</c:v>
                </c:pt>
                <c:pt idx="2">
                  <c:v>0.12175171873040201</c:v>
                </c:pt>
                <c:pt idx="3">
                  <c:v>7.627986269234488E-2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98-4C57-B6FE-DEAAC3E3B638}"/>
            </c:ext>
          </c:extLst>
        </c:ser>
        <c:ser>
          <c:idx val="0"/>
          <c:order val="2"/>
          <c:tx>
            <c:strRef>
              <c:f>'H&amp;M'!$G$18</c:f>
              <c:strCache>
                <c:ptCount val="1"/>
                <c:pt idx="0">
                  <c:v> Apalancamiento financiero** </c:v>
                </c:pt>
              </c:strCache>
            </c:strRef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7300771208226296E-2"/>
                  <c:y val="-2.66296740188913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D98-4C57-B6FE-DEAAC3E3B638}"/>
                </c:ext>
              </c:extLst>
            </c:dLbl>
            <c:dLbl>
              <c:idx val="2"/>
              <c:layout>
                <c:manualLayout>
                  <c:x val="-6.169665809768638E-3"/>
                  <c:y val="-3.3287092523614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D98-4C57-B6FE-DEAAC3E3B638}"/>
                </c:ext>
              </c:extLst>
            </c:dLbl>
            <c:dLbl>
              <c:idx val="3"/>
              <c:layout>
                <c:manualLayout>
                  <c:x val="1.2339331619537125E-2"/>
                  <c:y val="-1.9972255514168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D98-4C57-B6FE-DEAAC3E3B638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'H&amp;M'!$H$12:$K$12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'H&amp;M'!$H$18:$K$18</c:f>
              <c:numCache>
                <c:formatCode>0.00</c:formatCode>
                <c:ptCount val="4"/>
                <c:pt idx="1">
                  <c:v>38.268829390956121</c:v>
                </c:pt>
                <c:pt idx="2">
                  <c:v>5.3114790738256126</c:v>
                </c:pt>
                <c:pt idx="3">
                  <c:v>3.2866918819211248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D98-4C57-B6FE-DEAAC3E3B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29999"/>
        <c:axId val="40033743"/>
      </c:scatterChart>
      <c:valAx>
        <c:axId val="1924051535"/>
        <c:scaling>
          <c:orientation val="minMax"/>
          <c:max val="2021"/>
          <c:min val="2017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39887"/>
        <c:crosses val="autoZero"/>
        <c:crossBetween val="midCat"/>
        <c:majorUnit val="1"/>
        <c:minorUnit val="1"/>
      </c:valAx>
      <c:valAx>
        <c:axId val="192403988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51535"/>
        <c:crosses val="autoZero"/>
        <c:crossBetween val="midCat"/>
      </c:valAx>
      <c:valAx>
        <c:axId val="4003374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40029999"/>
        <c:crosses val="max"/>
        <c:crossBetween val="midCat"/>
      </c:valAx>
      <c:valAx>
        <c:axId val="40029999"/>
        <c:scaling>
          <c:orientation val="minMax"/>
        </c:scaling>
        <c:delete val="1"/>
        <c:axPos val="b"/>
        <c:numFmt formatCode="@" sourceLinked="1"/>
        <c:majorTickMark val="out"/>
        <c:minorTickMark val="none"/>
        <c:tickLblPos val="nextTo"/>
        <c:crossAx val="40033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589822480416163E-2"/>
          <c:y val="0.82232450843875848"/>
          <c:w val="0.88519174948889745"/>
          <c:h val="3.7184565482875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Indicadores de endeudamiento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0929052891524808E-2"/>
          <c:y val="0.10894489701882197"/>
          <c:w val="0.84207987369188109"/>
          <c:h val="0.6416661089695348"/>
        </c:manualLayout>
      </c:layout>
      <c:scatterChart>
        <c:scatterStyle val="lineMarker"/>
        <c:varyColors val="0"/>
        <c:ser>
          <c:idx val="1"/>
          <c:order val="1"/>
          <c:tx>
            <c:strRef>
              <c:f>'H&amp;M'!$A$56</c:f>
              <c:strCache>
                <c:ptCount val="1"/>
                <c:pt idx="0">
                  <c:v> Ganancia (pérdida) por actividades de operación 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'H&amp;M'!$B$47:$E$47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'H&amp;M'!$B$56:$E$56</c:f>
              <c:numCache>
                <c:formatCode>"$"#,##0_);[Red]\("$"#,##0\)</c:formatCode>
                <c:ptCount val="4"/>
                <c:pt idx="0">
                  <c:v>-9511037</c:v>
                </c:pt>
                <c:pt idx="1">
                  <c:v>7059249</c:v>
                </c:pt>
                <c:pt idx="2">
                  <c:v>19696554</c:v>
                </c:pt>
                <c:pt idx="3">
                  <c:v>21953202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0B5-457F-BCAA-77024489137B}"/>
            </c:ext>
          </c:extLst>
        </c:ser>
        <c:ser>
          <c:idx val="2"/>
          <c:order val="2"/>
          <c:tx>
            <c:strRef>
              <c:f>'H&amp;M'!$A$58</c:f>
              <c:strCache>
                <c:ptCount val="1"/>
                <c:pt idx="0">
                  <c:v> Costos financieros </c:v>
                </c:pt>
              </c:strCache>
            </c:strRef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'H&amp;M'!$B$47:$E$47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'H&amp;M'!$B$58:$E$58</c:f>
              <c:numCache>
                <c:formatCode>"$"#,##0_);[Red]\("$"#,##0\)</c:formatCode>
                <c:ptCount val="4"/>
                <c:pt idx="0">
                  <c:v>7196584</c:v>
                </c:pt>
                <c:pt idx="1">
                  <c:v>6052503</c:v>
                </c:pt>
                <c:pt idx="2">
                  <c:v>8309315</c:v>
                </c:pt>
                <c:pt idx="3">
                  <c:v>5544644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0B5-457F-BCAA-770244891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51535"/>
        <c:axId val="1924039887"/>
      </c:scatterChart>
      <c:scatterChart>
        <c:scatterStyle val="lineMarker"/>
        <c:varyColors val="0"/>
        <c:ser>
          <c:idx val="0"/>
          <c:order val="0"/>
          <c:tx>
            <c:strRef>
              <c:f>'H&amp;M'!$A$48</c:f>
              <c:strCache>
                <c:ptCount val="1"/>
                <c:pt idx="0">
                  <c:v> Ingresos de actividades ordinarias 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plus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'H&amp;M'!$B$47:$E$47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'H&amp;M'!$B$48:$E$48</c:f>
              <c:numCache>
                <c:formatCode>"$"#,##0_);[Red]\("$"#,##0\)</c:formatCode>
                <c:ptCount val="4"/>
                <c:pt idx="0">
                  <c:v>95221493</c:v>
                </c:pt>
                <c:pt idx="1">
                  <c:v>146495809</c:v>
                </c:pt>
                <c:pt idx="2">
                  <c:v>207402435</c:v>
                </c:pt>
                <c:pt idx="3">
                  <c:v>209537978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0B5-457F-BCAA-770244891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902671"/>
        <c:axId val="2133902255"/>
      </c:scatterChart>
      <c:valAx>
        <c:axId val="1924051535"/>
        <c:scaling>
          <c:orientation val="minMax"/>
          <c:max val="2020"/>
          <c:min val="2017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39887"/>
        <c:crosses val="autoZero"/>
        <c:crossBetween val="midCat"/>
        <c:majorUnit val="1"/>
        <c:minorUnit val="1"/>
      </c:valAx>
      <c:valAx>
        <c:axId val="1924039887"/>
        <c:scaling>
          <c:orientation val="minMax"/>
          <c:min val="-10000000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51535"/>
        <c:crosses val="autoZero"/>
        <c:crossBetween val="midCat"/>
      </c:valAx>
      <c:valAx>
        <c:axId val="2133902255"/>
        <c:scaling>
          <c:orientation val="minMax"/>
          <c:max val="210000000"/>
          <c:min val="-30000000"/>
        </c:scaling>
        <c:delete val="0"/>
        <c:axPos val="r"/>
        <c:numFmt formatCode="&quot;$&quot;#,##0_);[Red]\(&quot;$&quot;#,##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2133902671"/>
        <c:crosses val="max"/>
        <c:crossBetween val="midCat"/>
      </c:valAx>
      <c:valAx>
        <c:axId val="2133902671"/>
        <c:scaling>
          <c:orientation val="minMax"/>
        </c:scaling>
        <c:delete val="1"/>
        <c:axPos val="b"/>
        <c:numFmt formatCode="@" sourceLinked="1"/>
        <c:majorTickMark val="out"/>
        <c:minorTickMark val="none"/>
        <c:tickLblPos val="nextTo"/>
        <c:crossAx val="2133902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589822480416163E-2"/>
          <c:y val="0.82232450843875848"/>
          <c:w val="0.68917579904054405"/>
          <c:h val="0.14373121922145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Indicadores de endeudamiento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0929052891524808E-2"/>
          <c:y val="0.10894489701882197"/>
          <c:w val="0.84207987369188109"/>
          <c:h val="0.6416661089695348"/>
        </c:manualLayout>
      </c:layout>
      <c:scatterChart>
        <c:scatterStyle val="lineMarker"/>
        <c:varyColors val="0"/>
        <c:ser>
          <c:idx val="0"/>
          <c:order val="0"/>
          <c:tx>
            <c:strRef>
              <c:f>'H&amp;M'!$G$19</c:f>
              <c:strCache>
                <c:ptCount val="1"/>
                <c:pt idx="0">
                  <c:v> Cobertura de intereses 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5452765540871267E-2"/>
                  <c:y val="2.2191395015742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032-4507-BD08-FCE202A4403A}"/>
                </c:ext>
              </c:extLst>
            </c:dLbl>
            <c:dLbl>
              <c:idx val="2"/>
              <c:layout>
                <c:manualLayout>
                  <c:x val="-5.2863436123348088E-2"/>
                  <c:y val="-2.6629674018891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032-4507-BD08-FCE202A4403A}"/>
                </c:ext>
              </c:extLst>
            </c:dLbl>
            <c:dLbl>
              <c:idx val="3"/>
              <c:layout>
                <c:manualLayout>
                  <c:x val="-7.0484581497797363E-2"/>
                  <c:y val="-1.7753116012594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032-4507-BD08-FCE202A440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'H&amp;M'!$H$12:$K$12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'H&amp;M'!$H$19:$K$19</c:f>
              <c:numCache>
                <c:formatCode>0.00</c:formatCode>
                <c:ptCount val="4"/>
                <c:pt idx="0">
                  <c:v>-1.3216043889712119</c:v>
                </c:pt>
                <c:pt idx="1">
                  <c:v>1.1663354813702695</c:v>
                </c:pt>
                <c:pt idx="2">
                  <c:v>2.3704185002012803</c:v>
                </c:pt>
                <c:pt idx="3">
                  <c:v>3.9593528457372558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032-4507-BD08-FCE202A44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51535"/>
        <c:axId val="1924039887"/>
      </c:scatterChart>
      <c:scatterChart>
        <c:scatterStyle val="lineMarker"/>
        <c:varyColors val="0"/>
        <c:ser>
          <c:idx val="1"/>
          <c:order val="1"/>
          <c:tx>
            <c:strRef>
              <c:f>'H&amp;M'!$G$20</c:f>
              <c:strCache>
                <c:ptCount val="1"/>
                <c:pt idx="0">
                  <c:v> Impacto carga financiera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9158100832109646E-3"/>
                  <c:y val="-1.99722555141685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032-4507-BD08-FCE202A4403A}"/>
                </c:ext>
              </c:extLst>
            </c:dLbl>
            <c:dLbl>
              <c:idx val="1"/>
              <c:layout>
                <c:manualLayout>
                  <c:x val="-2.3494860499265784E-2"/>
                  <c:y val="-2.4410534517317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032-4507-BD08-FCE202A4403A}"/>
                </c:ext>
              </c:extLst>
            </c:dLbl>
            <c:dLbl>
              <c:idx val="2"/>
              <c:layout>
                <c:manualLayout>
                  <c:x val="-3.5242290748898751E-2"/>
                  <c:y val="-2.6629674018891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032-4507-BD08-FCE202A4403A}"/>
                </c:ext>
              </c:extLst>
            </c:dLbl>
            <c:dLbl>
              <c:idx val="3"/>
              <c:layout>
                <c:manualLayout>
                  <c:x val="-5.2863436123348019E-2"/>
                  <c:y val="-3.3287092523614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32-4507-BD08-FCE202A440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'H&amp;M'!$H$12:$K$12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'H&amp;M'!$H$20:$K$20</c:f>
              <c:numCache>
                <c:formatCode>0%</c:formatCode>
                <c:ptCount val="4"/>
                <c:pt idx="0">
                  <c:v>7.5577306900659502E-2</c:v>
                </c:pt>
                <c:pt idx="1">
                  <c:v>4.1315195576687114E-2</c:v>
                </c:pt>
                <c:pt idx="2">
                  <c:v>4.0063729242137393E-2</c:v>
                </c:pt>
                <c:pt idx="3">
                  <c:v>2.646128426418241E-2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032-4507-BD08-FCE202A4403A}"/>
            </c:ext>
          </c:extLst>
        </c:ser>
        <c:ser>
          <c:idx val="2"/>
          <c:order val="2"/>
          <c:tx>
            <c:strRef>
              <c:f>'H&amp;M'!$G$26</c:f>
              <c:strCache>
                <c:ptCount val="1"/>
                <c:pt idx="0">
                  <c:v> Margen Operacional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'H&amp;M'!$H$24:$K$24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'H&amp;M'!$H$26:$K$26</c:f>
              <c:numCache>
                <c:formatCode>0%</c:formatCode>
                <c:ptCount val="4"/>
                <c:pt idx="0">
                  <c:v>-0.20504926736296047</c:v>
                </c:pt>
                <c:pt idx="1">
                  <c:v>9.2048369340266487E-2</c:v>
                </c:pt>
                <c:pt idx="2">
                  <c:v>0.18524281696177955</c:v>
                </c:pt>
                <c:pt idx="3">
                  <c:v>0.21504388635748786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032-4507-BD08-FCE202A44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163599"/>
        <c:axId val="2053163183"/>
      </c:scatterChart>
      <c:valAx>
        <c:axId val="1924051535"/>
        <c:scaling>
          <c:orientation val="minMax"/>
          <c:max val="2020"/>
          <c:min val="2017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39887"/>
        <c:crosses val="autoZero"/>
        <c:crossBetween val="midCat"/>
        <c:majorUnit val="1"/>
        <c:minorUnit val="1"/>
      </c:valAx>
      <c:valAx>
        <c:axId val="1924039887"/>
        <c:scaling>
          <c:orientation val="minMax"/>
          <c:max val="4"/>
          <c:min val="-1.5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51535"/>
        <c:crosses val="autoZero"/>
        <c:crossBetween val="midCat"/>
      </c:valAx>
      <c:valAx>
        <c:axId val="2053163183"/>
        <c:scaling>
          <c:orientation val="minMax"/>
          <c:max val="0.25"/>
          <c:min val="-0.30000000000000004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2053163599"/>
        <c:crosses val="max"/>
        <c:crossBetween val="midCat"/>
      </c:valAx>
      <c:valAx>
        <c:axId val="2053163599"/>
        <c:scaling>
          <c:orientation val="minMax"/>
        </c:scaling>
        <c:delete val="1"/>
        <c:axPos val="b"/>
        <c:numFmt formatCode="@" sourceLinked="1"/>
        <c:majorTickMark val="out"/>
        <c:minorTickMark val="none"/>
        <c:tickLblPos val="nextTo"/>
        <c:crossAx val="2053163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589822480416163E-2"/>
          <c:y val="0.82232450843875848"/>
          <c:w val="0.83913605512967271"/>
          <c:h val="3.7184565482875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Indicadores de Rentabilidad (Márgenes)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879112604497702"/>
          <c:y val="8.1875239278279915E-2"/>
          <c:w val="0.80837082768252944"/>
          <c:h val="0.76906691614043299"/>
        </c:manualLayout>
      </c:layout>
      <c:scatterChart>
        <c:scatterStyle val="lineMarker"/>
        <c:varyColors val="0"/>
        <c:ser>
          <c:idx val="0"/>
          <c:order val="0"/>
          <c:tx>
            <c:strRef>
              <c:f>'H&amp;M'!$G$25</c:f>
              <c:strCache>
                <c:ptCount val="1"/>
                <c:pt idx="0">
                  <c:v> Margen Bruto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'H&amp;M'!$H$24:$K$24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'H&amp;M'!$H$25:$K$25</c:f>
              <c:numCache>
                <c:formatCode>0%</c:formatCode>
                <c:ptCount val="4"/>
                <c:pt idx="0">
                  <c:v>0.48711854370945434</c:v>
                </c:pt>
                <c:pt idx="1">
                  <c:v>0.52350062109967943</c:v>
                </c:pt>
                <c:pt idx="2">
                  <c:v>0.51266659911683299</c:v>
                </c:pt>
                <c:pt idx="3">
                  <c:v>0.48720083573584927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1F-4C0B-ACFA-0E099EB64AB3}"/>
            </c:ext>
          </c:extLst>
        </c:ser>
        <c:ser>
          <c:idx val="1"/>
          <c:order val="1"/>
          <c:tx>
            <c:strRef>
              <c:f>'H&amp;M'!$G$26</c:f>
              <c:strCache>
                <c:ptCount val="1"/>
                <c:pt idx="0">
                  <c:v> Margen Operacional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'H&amp;M'!$H$24:$K$24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'H&amp;M'!$H$26:$K$26</c:f>
              <c:numCache>
                <c:formatCode>0%</c:formatCode>
                <c:ptCount val="4"/>
                <c:pt idx="0">
                  <c:v>-0.20504926736296047</c:v>
                </c:pt>
                <c:pt idx="1">
                  <c:v>9.2048369340266487E-2</c:v>
                </c:pt>
                <c:pt idx="2">
                  <c:v>0.18524281696177955</c:v>
                </c:pt>
                <c:pt idx="3">
                  <c:v>0.21504388635748786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1F-4C0B-ACFA-0E099EB64AB3}"/>
            </c:ext>
          </c:extLst>
        </c:ser>
        <c:ser>
          <c:idx val="2"/>
          <c:order val="2"/>
          <c:tx>
            <c:strRef>
              <c:f>'H&amp;M'!$G$28</c:f>
              <c:strCache>
                <c:ptCount val="1"/>
                <c:pt idx="0">
                  <c:v> Margen EBITDA 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'H&amp;M'!$H$24:$K$24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'H&amp;M'!$H$28:$K$28</c:f>
              <c:numCache>
                <c:formatCode>0%</c:formatCode>
                <c:ptCount val="4"/>
                <c:pt idx="0">
                  <c:v>-5.9110142286888948E-2</c:v>
                </c:pt>
                <c:pt idx="1">
                  <c:v>0.10513845484822026</c:v>
                </c:pt>
                <c:pt idx="2">
                  <c:v>0.16035861874042126</c:v>
                </c:pt>
                <c:pt idx="3">
                  <c:v>0.19204070490744166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1F-4C0B-ACFA-0E099EB64AB3}"/>
            </c:ext>
          </c:extLst>
        </c:ser>
        <c:ser>
          <c:idx val="3"/>
          <c:order val="3"/>
          <c:tx>
            <c:strRef>
              <c:f>'H&amp;M'!$G$29</c:f>
              <c:strCache>
                <c:ptCount val="1"/>
                <c:pt idx="0">
                  <c:v> Margen Neto 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'H&amp;M'!$H$24:$K$24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xVal>
          <c:yVal>
            <c:numRef>
              <c:f>'H&amp;M'!$H$29:$K$29</c:f>
              <c:numCache>
                <c:formatCode>0%</c:formatCode>
                <c:ptCount val="4"/>
                <c:pt idx="0">
                  <c:v>-0.17217475260548581</c:v>
                </c:pt>
                <c:pt idx="1">
                  <c:v>-1.9535248274576918E-2</c:v>
                </c:pt>
                <c:pt idx="2">
                  <c:v>9.8535487300329908E-3</c:v>
                </c:pt>
                <c:pt idx="3">
                  <c:v>4.8476472365310309E-2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1F-4C0B-ACFA-0E099EB64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51535"/>
        <c:axId val="1924039887"/>
      </c:scatterChart>
      <c:valAx>
        <c:axId val="1924051535"/>
        <c:scaling>
          <c:orientation val="minMax"/>
          <c:max val="2020"/>
          <c:min val="2017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39887"/>
        <c:crosses val="autoZero"/>
        <c:crossBetween val="midCat"/>
        <c:majorUnit val="1"/>
      </c:valAx>
      <c:valAx>
        <c:axId val="1924039887"/>
        <c:scaling>
          <c:orientation val="minMax"/>
          <c:min val="-0.22000000000000003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51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90858854725419"/>
          <c:y val="0.91068361009329279"/>
          <c:w val="0.82809141145274578"/>
          <c:h val="4.4153621113566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Indicadores de Rentabilidad (ROA y ROE)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879112604497702"/>
          <c:y val="8.1875239278279915E-2"/>
          <c:w val="0.80837082768252944"/>
          <c:h val="0.76906691614043299"/>
        </c:manualLayout>
      </c:layout>
      <c:scatterChart>
        <c:scatterStyle val="lineMarker"/>
        <c:varyColors val="0"/>
        <c:ser>
          <c:idx val="0"/>
          <c:order val="0"/>
          <c:tx>
            <c:strRef>
              <c:f>'H&amp;M'!$G$31</c:f>
              <c:strCache>
                <c:ptCount val="1"/>
                <c:pt idx="0">
                  <c:v> ROA Operacional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'H&amp;M'!$I$24:$K$24</c:f>
              <c:numCache>
                <c:formatCode>@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xVal>
          <c:yVal>
            <c:numRef>
              <c:f>'H&amp;M'!$I$31:$K$31</c:f>
              <c:numCache>
                <c:formatCode>0%</c:formatCode>
                <c:ptCount val="3"/>
                <c:pt idx="0">
                  <c:v>3.904832623309272E-2</c:v>
                </c:pt>
                <c:pt idx="1">
                  <c:v>0.10806667406641401</c:v>
                </c:pt>
                <c:pt idx="2">
                  <c:v>9.4857165987434308E-2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90-4CFB-8A13-4B348C4A1804}"/>
            </c:ext>
          </c:extLst>
        </c:ser>
        <c:ser>
          <c:idx val="1"/>
          <c:order val="1"/>
          <c:tx>
            <c:strRef>
              <c:f>'H&amp;M'!$G$32</c:f>
              <c:strCache>
                <c:ptCount val="1"/>
                <c:pt idx="0">
                  <c:v> ROA 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'H&amp;M'!$I$24:$K$24</c:f>
              <c:numCache>
                <c:formatCode>@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xVal>
          <c:yVal>
            <c:numRef>
              <c:f>'H&amp;M'!$I$32:$K$32</c:f>
              <c:numCache>
                <c:formatCode>0%</c:formatCode>
                <c:ptCount val="3"/>
                <c:pt idx="0">
                  <c:v>-1.5830260352100372E-2</c:v>
                </c:pt>
                <c:pt idx="1">
                  <c:v>1.1212644529384532E-2</c:v>
                </c:pt>
                <c:pt idx="2">
                  <c:v>4.3890045305384331E-2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D90-4CFB-8A13-4B348C4A1804}"/>
            </c:ext>
          </c:extLst>
        </c:ser>
        <c:ser>
          <c:idx val="2"/>
          <c:order val="2"/>
          <c:tx>
            <c:strRef>
              <c:f>'H&amp;M'!$G$33</c:f>
              <c:strCache>
                <c:ptCount val="1"/>
                <c:pt idx="0">
                  <c:v> ROE 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'H&amp;M'!$I$24:$K$24</c:f>
              <c:numCache>
                <c:formatCode>@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xVal>
          <c:yVal>
            <c:numRef>
              <c:f>'H&amp;M'!$I$33:$K$33</c:f>
              <c:numCache>
                <c:formatCode>0%</c:formatCode>
                <c:ptCount val="3"/>
                <c:pt idx="0">
                  <c:v>-0.60580553262894599</c:v>
                </c:pt>
                <c:pt idx="1">
                  <c:v>5.9555726780071178E-2</c:v>
                </c:pt>
                <c:pt idx="2">
                  <c:v>0.14425305560235707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D90-4CFB-8A13-4B348C4A1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51535"/>
        <c:axId val="1924039887"/>
      </c:scatterChart>
      <c:valAx>
        <c:axId val="1924051535"/>
        <c:scaling>
          <c:orientation val="minMax"/>
          <c:max val="2020"/>
          <c:min val="2018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39887"/>
        <c:crosses val="autoZero"/>
        <c:crossBetween val="midCat"/>
        <c:majorUnit val="1"/>
      </c:valAx>
      <c:valAx>
        <c:axId val="1924039887"/>
        <c:scaling>
          <c:orientation val="minMax"/>
          <c:max val="0.19000000000000003"/>
          <c:min val="-0.6200000000000001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51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90858854725419"/>
          <c:y val="0.91068361009329279"/>
          <c:w val="0.46977260490253631"/>
          <c:h val="4.4153621113566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Indicadores de Rentabilidad (DuPont)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879112604497702"/>
          <c:y val="8.1875239278279915E-2"/>
          <c:w val="0.80837082768252944"/>
          <c:h val="0.76906691614043299"/>
        </c:manualLayout>
      </c:layout>
      <c:scatterChart>
        <c:scatterStyle val="lineMarker"/>
        <c:varyColors val="0"/>
        <c:ser>
          <c:idx val="0"/>
          <c:order val="0"/>
          <c:tx>
            <c:strRef>
              <c:f>'H&amp;M'!$G$37:$H$37</c:f>
              <c:strCache>
                <c:ptCount val="2"/>
                <c:pt idx="0">
                  <c:v> Margen Neto 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056555269922879E-3"/>
                  <c:y val="-3.95256916996047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6B8-4DE7-B779-AAD40E0770FB}"/>
                </c:ext>
              </c:extLst>
            </c:dLbl>
            <c:dLbl>
              <c:idx val="1"/>
              <c:layout>
                <c:manualLayout>
                  <c:x val="5.1413881748071981E-2"/>
                  <c:y val="3.4255599472990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6B8-4DE7-B779-AAD40E0770FB}"/>
                </c:ext>
              </c:extLst>
            </c:dLbl>
            <c:dLbl>
              <c:idx val="2"/>
              <c:layout>
                <c:manualLayout>
                  <c:x val="-0.1131105398457585"/>
                  <c:y val="5.00658761528326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6B8-4DE7-B779-AAD40E0770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'H&amp;M'!$I$36:$K$36</c:f>
              <c:numCache>
                <c:formatCode>@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xVal>
          <c:yVal>
            <c:numRef>
              <c:f>'H&amp;M'!$I$37:$K$37</c:f>
              <c:numCache>
                <c:formatCode>0%</c:formatCode>
                <c:ptCount val="3"/>
                <c:pt idx="0">
                  <c:v>-1.9535248274576918E-2</c:v>
                </c:pt>
                <c:pt idx="1">
                  <c:v>9.8535487300329908E-3</c:v>
                </c:pt>
                <c:pt idx="2">
                  <c:v>4.8476472365310309E-2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B8-4DE7-B779-AAD40E0770FB}"/>
            </c:ext>
          </c:extLst>
        </c:ser>
        <c:ser>
          <c:idx val="1"/>
          <c:order val="1"/>
          <c:tx>
            <c:strRef>
              <c:f>'H&amp;M'!$G$38:$H$38</c:f>
              <c:strCache>
                <c:ptCount val="2"/>
                <c:pt idx="0">
                  <c:v> Rotación de Activos 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2262210796915161E-3"/>
                  <c:y val="2.10803689064558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6B8-4DE7-B779-AAD40E0770FB}"/>
                </c:ext>
              </c:extLst>
            </c:dLbl>
            <c:dLbl>
              <c:idx val="1"/>
              <c:layout>
                <c:manualLayout>
                  <c:x val="-3.9074550128534703E-2"/>
                  <c:y val="3.1620553359683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6B8-4DE7-B779-AAD40E0770FB}"/>
                </c:ext>
              </c:extLst>
            </c:dLbl>
            <c:dLbl>
              <c:idx val="2"/>
              <c:layout>
                <c:manualLayout>
                  <c:x val="-5.9640102827763497E-2"/>
                  <c:y val="-2.8985507246376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6B8-4DE7-B779-AAD40E0770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'H&amp;M'!$I$36:$K$36</c:f>
              <c:numCache>
                <c:formatCode>@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xVal>
          <c:yVal>
            <c:numRef>
              <c:f>'H&amp;M'!$I$38:$K$38</c:f>
              <c:numCache>
                <c:formatCode>0.00</c:formatCode>
                <c:ptCount val="3"/>
                <c:pt idx="0">
                  <c:v>0.81034344327744212</c:v>
                </c:pt>
                <c:pt idx="1">
                  <c:v>1.1379295760936465</c:v>
                </c:pt>
                <c:pt idx="2">
                  <c:v>0.90538859706285024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B8-4DE7-B779-AAD40E0770FB}"/>
            </c:ext>
          </c:extLst>
        </c:ser>
        <c:ser>
          <c:idx val="3"/>
          <c:order val="3"/>
          <c:tx>
            <c:strRef>
              <c:f>'H&amp;M'!$G$40:$H$40</c:f>
              <c:strCache>
                <c:ptCount val="2"/>
                <c:pt idx="0">
                  <c:v> ROE 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6452442159383032E-2"/>
                  <c:y val="-4.7430830039525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6B8-4DE7-B779-AAD40E0770FB}"/>
                </c:ext>
              </c:extLst>
            </c:dLbl>
            <c:dLbl>
              <c:idx val="1"/>
              <c:layout>
                <c:manualLayout>
                  <c:x val="-4.3187660668380541E-2"/>
                  <c:y val="-2.37154150197628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6B8-4DE7-B779-AAD40E0770FB}"/>
                </c:ext>
              </c:extLst>
            </c:dLbl>
            <c:dLbl>
              <c:idx val="2"/>
              <c:layout>
                <c:manualLayout>
                  <c:x val="-5.5526992287917736E-2"/>
                  <c:y val="-2.3715415019762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6B8-4DE7-B779-AAD40E0770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'H&amp;M'!$I$36:$K$36</c:f>
              <c:numCache>
                <c:formatCode>@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xVal>
          <c:yVal>
            <c:numRef>
              <c:f>'H&amp;M'!$I$40:$K$40</c:f>
              <c:numCache>
                <c:formatCode>0%</c:formatCode>
                <c:ptCount val="3"/>
                <c:pt idx="0">
                  <c:v>-0.60580553262894599</c:v>
                </c:pt>
                <c:pt idx="1">
                  <c:v>5.9555726780071164E-2</c:v>
                </c:pt>
                <c:pt idx="2">
                  <c:v>0.14425305560235704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B8-4DE7-B779-AAD40E077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51535"/>
        <c:axId val="1924039887"/>
      </c:scatterChart>
      <c:scatterChart>
        <c:scatterStyle val="lineMarker"/>
        <c:varyColors val="0"/>
        <c:ser>
          <c:idx val="2"/>
          <c:order val="2"/>
          <c:tx>
            <c:strRef>
              <c:f>'H&amp;M'!$G$39:$H$39</c:f>
              <c:strCache>
                <c:ptCount val="2"/>
                <c:pt idx="0">
                  <c:v> Apalancamiento financiero 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2339331619537276E-2"/>
                  <c:y val="-1.58102766798418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6B8-4DE7-B779-AAD40E0770FB}"/>
                </c:ext>
              </c:extLst>
            </c:dLbl>
            <c:dLbl>
              <c:idx val="1"/>
              <c:layout>
                <c:manualLayout>
                  <c:x val="-6.7866323907455006E-2"/>
                  <c:y val="2.37154150197627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6B8-4DE7-B779-AAD40E0770FB}"/>
                </c:ext>
              </c:extLst>
            </c:dLbl>
            <c:dLbl>
              <c:idx val="2"/>
              <c:layout>
                <c:manualLayout>
                  <c:x val="-7.8149100257069407E-2"/>
                  <c:y val="-2.63504611330699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6B8-4DE7-B779-AAD40E0770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'H&amp;M'!$I$36:$K$36</c:f>
              <c:numCache>
                <c:formatCode>@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xVal>
          <c:yVal>
            <c:numRef>
              <c:f>'H&amp;M'!$I$39:$K$39</c:f>
              <c:numCache>
                <c:formatCode>0.00</c:formatCode>
                <c:ptCount val="3"/>
                <c:pt idx="0">
                  <c:v>38.268829390956121</c:v>
                </c:pt>
                <c:pt idx="1">
                  <c:v>5.3114790738256126</c:v>
                </c:pt>
                <c:pt idx="2">
                  <c:v>3.2866918819211248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B8-4DE7-B779-AAD40E077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932623"/>
        <c:axId val="2133905583"/>
      </c:scatterChart>
      <c:valAx>
        <c:axId val="1924051535"/>
        <c:scaling>
          <c:orientation val="minMax"/>
          <c:max val="2020"/>
          <c:min val="2018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39887"/>
        <c:crosses val="autoZero"/>
        <c:crossBetween val="midCat"/>
        <c:majorUnit val="1"/>
      </c:valAx>
      <c:valAx>
        <c:axId val="1924039887"/>
        <c:scaling>
          <c:orientation val="minMax"/>
          <c:max val="1.2"/>
          <c:min val="-0.6200000000000001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924051535"/>
        <c:crosses val="autoZero"/>
        <c:crossBetween val="midCat"/>
      </c:valAx>
      <c:valAx>
        <c:axId val="213390558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2133932623"/>
        <c:crosses val="max"/>
        <c:crossBetween val="midCat"/>
      </c:valAx>
      <c:valAx>
        <c:axId val="2133932623"/>
        <c:scaling>
          <c:orientation val="minMax"/>
        </c:scaling>
        <c:delete val="1"/>
        <c:axPos val="b"/>
        <c:numFmt formatCode="@" sourceLinked="1"/>
        <c:majorTickMark val="out"/>
        <c:minorTickMark val="none"/>
        <c:tickLblPos val="nextTo"/>
        <c:crossAx val="2133905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90858854725419"/>
          <c:y val="0.91068361009329279"/>
          <c:w val="0.82809141145274578"/>
          <c:h val="4.4153621113566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466724</xdr:colOff>
      <xdr:row>2</xdr:row>
      <xdr:rowOff>114300</xdr:rowOff>
    </xdr:from>
    <xdr:to>
      <xdr:col>15</xdr:col>
      <xdr:colOff>609599</xdr:colOff>
      <xdr:row>4</xdr:row>
      <xdr:rowOff>53440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9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4601824" y="533400"/>
              <a:ext cx="3190875" cy="35824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Raz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Corriente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Corrientes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Pasivos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Corrientes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2" name="CuadroTexto 9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4601824" y="533400"/>
              <a:ext cx="3190875" cy="35824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"Razón Corriente = 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"Activos Corrientes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Pasivos Corrientes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11</xdr:col>
      <xdr:colOff>619125</xdr:colOff>
      <xdr:row>4</xdr:row>
      <xdr:rowOff>180975</xdr:rowOff>
    </xdr:from>
    <xdr:to>
      <xdr:col>18</xdr:col>
      <xdr:colOff>501057</xdr:colOff>
      <xdr:row>6</xdr:row>
      <xdr:rowOff>123834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9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14754225" y="1019175"/>
              <a:ext cx="5215932" cy="36195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Prueba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Á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cida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Efectivo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+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Inversiones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corto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plazo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+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Cobrar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Pasivos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Corrientes</m:t>
                        </m:r>
                      </m:den>
                    </m:f>
                  </m:oMath>
                </m:oMathPara>
              </a14:m>
              <a:endParaRPr lang="es-CO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3" name="CuadroTexto 9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14754225" y="1019175"/>
              <a:ext cx="5215932" cy="36195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"Prueba Ácida = 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"Efectivo + Inversiones corto plazo + Cuentas por Cobrar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Pasivos Corrientes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11</xdr:col>
      <xdr:colOff>619125</xdr:colOff>
      <xdr:row>8</xdr:row>
      <xdr:rowOff>38100</xdr:rowOff>
    </xdr:from>
    <xdr:to>
      <xdr:col>17</xdr:col>
      <xdr:colOff>203461</xdr:colOff>
      <xdr:row>9</xdr:row>
      <xdr:rowOff>16678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14754225" y="1714500"/>
              <a:ext cx="4156336" cy="18812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Capital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trabajo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Activo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Corriente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a:rPr lang="es-MX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Tahoma" panose="020B0604030504040204" pitchFamily="34" charset="0"/>
                      </a:rPr>
                      <m:t>−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Pasivo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Corriente</m:t>
                    </m:r>
                  </m:oMath>
                </m:oMathPara>
              </a14:m>
              <a:endParaRPr lang="es-CO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4" name="CuadroText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14754225" y="1714500"/>
              <a:ext cx="4156336" cy="18812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"Capital de trabajo = Activo Corriente 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  <a:cs typeface="Tahoma" panose="020B0604030504040204" pitchFamily="34" charset="0"/>
                </a:rPr>
                <a:t>"−"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 Pasivo Corriente</a:t>
              </a:r>
              <a:r>
                <a:rPr lang="es-CO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11</xdr:col>
      <xdr:colOff>590549</xdr:colOff>
      <xdr:row>9</xdr:row>
      <xdr:rowOff>114300</xdr:rowOff>
    </xdr:from>
    <xdr:to>
      <xdr:col>16</xdr:col>
      <xdr:colOff>200024</xdr:colOff>
      <xdr:row>11</xdr:row>
      <xdr:rowOff>86589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2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14725649" y="2000250"/>
              <a:ext cx="3419475" cy="3913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Liquidez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=</m:t>
                    </m:r>
                    <m:f>
                      <m:fPr>
                        <m:ctrlPr>
                          <a:rPr lang="es-MX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Efectivo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+ 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Inversiones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corto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plazo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Obligaciones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exigibles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corto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plazo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5" name="CuadroTexto 2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14725649" y="2000250"/>
              <a:ext cx="3419475" cy="3913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"Liquidez=" 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"Efectivo + Inversiones corto plazo 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Obligaciones exigibles corto plazo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11</xdr:col>
      <xdr:colOff>590550</xdr:colOff>
      <xdr:row>13</xdr:row>
      <xdr:rowOff>0</xdr:rowOff>
    </xdr:from>
    <xdr:to>
      <xdr:col>15</xdr:col>
      <xdr:colOff>570862</xdr:colOff>
      <xdr:row>14</xdr:row>
      <xdr:rowOff>151639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9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14725650" y="2724150"/>
              <a:ext cx="3028312" cy="3611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Nivel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endeudamiento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Pasivo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6" name="CuadroTexto 9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14725650" y="2724150"/>
              <a:ext cx="3028312" cy="3611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"Nivel de endeudamiento = 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"Pasivo Total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Activo Total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11</xdr:col>
      <xdr:colOff>609600</xdr:colOff>
      <xdr:row>17</xdr:row>
      <xdr:rowOff>38100</xdr:rowOff>
    </xdr:from>
    <xdr:to>
      <xdr:col>15</xdr:col>
      <xdr:colOff>570862</xdr:colOff>
      <xdr:row>18</xdr:row>
      <xdr:rowOff>189739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15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14744700" y="3600450"/>
              <a:ext cx="3009262" cy="3611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Nivel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endeudamiento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Deuda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7" name="CuadroTexto 15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14744700" y="3600450"/>
              <a:ext cx="3009262" cy="3611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"Nivel de endeudamiento = 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"Total Deuda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Activo Total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11</xdr:col>
      <xdr:colOff>533399</xdr:colOff>
      <xdr:row>15</xdr:row>
      <xdr:rowOff>114299</xdr:rowOff>
    </xdr:from>
    <xdr:to>
      <xdr:col>18</xdr:col>
      <xdr:colOff>737006</xdr:colOff>
      <xdr:row>16</xdr:row>
      <xdr:rowOff>92877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1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4668499" y="3257549"/>
              <a:ext cx="5537607" cy="18812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Total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Deuda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pasivos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con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terceros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obligaciones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que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devengan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intereses</m:t>
                    </m:r>
                  </m:oMath>
                </m:oMathPara>
              </a14:m>
              <a:endParaRPr lang="es-MX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9" name="CuadroTexto 1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4668499" y="3257549"/>
              <a:ext cx="5537607" cy="18812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"Total Deuda = pasivos con terceros = obligaciones que devengan intereses</a:t>
              </a:r>
              <a:r>
                <a:rPr lang="es-CO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MX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11</xdr:col>
      <xdr:colOff>600075</xdr:colOff>
      <xdr:row>19</xdr:row>
      <xdr:rowOff>114300</xdr:rowOff>
    </xdr:from>
    <xdr:to>
      <xdr:col>16</xdr:col>
      <xdr:colOff>518879</xdr:colOff>
      <xdr:row>21</xdr:row>
      <xdr:rowOff>56389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4735175" y="4095750"/>
              <a:ext cx="3728804" cy="3611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Ratio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Deuda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−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Capital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Deuda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Deuda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+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Patrimonio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4735175" y="4095750"/>
              <a:ext cx="3728804" cy="3611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"Ratio Deuda−Capital = 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"Total Deuda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Total Deuda + Patrimonio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11</xdr:col>
      <xdr:colOff>666750</xdr:colOff>
      <xdr:row>22</xdr:row>
      <xdr:rowOff>0</xdr:rowOff>
    </xdr:from>
    <xdr:to>
      <xdr:col>15</xdr:col>
      <xdr:colOff>239620</xdr:colOff>
      <xdr:row>23</xdr:row>
      <xdr:rowOff>151639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CuadroTexto 1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4801850" y="4610100"/>
              <a:ext cx="2620870" cy="3611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Ratio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Deuda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−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Equity</m:t>
                    </m:r>
                    <m:r>
                      <m:rPr>
                        <m:nor/>
                      </m:rPr>
                      <a:rPr lang="es-MX" sz="12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200" i="1">
                            <a:latin typeface="Cambria Math" panose="02040503050406030204" pitchFamily="18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Deuda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Patromio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1" name="CuadroTexto 1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4801850" y="4610100"/>
              <a:ext cx="2620870" cy="3611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"Ratio Deuda−Equity = " 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"Total Deuda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Patromio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11</xdr:col>
      <xdr:colOff>714374</xdr:colOff>
      <xdr:row>33</xdr:row>
      <xdr:rowOff>200025</xdr:rowOff>
    </xdr:from>
    <xdr:to>
      <xdr:col>15</xdr:col>
      <xdr:colOff>605827</xdr:colOff>
      <xdr:row>35</xdr:row>
      <xdr:rowOff>142114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CuadroTexto 9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14849474" y="7115175"/>
              <a:ext cx="2939453" cy="3611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Apalancamiento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financiero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Patrimonio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2" name="CuadroTexto 9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14849474" y="7115175"/>
              <a:ext cx="2939453" cy="3611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"Apalancamiento financiero = 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"Activo Total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Patrimonio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11</xdr:col>
      <xdr:colOff>733425</xdr:colOff>
      <xdr:row>36</xdr:row>
      <xdr:rowOff>95250</xdr:rowOff>
    </xdr:from>
    <xdr:to>
      <xdr:col>15</xdr:col>
      <xdr:colOff>198779</xdr:colOff>
      <xdr:row>38</xdr:row>
      <xdr:rowOff>31953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CuadroTexto 9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14868525" y="7639050"/>
              <a:ext cx="2513354" cy="35580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Cobertura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intereses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EBIT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Intereses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3" name="CuadroTexto 9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14868525" y="7639050"/>
              <a:ext cx="2513354" cy="35580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"Cobertura de intereses = 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"EBIT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Intereses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11</xdr:col>
      <xdr:colOff>647699</xdr:colOff>
      <xdr:row>38</xdr:row>
      <xdr:rowOff>171450</xdr:rowOff>
    </xdr:from>
    <xdr:to>
      <xdr:col>16</xdr:col>
      <xdr:colOff>21854</xdr:colOff>
      <xdr:row>40</xdr:row>
      <xdr:rowOff>108473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CuadroTexto 9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14782799" y="8134350"/>
              <a:ext cx="3184155" cy="35612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Impacto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la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carga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finaniciera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Intereses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4" name="CuadroTexto 9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14782799" y="8134350"/>
              <a:ext cx="3184155" cy="35612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"Impacto de la carga finaniciera = 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"Intereses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Ventas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6</xdr:col>
      <xdr:colOff>133350</xdr:colOff>
      <xdr:row>41</xdr:row>
      <xdr:rowOff>76200</xdr:rowOff>
    </xdr:from>
    <xdr:to>
      <xdr:col>6</xdr:col>
      <xdr:colOff>1991908</xdr:colOff>
      <xdr:row>43</xdr:row>
      <xdr:rowOff>110622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CuadroTexto 2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8248650" y="8667750"/>
              <a:ext cx="1858558" cy="45352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ROA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Utilidad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Neta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Totales</m:t>
                        </m:r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>
        <xdr:sp macro="" textlink="">
          <xdr:nvSpPr>
            <xdr:cNvPr id="15" name="CuadroTexto 2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8248650" y="8667750"/>
              <a:ext cx="1858558" cy="45352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"ROA = </a:t>
              </a:r>
              <a:r>
                <a:rPr lang="es-CO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"Utilidad Neta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CO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/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Activos Totales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6</xdr:col>
      <xdr:colOff>38100</xdr:colOff>
      <xdr:row>44</xdr:row>
      <xdr:rowOff>76200</xdr:rowOff>
    </xdr:from>
    <xdr:to>
      <xdr:col>7</xdr:col>
      <xdr:colOff>723603</xdr:colOff>
      <xdr:row>46</xdr:row>
      <xdr:rowOff>105621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CuadroTexto 26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8153400" y="9296400"/>
              <a:ext cx="2695278" cy="448521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ROA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Operacional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EBIT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Totales</m:t>
                        </m:r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>
        <xdr:sp macro="" textlink="">
          <xdr:nvSpPr>
            <xdr:cNvPr id="16" name="CuadroTexto 26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8153400" y="9296400"/>
              <a:ext cx="2695278" cy="448521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"ROA Operacional = </a:t>
              </a:r>
              <a:r>
                <a:rPr lang="es-CO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"EBIT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CO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/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Activos Totales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6</xdr:col>
      <xdr:colOff>85725</xdr:colOff>
      <xdr:row>47</xdr:row>
      <xdr:rowOff>95250</xdr:rowOff>
    </xdr:from>
    <xdr:to>
      <xdr:col>6</xdr:col>
      <xdr:colOff>1744258</xdr:colOff>
      <xdr:row>49</xdr:row>
      <xdr:rowOff>129672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CuadroTexto 25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8201025" y="9944100"/>
              <a:ext cx="1658533" cy="45352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ROE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Utilidad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Neta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Patrimonio</m:t>
                        </m:r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>
        <xdr:sp macro="" textlink="">
          <xdr:nvSpPr>
            <xdr:cNvPr id="17" name="CuadroTexto 25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8201025" y="9944100"/>
              <a:ext cx="1658533" cy="45352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"ROE =</a:t>
              </a:r>
              <a:r>
                <a:rPr lang="es-CO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"Utilidad Neta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CO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/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Patrimonio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8</xdr:col>
      <xdr:colOff>104774</xdr:colOff>
      <xdr:row>43</xdr:row>
      <xdr:rowOff>190500</xdr:rowOff>
    </xdr:from>
    <xdr:to>
      <xdr:col>14</xdr:col>
      <xdr:colOff>144927</xdr:colOff>
      <xdr:row>45</xdr:row>
      <xdr:rowOff>132589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CuadroTexto 19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1153774" y="9201150"/>
              <a:ext cx="5412253" cy="3611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ROE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 b="0" i="0">
                            <a:solidFill>
                              <a:srgbClr val="14085C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Utilidad</m:t>
                        </m:r>
                        <m:r>
                          <m:rPr>
                            <m:nor/>
                          </m:rPr>
                          <a:rPr lang="es-MX" sz="1200" b="0" i="0">
                            <a:solidFill>
                              <a:srgbClr val="14085C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solidFill>
                              <a:srgbClr val="14085C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Neta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den>
                    </m:f>
                    <m:r>
                      <m:rPr>
                        <m:nor/>
                      </m:rPr>
                      <a:rPr lang="es-MX" sz="12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× 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Totales</m:t>
                        </m:r>
                      </m:den>
                    </m:f>
                    <m:r>
                      <m:rPr>
                        <m:nor/>
                      </m:rP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×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Totales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 b="0" i="0">
                            <a:solidFill>
                              <a:srgbClr val="14085C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Patrimonio</m:t>
                        </m:r>
                      </m:den>
                    </m:f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=</m:t>
                    </m:r>
                    <m:f>
                      <m:fPr>
                        <m:ctrlPr>
                          <a:rPr lang="es-MX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2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Utilidad</m:t>
                        </m:r>
                        <m:r>
                          <m:rPr>
                            <m:nor/>
                          </m:rPr>
                          <a:rPr lang="es-MX" sz="12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2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Neta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2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Patrimonio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8" name="CuadroTexto 19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1153774" y="9201150"/>
              <a:ext cx="5412253" cy="3611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"ROE = " </a:t>
              </a:r>
              <a:r>
                <a:rPr lang="es-MX" sz="1200" b="0" i="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"Utilidad Neta</a:t>
              </a:r>
              <a:r>
                <a:rPr lang="es-MX" sz="1200" b="0" i="0">
                  <a:solidFill>
                    <a:srgbClr val="14085C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Ventas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"</a:t>
              </a:r>
              <a:r>
                <a:rPr lang="es-MX" sz="1200" b="0" i="0">
                  <a:latin typeface="Cambria Math" panose="02040503050406030204" pitchFamily="18" charset="0"/>
                </a:rPr>
                <a:t> 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× 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  <a:cs typeface="Tahoma" panose="020B0604030504040204" pitchFamily="34" charset="0"/>
                </a:rPr>
                <a:t>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  <a:cs typeface="Tahoma" panose="020B0604030504040204" pitchFamily="34" charset="0"/>
                </a:rPr>
                <a:t>/"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Activos Totales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  <a:cs typeface="Tahoma" panose="020B0604030504040204" pitchFamily="34" charset="0"/>
                </a:rPr>
                <a:t> "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×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  <a:cs typeface="Tahoma" panose="020B0604030504040204" pitchFamily="34" charset="0"/>
                </a:rPr>
                <a:t>" 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"Activos Totales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  <a:cs typeface="Tahoma" panose="020B0604030504040204" pitchFamily="34" charset="0"/>
                </a:rPr>
                <a:t>/</a:t>
              </a:r>
              <a:r>
                <a:rPr lang="es-MX" sz="1200" b="0" i="0">
                  <a:solidFill>
                    <a:srgbClr val="14085C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ahoma" panose="020B0604030504040204" pitchFamily="34" charset="0"/>
                </a:rPr>
                <a:t>"</a:t>
              </a:r>
              <a:r>
                <a:rPr lang="es-MX" sz="1200" b="0" i="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Patrimonio</a:t>
              </a:r>
              <a:r>
                <a:rPr lang="es-MX" sz="1200" b="0" i="0">
                  <a:solidFill>
                    <a:srgbClr val="14085C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"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=" </a:t>
              </a:r>
              <a:r>
                <a:rPr lang="es-MX" sz="12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"Utilidad Neta</a:t>
              </a:r>
              <a:r>
                <a:rPr lang="es-MX" sz="12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s-MX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Patrimonio</a:t>
              </a:r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7</xdr:col>
      <xdr:colOff>209550</xdr:colOff>
      <xdr:row>47</xdr:row>
      <xdr:rowOff>104775</xdr:rowOff>
    </xdr:from>
    <xdr:to>
      <xdr:col>14</xdr:col>
      <xdr:colOff>514691</xdr:colOff>
      <xdr:row>48</xdr:row>
      <xdr:rowOff>83353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 txBox="1"/>
          </xdr:nvSpPr>
          <xdr:spPr>
            <a:xfrm>
              <a:off x="10334625" y="9953625"/>
              <a:ext cx="6601166" cy="18812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ROE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Margen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Neto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×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Activos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×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Apalancamiento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2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financiero</m:t>
                    </m:r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 txBox="1"/>
          </xdr:nvSpPr>
          <xdr:spPr>
            <a:xfrm>
              <a:off x="10334625" y="9953625"/>
              <a:ext cx="6601166" cy="18812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"ROE = Margen Neto × Rotación de Activos × Apalancamiento financiero</a:t>
              </a:r>
              <a:r>
                <a:rPr lang="es-CO" sz="12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6</xdr:col>
      <xdr:colOff>1304925</xdr:colOff>
      <xdr:row>56</xdr:row>
      <xdr:rowOff>188911</xdr:rowOff>
    </xdr:from>
    <xdr:to>
      <xdr:col>12</xdr:col>
      <xdr:colOff>709612</xdr:colOff>
      <xdr:row>86</xdr:row>
      <xdr:rowOff>136525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1285875</xdr:colOff>
      <xdr:row>86</xdr:row>
      <xdr:rowOff>109538</xdr:rowOff>
    </xdr:from>
    <xdr:to>
      <xdr:col>12</xdr:col>
      <xdr:colOff>690562</xdr:colOff>
      <xdr:row>119</xdr:row>
      <xdr:rowOff>69851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1285875</xdr:colOff>
      <xdr:row>119</xdr:row>
      <xdr:rowOff>36513</xdr:rowOff>
    </xdr:from>
    <xdr:to>
      <xdr:col>12</xdr:col>
      <xdr:colOff>690562</xdr:colOff>
      <xdr:row>151</xdr:row>
      <xdr:rowOff>187326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1309687</xdr:colOff>
      <xdr:row>151</xdr:row>
      <xdr:rowOff>187326</xdr:rowOff>
    </xdr:from>
    <xdr:to>
      <xdr:col>12</xdr:col>
      <xdr:colOff>714374</xdr:colOff>
      <xdr:row>186</xdr:row>
      <xdr:rowOff>147638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60</xdr:row>
      <xdr:rowOff>0</xdr:rowOff>
    </xdr:from>
    <xdr:to>
      <xdr:col>23</xdr:col>
      <xdr:colOff>79375</xdr:colOff>
      <xdr:row>85</xdr:row>
      <xdr:rowOff>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86</xdr:row>
      <xdr:rowOff>0</xdr:rowOff>
    </xdr:from>
    <xdr:to>
      <xdr:col>23</xdr:col>
      <xdr:colOff>79375</xdr:colOff>
      <xdr:row>116</xdr:row>
      <xdr:rowOff>7939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116</xdr:row>
      <xdr:rowOff>190500</xdr:rowOff>
    </xdr:from>
    <xdr:to>
      <xdr:col>23</xdr:col>
      <xdr:colOff>79375</xdr:colOff>
      <xdr:row>147</xdr:row>
      <xdr:rowOff>7939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148</xdr:row>
      <xdr:rowOff>0</xdr:rowOff>
    </xdr:from>
    <xdr:to>
      <xdr:col>23</xdr:col>
      <xdr:colOff>79375</xdr:colOff>
      <xdr:row>178</xdr:row>
      <xdr:rowOff>7939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9525</xdr:colOff>
      <xdr:row>179</xdr:row>
      <xdr:rowOff>0</xdr:rowOff>
    </xdr:from>
    <xdr:to>
      <xdr:col>23</xdr:col>
      <xdr:colOff>400050</xdr:colOff>
      <xdr:row>209</xdr:row>
      <xdr:rowOff>7939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60</xdr:row>
      <xdr:rowOff>0</xdr:rowOff>
    </xdr:from>
    <xdr:to>
      <xdr:col>32</xdr:col>
      <xdr:colOff>79375</xdr:colOff>
      <xdr:row>85</xdr:row>
      <xdr:rowOff>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0</xdr:colOff>
      <xdr:row>86</xdr:row>
      <xdr:rowOff>0</xdr:rowOff>
    </xdr:from>
    <xdr:to>
      <xdr:col>32</xdr:col>
      <xdr:colOff>79375</xdr:colOff>
      <xdr:row>111</xdr:row>
      <xdr:rowOff>57150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0</xdr:colOff>
      <xdr:row>112</xdr:row>
      <xdr:rowOff>0</xdr:rowOff>
    </xdr:from>
    <xdr:to>
      <xdr:col>32</xdr:col>
      <xdr:colOff>79375</xdr:colOff>
      <xdr:row>137</xdr:row>
      <xdr:rowOff>57150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B644-01FA-46CD-B7B7-9874E393D9E1}">
  <dimension ref="A1:K63"/>
  <sheetViews>
    <sheetView tabSelected="1" zoomScaleNormal="100" workbookViewId="0"/>
  </sheetViews>
  <sheetFormatPr baseColWidth="10" defaultRowHeight="15" x14ac:dyDescent="0.25"/>
  <cols>
    <col min="1" max="1" width="38.85546875" style="1" customWidth="1"/>
    <col min="2" max="5" width="17.85546875" bestFit="1" customWidth="1"/>
    <col min="7" max="7" width="30.140625" bestFit="1" customWidth="1"/>
    <col min="8" max="8" width="13.85546875" bestFit="1" customWidth="1"/>
    <col min="9" max="9" width="15.85546875" bestFit="1" customWidth="1"/>
    <col min="10" max="10" width="14.5703125" bestFit="1" customWidth="1"/>
    <col min="11" max="11" width="15.85546875" bestFit="1" customWidth="1"/>
  </cols>
  <sheetData>
    <row r="1" spans="1:11" ht="16.5" x14ac:dyDescent="0.25">
      <c r="A1" s="2" t="s">
        <v>14</v>
      </c>
    </row>
    <row r="2" spans="1:11" ht="16.5" x14ac:dyDescent="0.25">
      <c r="A2" s="2" t="s">
        <v>15</v>
      </c>
    </row>
    <row r="3" spans="1:11" ht="16.5" x14ac:dyDescent="0.25">
      <c r="A3" s="2" t="s">
        <v>56</v>
      </c>
    </row>
    <row r="4" spans="1:11" ht="16.5" x14ac:dyDescent="0.25">
      <c r="G4" s="13" t="s">
        <v>60</v>
      </c>
      <c r="H4" s="13"/>
      <c r="I4" s="13"/>
      <c r="J4" s="13"/>
      <c r="K4" s="13"/>
    </row>
    <row r="5" spans="1:11" ht="16.5" x14ac:dyDescent="0.25">
      <c r="A5" s="3"/>
      <c r="B5" s="5">
        <v>2017</v>
      </c>
      <c r="C5" s="5">
        <v>2018</v>
      </c>
      <c r="D5" s="5">
        <v>2019</v>
      </c>
      <c r="E5" s="5">
        <v>2020</v>
      </c>
      <c r="H5" s="5">
        <v>2017</v>
      </c>
      <c r="I5" s="5">
        <v>2018</v>
      </c>
      <c r="J5" s="5">
        <v>2019</v>
      </c>
      <c r="K5" s="5">
        <v>2020</v>
      </c>
    </row>
    <row r="6" spans="1:11" ht="16.5" x14ac:dyDescent="0.25">
      <c r="A6" s="3" t="s">
        <v>16</v>
      </c>
      <c r="B6" s="4">
        <v>61719652</v>
      </c>
      <c r="C6" s="4">
        <v>75907248</v>
      </c>
      <c r="D6" s="4">
        <v>43692134</v>
      </c>
      <c r="E6" s="4">
        <v>92566164</v>
      </c>
      <c r="G6" s="3" t="s">
        <v>57</v>
      </c>
      <c r="H6" s="8">
        <f>+B12/B30</f>
        <v>1.0322158407186912</v>
      </c>
      <c r="I6" s="8">
        <f t="shared" ref="I6:K6" si="0">+C12/C30</f>
        <v>1.6901616401264032</v>
      </c>
      <c r="J6" s="8">
        <f t="shared" si="0"/>
        <v>1.2452125365814111</v>
      </c>
      <c r="K6" s="8">
        <f t="shared" si="0"/>
        <v>3.7045146504912112</v>
      </c>
    </row>
    <row r="7" spans="1:11" ht="16.5" x14ac:dyDescent="0.25">
      <c r="A7" s="3" t="s">
        <v>17</v>
      </c>
      <c r="B7" s="4">
        <v>16010669</v>
      </c>
      <c r="C7" s="4">
        <v>17048669</v>
      </c>
      <c r="D7" s="4">
        <v>4264339</v>
      </c>
      <c r="E7" s="4">
        <v>5860535</v>
      </c>
      <c r="G7" s="3" t="s">
        <v>58</v>
      </c>
      <c r="H7" s="8">
        <f>+(B6+B7+B10)/B30</f>
        <v>0.64874610531728993</v>
      </c>
      <c r="I7" s="8">
        <f t="shared" ref="I7:K7" si="1">+(C6+C7+C10)/C30</f>
        <v>1.2940163522908235</v>
      </c>
      <c r="J7" s="8">
        <f t="shared" si="1"/>
        <v>0.66540504675806322</v>
      </c>
      <c r="K7" s="8">
        <f t="shared" si="1"/>
        <v>2.109810385712553</v>
      </c>
    </row>
    <row r="8" spans="1:11" ht="16.5" x14ac:dyDescent="0.25">
      <c r="A8" s="3" t="s">
        <v>18</v>
      </c>
      <c r="B8" s="4">
        <v>41791255</v>
      </c>
      <c r="C8" s="4">
        <v>28159599</v>
      </c>
      <c r="D8" s="4">
        <v>41724993</v>
      </c>
      <c r="E8" s="4">
        <v>74369335</v>
      </c>
      <c r="G8" s="3" t="s">
        <v>59</v>
      </c>
      <c r="H8" s="4">
        <f>+B12-B30</f>
        <v>3859981</v>
      </c>
      <c r="I8" s="4">
        <f t="shared" ref="I8:K8" si="2">+C12-C30</f>
        <v>49577896</v>
      </c>
      <c r="J8" s="4">
        <f t="shared" si="2"/>
        <v>17672737</v>
      </c>
      <c r="K8" s="4">
        <f t="shared" si="2"/>
        <v>126170793</v>
      </c>
    </row>
    <row r="9" spans="1:11" ht="16.5" x14ac:dyDescent="0.25">
      <c r="A9" s="3" t="s">
        <v>19</v>
      </c>
      <c r="B9" s="4">
        <v>1485552</v>
      </c>
      <c r="C9" s="4">
        <v>236088</v>
      </c>
      <c r="D9" s="4"/>
      <c r="E9" s="4"/>
      <c r="G9" s="9" t="s">
        <v>80</v>
      </c>
      <c r="H9" s="8">
        <f>+(+B6+B10)/(B24+B26+B28)</f>
        <v>0.52399618485837252</v>
      </c>
      <c r="I9" s="8">
        <f t="shared" ref="I9:K9" si="3">+(+C6+C10)/(C24+C26+C28)</f>
        <v>1.2366420667903788</v>
      </c>
      <c r="J9" s="8">
        <f t="shared" si="3"/>
        <v>0.8927451114886924</v>
      </c>
      <c r="K9" s="8">
        <f t="shared" si="3"/>
        <v>2.8066085043670843</v>
      </c>
    </row>
    <row r="10" spans="1:11" ht="16.5" x14ac:dyDescent="0.25">
      <c r="A10" s="3" t="s">
        <v>20</v>
      </c>
      <c r="B10" s="4"/>
      <c r="C10" s="4"/>
      <c r="D10" s="4"/>
      <c r="E10" s="4"/>
    </row>
    <row r="11" spans="1:11" ht="16.5" x14ac:dyDescent="0.25">
      <c r="A11" s="3" t="s">
        <v>21</v>
      </c>
      <c r="B11" s="4">
        <v>2669096</v>
      </c>
      <c r="C11" s="4">
        <v>61487</v>
      </c>
      <c r="D11" s="4">
        <v>62370</v>
      </c>
      <c r="E11" s="4">
        <v>26676</v>
      </c>
      <c r="G11" s="13" t="s">
        <v>67</v>
      </c>
      <c r="H11" s="13"/>
      <c r="I11" s="13"/>
      <c r="J11" s="13"/>
      <c r="K11" s="13"/>
    </row>
    <row r="12" spans="1:11" ht="16.5" x14ac:dyDescent="0.25">
      <c r="A12" s="2" t="s">
        <v>22</v>
      </c>
      <c r="B12" s="6">
        <f>SUM(B6:B11)</f>
        <v>123676224</v>
      </c>
      <c r="C12" s="6">
        <f t="shared" ref="C12:E12" si="4">SUM(C6:C11)</f>
        <v>121413091</v>
      </c>
      <c r="D12" s="6">
        <f t="shared" si="4"/>
        <v>89743836</v>
      </c>
      <c r="E12" s="6">
        <f t="shared" si="4"/>
        <v>172822710</v>
      </c>
      <c r="H12" s="5">
        <v>2017</v>
      </c>
      <c r="I12" s="5">
        <v>2018</v>
      </c>
      <c r="J12" s="5">
        <v>2019</v>
      </c>
      <c r="K12" s="5">
        <v>2020</v>
      </c>
    </row>
    <row r="13" spans="1:11" ht="16.5" x14ac:dyDescent="0.25">
      <c r="A13" s="3" t="s">
        <v>23</v>
      </c>
      <c r="B13" s="4"/>
      <c r="C13" s="4"/>
      <c r="D13" s="4"/>
      <c r="E13" s="4"/>
      <c r="G13" s="3" t="s">
        <v>61</v>
      </c>
      <c r="H13" s="8">
        <f>+B39/B23</f>
        <v>0.96607989797065008</v>
      </c>
      <c r="I13" s="8">
        <f t="shared" ref="I13:K13" si="5">+C39/C23</f>
        <v>0.98171631003339987</v>
      </c>
      <c r="J13" s="8">
        <f t="shared" si="5"/>
        <v>0.64570785979984358</v>
      </c>
      <c r="K13" s="8">
        <f t="shared" si="5"/>
        <v>0.72887987341896388</v>
      </c>
    </row>
    <row r="14" spans="1:11" ht="16.5" x14ac:dyDescent="0.25">
      <c r="A14" s="3" t="s">
        <v>24</v>
      </c>
      <c r="B14" s="4">
        <v>57777446</v>
      </c>
      <c r="C14" s="4">
        <v>58697981</v>
      </c>
      <c r="D14" s="4">
        <v>92126569</v>
      </c>
      <c r="E14" s="4">
        <v>98799090</v>
      </c>
      <c r="G14" s="3" t="s">
        <v>62</v>
      </c>
      <c r="H14" s="4">
        <f>+B28+B36</f>
        <v>0</v>
      </c>
      <c r="I14" s="4">
        <f t="shared" ref="I14:K14" si="6">+C28+C36</f>
        <v>103658589</v>
      </c>
      <c r="J14" s="4">
        <f t="shared" si="6"/>
        <v>7954861</v>
      </c>
      <c r="K14" s="4">
        <f t="shared" si="6"/>
        <v>5758703</v>
      </c>
    </row>
    <row r="15" spans="1:11" ht="16.5" x14ac:dyDescent="0.25">
      <c r="A15" s="3" t="s">
        <v>25</v>
      </c>
      <c r="B15" s="4"/>
      <c r="C15" s="4"/>
      <c r="D15" s="4"/>
      <c r="E15" s="4"/>
      <c r="G15" s="3" t="s">
        <v>81</v>
      </c>
      <c r="H15" s="8">
        <f>+H14/B23</f>
        <v>0</v>
      </c>
      <c r="I15" s="8">
        <f t="shared" ref="I15:K15" si="7">+I14/C23</f>
        <v>0.5755259121438131</v>
      </c>
      <c r="J15" s="8">
        <f t="shared" si="7"/>
        <v>4.31356770020416E-2</v>
      </c>
      <c r="K15" s="8">
        <f t="shared" si="7"/>
        <v>2.0681006028732594E-2</v>
      </c>
    </row>
    <row r="16" spans="1:11" ht="16.5" x14ac:dyDescent="0.25">
      <c r="A16" s="3" t="s">
        <v>26</v>
      </c>
      <c r="B16" s="4"/>
      <c r="C16" s="4"/>
      <c r="D16" s="4"/>
      <c r="E16" s="4"/>
      <c r="G16" s="9" t="s">
        <v>63</v>
      </c>
      <c r="H16" s="10">
        <f>+H14/(H14+B43)</f>
        <v>0</v>
      </c>
      <c r="I16" s="10">
        <f t="shared" ref="I16:K16" si="8">+I14/(I14+C43)</f>
        <v>0.96920950772500225</v>
      </c>
      <c r="J16" s="10">
        <f t="shared" si="8"/>
        <v>0.10853713588974978</v>
      </c>
      <c r="K16" s="10">
        <f t="shared" si="8"/>
        <v>7.0873631790832378E-2</v>
      </c>
    </row>
    <row r="17" spans="1:11" ht="16.5" x14ac:dyDescent="0.25">
      <c r="A17" s="3" t="s">
        <v>27</v>
      </c>
      <c r="B17" s="4"/>
      <c r="C17" s="4"/>
      <c r="D17" s="4"/>
      <c r="E17" s="4"/>
      <c r="G17" s="9" t="s">
        <v>64</v>
      </c>
      <c r="H17" s="8">
        <f>+H14/B43</f>
        <v>0</v>
      </c>
      <c r="I17" s="8">
        <f t="shared" ref="I17:K17" si="9">+I14/C43</f>
        <v>31.477558041902832</v>
      </c>
      <c r="J17" s="8">
        <f t="shared" si="9"/>
        <v>0.12175171873040201</v>
      </c>
      <c r="K17" s="8">
        <f t="shared" si="9"/>
        <v>7.627986269234488E-2</v>
      </c>
    </row>
    <row r="18" spans="1:11" ht="16.5" x14ac:dyDescent="0.25">
      <c r="A18" s="3" t="s">
        <v>28</v>
      </c>
      <c r="B18" s="4"/>
      <c r="C18" s="4"/>
      <c r="D18" s="4"/>
      <c r="E18" s="4"/>
      <c r="G18" s="9" t="s">
        <v>82</v>
      </c>
      <c r="I18" s="8">
        <f>+AVERAGE(B23:C23)/AVERAGE(B43:C43)</f>
        <v>38.268829390956121</v>
      </c>
      <c r="J18" s="8">
        <f t="shared" ref="J18:K18" si="10">+AVERAGE(C23:D23)/AVERAGE(C43:D43)</f>
        <v>5.3114790738256126</v>
      </c>
      <c r="K18" s="8">
        <f t="shared" si="10"/>
        <v>3.2866918819211248</v>
      </c>
    </row>
    <row r="19" spans="1:11" ht="16.5" x14ac:dyDescent="0.25">
      <c r="A19" s="3" t="s">
        <v>29</v>
      </c>
      <c r="B19" s="4"/>
      <c r="C19" s="4"/>
      <c r="D19" s="4">
        <v>2544482</v>
      </c>
      <c r="E19" s="4">
        <v>6831917</v>
      </c>
      <c r="G19" s="9" t="s">
        <v>65</v>
      </c>
      <c r="H19" s="8">
        <f>+B56/B58</f>
        <v>-1.3216043889712119</v>
      </c>
      <c r="I19" s="8">
        <f t="shared" ref="I19:K19" si="11">+C56/C58</f>
        <v>1.1663354813702695</v>
      </c>
      <c r="J19" s="8">
        <f t="shared" si="11"/>
        <v>2.3704185002012803</v>
      </c>
      <c r="K19" s="8">
        <f t="shared" si="11"/>
        <v>3.9593528457372558</v>
      </c>
    </row>
    <row r="20" spans="1:11" ht="16.5" x14ac:dyDescent="0.25">
      <c r="A20" s="3" t="s">
        <v>30</v>
      </c>
      <c r="B20" s="4"/>
      <c r="C20" s="4"/>
      <c r="D20" s="4"/>
      <c r="E20" s="4"/>
      <c r="G20" s="9" t="s">
        <v>66</v>
      </c>
      <c r="H20" s="10">
        <f>+B58/B48</f>
        <v>7.5577306900659502E-2</v>
      </c>
      <c r="I20" s="10">
        <f t="shared" ref="I20:K20" si="12">+C58/C48</f>
        <v>4.1315195576687114E-2</v>
      </c>
      <c r="J20" s="10">
        <f t="shared" si="12"/>
        <v>4.0063729242137393E-2</v>
      </c>
      <c r="K20" s="10">
        <f t="shared" si="12"/>
        <v>2.646128426418241E-2</v>
      </c>
    </row>
    <row r="21" spans="1:11" ht="16.5" x14ac:dyDescent="0.25">
      <c r="A21" s="3" t="s">
        <v>31</v>
      </c>
      <c r="B21" s="4"/>
      <c r="C21" s="4"/>
      <c r="D21" s="4"/>
      <c r="E21" s="4"/>
      <c r="G21" s="11" t="s">
        <v>84</v>
      </c>
      <c r="I21" s="7"/>
      <c r="J21" s="7"/>
      <c r="K21" s="7"/>
    </row>
    <row r="22" spans="1:11" ht="16.5" x14ac:dyDescent="0.25">
      <c r="A22" s="2" t="s">
        <v>32</v>
      </c>
      <c r="B22" s="6">
        <f>SUM(B13:B21)</f>
        <v>57777446</v>
      </c>
      <c r="C22" s="6">
        <f t="shared" ref="C22:E22" si="13">SUM(C13:C21)</f>
        <v>58697981</v>
      </c>
      <c r="D22" s="6">
        <f t="shared" si="13"/>
        <v>94671051</v>
      </c>
      <c r="E22" s="6">
        <f t="shared" si="13"/>
        <v>105631007</v>
      </c>
      <c r="G22" s="11" t="s">
        <v>83</v>
      </c>
    </row>
    <row r="23" spans="1:11" ht="16.5" x14ac:dyDescent="0.25">
      <c r="A23" s="2" t="s">
        <v>33</v>
      </c>
      <c r="B23" s="6">
        <f>+B12+B22</f>
        <v>181453670</v>
      </c>
      <c r="C23" s="6">
        <f t="shared" ref="C23:E23" si="14">+C12+C22</f>
        <v>180111072</v>
      </c>
      <c r="D23" s="6">
        <f t="shared" si="14"/>
        <v>184414887</v>
      </c>
      <c r="E23" s="6">
        <f t="shared" si="14"/>
        <v>278453717</v>
      </c>
      <c r="G23" s="13" t="s">
        <v>76</v>
      </c>
      <c r="H23" s="13"/>
      <c r="I23" s="13"/>
      <c r="J23" s="13"/>
      <c r="K23" s="13"/>
    </row>
    <row r="24" spans="1:11" ht="16.5" x14ac:dyDescent="0.25">
      <c r="A24" s="3" t="s">
        <v>34</v>
      </c>
      <c r="B24" s="4">
        <v>920670</v>
      </c>
      <c r="C24" s="4">
        <v>777985</v>
      </c>
      <c r="D24" s="4">
        <v>1145927</v>
      </c>
      <c r="E24" s="4">
        <v>1057416</v>
      </c>
      <c r="H24" s="5">
        <v>2017</v>
      </c>
      <c r="I24" s="5">
        <v>2018</v>
      </c>
      <c r="J24" s="5">
        <v>2019</v>
      </c>
      <c r="K24" s="5">
        <v>2020</v>
      </c>
    </row>
    <row r="25" spans="1:11" ht="16.5" x14ac:dyDescent="0.25">
      <c r="A25" s="3" t="s">
        <v>35</v>
      </c>
      <c r="B25" s="4">
        <v>610000</v>
      </c>
      <c r="C25" s="4">
        <v>3582232</v>
      </c>
      <c r="D25" s="4"/>
      <c r="E25" s="4"/>
      <c r="G25" s="9" t="s">
        <v>71</v>
      </c>
      <c r="H25" s="10">
        <f>+B50/B48</f>
        <v>0.48711854370945434</v>
      </c>
      <c r="I25" s="10">
        <f t="shared" ref="I25:K25" si="15">+C50/C48</f>
        <v>0.52350062109967943</v>
      </c>
      <c r="J25" s="10">
        <f t="shared" si="15"/>
        <v>0.51266659911683299</v>
      </c>
      <c r="K25" s="10">
        <f t="shared" si="15"/>
        <v>0.48720083573584927</v>
      </c>
    </row>
    <row r="26" spans="1:11" ht="16.5" x14ac:dyDescent="0.25">
      <c r="A26" s="3" t="s">
        <v>36</v>
      </c>
      <c r="B26" s="4">
        <v>116865783</v>
      </c>
      <c r="C26" s="4">
        <v>60603760</v>
      </c>
      <c r="D26" s="4">
        <v>44475434</v>
      </c>
      <c r="E26" s="4">
        <v>27356986</v>
      </c>
      <c r="G26" s="9" t="s">
        <v>72</v>
      </c>
      <c r="H26" s="10">
        <f>+B56/B50</f>
        <v>-0.20504926736296047</v>
      </c>
      <c r="I26" s="10">
        <f t="shared" ref="I26:K26" si="16">+C56/C50</f>
        <v>9.2048369340266487E-2</v>
      </c>
      <c r="J26" s="10">
        <f t="shared" si="16"/>
        <v>0.18524281696177955</v>
      </c>
      <c r="K26" s="10">
        <f t="shared" si="16"/>
        <v>0.21504388635748786</v>
      </c>
    </row>
    <row r="27" spans="1:11" ht="16.5" x14ac:dyDescent="0.25">
      <c r="A27" s="3" t="s">
        <v>37</v>
      </c>
      <c r="B27" s="4">
        <v>588184</v>
      </c>
      <c r="C27" s="4">
        <v>6871218</v>
      </c>
      <c r="D27" s="4">
        <v>20341366</v>
      </c>
      <c r="E27" s="4">
        <v>11817178</v>
      </c>
      <c r="G27" s="9" t="s">
        <v>73</v>
      </c>
      <c r="H27" s="4">
        <f>+B56+B63</f>
        <v>-5628556</v>
      </c>
      <c r="I27" s="4">
        <f t="shared" ref="I27:K27" si="17">+C56+C63</f>
        <v>15402343</v>
      </c>
      <c r="J27" s="4">
        <f t="shared" si="17"/>
        <v>33258768</v>
      </c>
      <c r="K27" s="4">
        <f t="shared" si="17"/>
        <v>40239821</v>
      </c>
    </row>
    <row r="28" spans="1:11" ht="16.5" x14ac:dyDescent="0.25">
      <c r="A28" s="3" t="s">
        <v>38</v>
      </c>
      <c r="B28" s="4"/>
      <c r="C28" s="4"/>
      <c r="D28" s="4">
        <v>3319970</v>
      </c>
      <c r="E28" s="4">
        <v>4567100</v>
      </c>
      <c r="G28" s="9" t="s">
        <v>74</v>
      </c>
      <c r="H28" s="10">
        <f>+H27/B48</f>
        <v>-5.9110142286888948E-2</v>
      </c>
      <c r="I28" s="10">
        <f t="shared" ref="I28:K28" si="18">+I27/C48</f>
        <v>0.10513845484822026</v>
      </c>
      <c r="J28" s="10">
        <f t="shared" si="18"/>
        <v>0.16035861874042126</v>
      </c>
      <c r="K28" s="10">
        <f t="shared" si="18"/>
        <v>0.19204070490744166</v>
      </c>
    </row>
    <row r="29" spans="1:11" ht="16.5" x14ac:dyDescent="0.25">
      <c r="A29" s="3" t="s">
        <v>39</v>
      </c>
      <c r="B29" s="4">
        <v>831606</v>
      </c>
      <c r="C29" s="4">
        <v>0</v>
      </c>
      <c r="D29" s="4">
        <v>2788402</v>
      </c>
      <c r="E29" s="4">
        <v>1853237</v>
      </c>
      <c r="G29" s="9" t="s">
        <v>75</v>
      </c>
      <c r="H29" s="10">
        <f>+B61/B48</f>
        <v>-0.17217475260548581</v>
      </c>
      <c r="I29" s="10">
        <f t="shared" ref="I29:K29" si="19">+C61/C48</f>
        <v>-1.9535248274576918E-2</v>
      </c>
      <c r="J29" s="10">
        <f t="shared" si="19"/>
        <v>9.8535487300329908E-3</v>
      </c>
      <c r="K29" s="10">
        <f t="shared" si="19"/>
        <v>4.8476472365310309E-2</v>
      </c>
    </row>
    <row r="30" spans="1:11" ht="16.5" x14ac:dyDescent="0.25">
      <c r="A30" s="2" t="s">
        <v>40</v>
      </c>
      <c r="B30" s="6">
        <f>SUM(B24:B29)</f>
        <v>119816243</v>
      </c>
      <c r="C30" s="6">
        <f t="shared" ref="C30:E30" si="20">SUM(C24:C29)</f>
        <v>71835195</v>
      </c>
      <c r="D30" s="6">
        <f t="shared" si="20"/>
        <v>72071099</v>
      </c>
      <c r="E30" s="6">
        <f t="shared" si="20"/>
        <v>46651917</v>
      </c>
    </row>
    <row r="31" spans="1:11" ht="16.5" x14ac:dyDescent="0.25">
      <c r="A31" s="3" t="s">
        <v>41</v>
      </c>
      <c r="B31" s="4"/>
      <c r="C31" s="4"/>
      <c r="D31" s="4"/>
      <c r="E31" s="4"/>
      <c r="G31" s="9" t="s">
        <v>68</v>
      </c>
      <c r="I31" s="10">
        <f>+C56/AVERAGE(B23:C23)</f>
        <v>3.904832623309272E-2</v>
      </c>
      <c r="J31" s="10">
        <f t="shared" ref="J31:K31" si="21">+D56/AVERAGE(C23:D23)</f>
        <v>0.10806667406641401</v>
      </c>
      <c r="K31" s="10">
        <f t="shared" si="21"/>
        <v>9.4857165987434308E-2</v>
      </c>
    </row>
    <row r="32" spans="1:11" ht="16.5" x14ac:dyDescent="0.25">
      <c r="A32" s="3" t="s">
        <v>42</v>
      </c>
      <c r="B32" s="4"/>
      <c r="C32" s="4"/>
      <c r="D32" s="4"/>
      <c r="E32" s="4"/>
      <c r="G32" s="9" t="s">
        <v>69</v>
      </c>
      <c r="I32" s="10">
        <f>+C61/AVERAGE(B23:C23)</f>
        <v>-1.5830260352100372E-2</v>
      </c>
      <c r="J32" s="10">
        <f t="shared" ref="J32:K32" si="22">+D61/AVERAGE(C23:D23)</f>
        <v>1.1212644529384532E-2</v>
      </c>
      <c r="K32" s="10">
        <f t="shared" si="22"/>
        <v>4.3890045305384331E-2</v>
      </c>
    </row>
    <row r="33" spans="1:11" ht="16.5" x14ac:dyDescent="0.25">
      <c r="A33" s="3" t="s">
        <v>43</v>
      </c>
      <c r="B33" s="4">
        <v>55482500</v>
      </c>
      <c r="C33" s="4">
        <v>0</v>
      </c>
      <c r="D33" s="4">
        <v>40000000</v>
      </c>
      <c r="E33" s="4">
        <v>141454998</v>
      </c>
      <c r="G33" s="9" t="s">
        <v>70</v>
      </c>
      <c r="I33" s="10">
        <f>+C61/AVERAGE(B43:C43)</f>
        <v>-0.60580553262894599</v>
      </c>
      <c r="J33" s="10">
        <f t="shared" ref="J33:K33" si="23">+D61/AVERAGE(C43:D43)</f>
        <v>5.9555726780071178E-2</v>
      </c>
      <c r="K33" s="10">
        <f t="shared" si="23"/>
        <v>0.14425305560235707</v>
      </c>
    </row>
    <row r="34" spans="1:11" ht="16.5" x14ac:dyDescent="0.25">
      <c r="A34" s="3" t="s">
        <v>44</v>
      </c>
      <c r="B34" s="4"/>
      <c r="C34" s="4"/>
      <c r="D34" s="4"/>
      <c r="E34" s="4"/>
    </row>
    <row r="35" spans="1:11" ht="16.5" x14ac:dyDescent="0.25">
      <c r="A35" s="3" t="s">
        <v>45</v>
      </c>
      <c r="B35" s="4"/>
      <c r="C35" s="4"/>
      <c r="D35" s="4"/>
      <c r="E35" s="4"/>
      <c r="G35" s="13" t="s">
        <v>77</v>
      </c>
      <c r="H35" s="13"/>
      <c r="I35" s="13"/>
      <c r="J35" s="13"/>
      <c r="K35" s="13"/>
    </row>
    <row r="36" spans="1:11" ht="16.5" x14ac:dyDescent="0.25">
      <c r="A36" s="3" t="s">
        <v>46</v>
      </c>
      <c r="B36" s="4"/>
      <c r="C36" s="4">
        <v>103658589</v>
      </c>
      <c r="D36" s="4">
        <v>4634891</v>
      </c>
      <c r="E36" s="4">
        <v>1191603</v>
      </c>
      <c r="I36" s="5">
        <v>2018</v>
      </c>
      <c r="J36" s="5">
        <v>2019</v>
      </c>
      <c r="K36" s="5">
        <v>2020</v>
      </c>
    </row>
    <row r="37" spans="1:11" ht="16.5" x14ac:dyDescent="0.25">
      <c r="A37" s="3" t="s">
        <v>47</v>
      </c>
      <c r="B37" s="4"/>
      <c r="C37" s="4">
        <v>1324193</v>
      </c>
      <c r="D37" s="4">
        <v>2372152</v>
      </c>
      <c r="E37" s="4">
        <v>13660792</v>
      </c>
      <c r="G37" s="14" t="s">
        <v>75</v>
      </c>
      <c r="H37" s="15"/>
      <c r="I37" s="10">
        <f>+I29</f>
        <v>-1.9535248274576918E-2</v>
      </c>
      <c r="J37" s="10">
        <f t="shared" ref="J37:K37" si="24">+J29</f>
        <v>9.8535487300329908E-3</v>
      </c>
      <c r="K37" s="10">
        <f t="shared" si="24"/>
        <v>4.8476472365310309E-2</v>
      </c>
    </row>
    <row r="38" spans="1:11" ht="16.5" x14ac:dyDescent="0.25">
      <c r="A38" s="2" t="s">
        <v>48</v>
      </c>
      <c r="B38" s="6">
        <f>SUM(B31:B37)</f>
        <v>55482500</v>
      </c>
      <c r="C38" s="6">
        <f t="shared" ref="C38:E38" si="25">SUM(C31:C37)</f>
        <v>104982782</v>
      </c>
      <c r="D38" s="6">
        <f t="shared" si="25"/>
        <v>47007043</v>
      </c>
      <c r="E38" s="6">
        <f t="shared" si="25"/>
        <v>156307393</v>
      </c>
      <c r="G38" s="14" t="s">
        <v>78</v>
      </c>
      <c r="H38" s="15"/>
      <c r="I38" s="8">
        <f>+C48/AVERAGE(B23:C23)</f>
        <v>0.81034344327744212</v>
      </c>
      <c r="J38" s="8">
        <f t="shared" ref="J38:K38" si="26">+D48/AVERAGE(C23:D23)</f>
        <v>1.1379295760936465</v>
      </c>
      <c r="K38" s="8">
        <f t="shared" si="26"/>
        <v>0.90538859706285024</v>
      </c>
    </row>
    <row r="39" spans="1:11" ht="16.5" x14ac:dyDescent="0.25">
      <c r="A39" s="2" t="s">
        <v>49</v>
      </c>
      <c r="B39" s="6">
        <f>+B30+B38</f>
        <v>175298743</v>
      </c>
      <c r="C39" s="6">
        <f t="shared" ref="C39:E39" si="27">+C30+C38</f>
        <v>176817977</v>
      </c>
      <c r="D39" s="6">
        <f t="shared" si="27"/>
        <v>119078142</v>
      </c>
      <c r="E39" s="6">
        <f t="shared" si="27"/>
        <v>202959310</v>
      </c>
      <c r="G39" s="14" t="s">
        <v>79</v>
      </c>
      <c r="H39" s="15"/>
      <c r="I39" s="8">
        <f>+I18</f>
        <v>38.268829390956121</v>
      </c>
      <c r="J39" s="8">
        <f t="shared" ref="J39:K39" si="28">+J18</f>
        <v>5.3114790738256126</v>
      </c>
      <c r="K39" s="8">
        <f t="shared" si="28"/>
        <v>3.2866918819211248</v>
      </c>
    </row>
    <row r="40" spans="1:11" ht="16.5" x14ac:dyDescent="0.25">
      <c r="A40" s="3" t="s">
        <v>50</v>
      </c>
      <c r="B40" s="4">
        <v>2521750</v>
      </c>
      <c r="C40" s="4">
        <v>2521750</v>
      </c>
      <c r="D40" s="4">
        <v>3121750</v>
      </c>
      <c r="E40" s="4">
        <v>3121750</v>
      </c>
      <c r="G40" s="14" t="s">
        <v>70</v>
      </c>
      <c r="H40" s="15"/>
      <c r="I40" s="12">
        <f>+I37*I38*I39</f>
        <v>-0.60580553262894599</v>
      </c>
      <c r="J40" s="12">
        <f t="shared" ref="J40:K40" si="29">+J37*J38*J39</f>
        <v>5.9555726780071164E-2</v>
      </c>
      <c r="K40" s="12">
        <f t="shared" si="29"/>
        <v>0.14425305560235704</v>
      </c>
    </row>
    <row r="41" spans="1:11" ht="16.5" x14ac:dyDescent="0.25">
      <c r="A41" s="3" t="s">
        <v>51</v>
      </c>
      <c r="B41" s="4">
        <v>22065750</v>
      </c>
      <c r="C41" s="4">
        <v>22065750</v>
      </c>
      <c r="D41" s="4">
        <v>81465750</v>
      </c>
      <c r="E41" s="4">
        <v>81465750</v>
      </c>
      <c r="I41" t="b">
        <f>+I40=I33</f>
        <v>1</v>
      </c>
      <c r="J41" t="b">
        <f t="shared" ref="J41:K41" si="30">+J40=J33</f>
        <v>1</v>
      </c>
      <c r="K41" t="b">
        <f t="shared" si="30"/>
        <v>1</v>
      </c>
    </row>
    <row r="42" spans="1:11" ht="16.5" x14ac:dyDescent="0.25">
      <c r="A42" s="3" t="s">
        <v>52</v>
      </c>
      <c r="B42" s="4">
        <v>-18432573</v>
      </c>
      <c r="C42" s="4">
        <v>-21294405</v>
      </c>
      <c r="D42" s="4">
        <v>-19250755</v>
      </c>
      <c r="E42" s="4">
        <v>-9093093</v>
      </c>
    </row>
    <row r="43" spans="1:11" ht="16.5" x14ac:dyDescent="0.25">
      <c r="A43" s="2" t="s">
        <v>53</v>
      </c>
      <c r="B43" s="6">
        <f>SUM(B40:B42)</f>
        <v>6154927</v>
      </c>
      <c r="C43" s="6">
        <f t="shared" ref="C43:E43" si="31">SUM(C40:C42)</f>
        <v>3293095</v>
      </c>
      <c r="D43" s="6">
        <f t="shared" si="31"/>
        <v>65336745</v>
      </c>
      <c r="E43" s="6">
        <f t="shared" si="31"/>
        <v>75494407</v>
      </c>
    </row>
    <row r="44" spans="1:11" ht="16.5" x14ac:dyDescent="0.25">
      <c r="A44" s="2" t="s">
        <v>54</v>
      </c>
      <c r="B44" s="6">
        <f>+B39+B43</f>
        <v>181453670</v>
      </c>
      <c r="C44" s="6">
        <f t="shared" ref="C44:E44" si="32">+C39+C43</f>
        <v>180111072</v>
      </c>
      <c r="D44" s="6">
        <f t="shared" si="32"/>
        <v>184414887</v>
      </c>
      <c r="E44" s="6">
        <f t="shared" si="32"/>
        <v>278453717</v>
      </c>
    </row>
    <row r="45" spans="1:11" ht="16.5" x14ac:dyDescent="0.25">
      <c r="A45" s="3"/>
    </row>
    <row r="46" spans="1:11" ht="16.5" x14ac:dyDescent="0.25">
      <c r="A46" s="3"/>
    </row>
    <row r="47" spans="1:11" ht="16.5" x14ac:dyDescent="0.25">
      <c r="A47" s="3"/>
      <c r="B47" s="5">
        <v>2017</v>
      </c>
      <c r="C47" s="5">
        <v>2018</v>
      </c>
      <c r="D47" s="5">
        <v>2019</v>
      </c>
      <c r="E47" s="5">
        <v>2020</v>
      </c>
    </row>
    <row r="48" spans="1:11" ht="16.5" x14ac:dyDescent="0.25">
      <c r="A48" s="3" t="s">
        <v>0</v>
      </c>
      <c r="B48" s="4">
        <v>95221493</v>
      </c>
      <c r="C48" s="4">
        <v>146495809</v>
      </c>
      <c r="D48" s="4">
        <v>207402435</v>
      </c>
      <c r="E48" s="4">
        <v>209537978</v>
      </c>
    </row>
    <row r="49" spans="1:5" ht="16.5" x14ac:dyDescent="0.25">
      <c r="A49" s="3" t="s">
        <v>1</v>
      </c>
      <c r="B49" s="4">
        <v>48837338</v>
      </c>
      <c r="C49" s="4">
        <v>69805162</v>
      </c>
      <c r="D49" s="4">
        <v>101074134</v>
      </c>
      <c r="E49" s="4">
        <v>107450900</v>
      </c>
    </row>
    <row r="50" spans="1:5" ht="16.5" x14ac:dyDescent="0.25">
      <c r="A50" s="2" t="s">
        <v>2</v>
      </c>
      <c r="B50" s="6">
        <f>+B48-B49</f>
        <v>46384155</v>
      </c>
      <c r="C50" s="6">
        <f t="shared" ref="C50:E50" si="33">+C48-C49</f>
        <v>76690647</v>
      </c>
      <c r="D50" s="6">
        <f t="shared" si="33"/>
        <v>106328301</v>
      </c>
      <c r="E50" s="6">
        <f t="shared" si="33"/>
        <v>102087078</v>
      </c>
    </row>
    <row r="51" spans="1:5" ht="16.5" x14ac:dyDescent="0.25">
      <c r="A51" s="3" t="s">
        <v>3</v>
      </c>
      <c r="B51" s="4">
        <v>5388102</v>
      </c>
      <c r="C51" s="4"/>
      <c r="D51" s="4"/>
      <c r="E51" s="4"/>
    </row>
    <row r="52" spans="1:5" ht="16.5" x14ac:dyDescent="0.25">
      <c r="A52" s="3" t="s">
        <v>4</v>
      </c>
      <c r="B52" s="4">
        <v>41445847</v>
      </c>
      <c r="C52" s="4"/>
      <c r="D52" s="4">
        <v>65453755</v>
      </c>
      <c r="E52" s="4">
        <v>66786465</v>
      </c>
    </row>
    <row r="53" spans="1:5" ht="16.5" x14ac:dyDescent="0.25">
      <c r="A53" s="3" t="s">
        <v>5</v>
      </c>
      <c r="B53" s="4">
        <v>19209605</v>
      </c>
      <c r="C53" s="4">
        <v>27198225</v>
      </c>
      <c r="D53" s="4">
        <v>15806679</v>
      </c>
      <c r="E53" s="4">
        <v>11467772</v>
      </c>
    </row>
    <row r="54" spans="1:5" ht="16.5" x14ac:dyDescent="0.25">
      <c r="A54" s="3" t="s">
        <v>6</v>
      </c>
      <c r="B54" s="4">
        <v>627842</v>
      </c>
      <c r="C54" s="4">
        <v>38651352</v>
      </c>
      <c r="D54" s="4"/>
      <c r="E54" s="4"/>
    </row>
    <row r="55" spans="1:5" ht="16.5" x14ac:dyDescent="0.25">
      <c r="A55" s="3" t="s">
        <v>7</v>
      </c>
      <c r="B55" s="4"/>
      <c r="C55" s="4">
        <v>-3781821</v>
      </c>
      <c r="D55" s="4">
        <v>-5371313</v>
      </c>
      <c r="E55" s="4">
        <v>-1879639</v>
      </c>
    </row>
    <row r="56" spans="1:5" ht="16.5" x14ac:dyDescent="0.25">
      <c r="A56" s="2" t="s">
        <v>8</v>
      </c>
      <c r="B56" s="6">
        <f>+B50+B51-B52-B53-B54+B55</f>
        <v>-9511037</v>
      </c>
      <c r="C56" s="6">
        <f>+C50+C51-C52-C53-C54+C55</f>
        <v>7059249</v>
      </c>
      <c r="D56" s="6">
        <f>+D50+D51-D52-D53-D54+D55</f>
        <v>19696554</v>
      </c>
      <c r="E56" s="6">
        <f>+E50+E51-E52-E53-E54+E55</f>
        <v>21953202</v>
      </c>
    </row>
    <row r="57" spans="1:5" ht="16.5" x14ac:dyDescent="0.25">
      <c r="A57" s="3" t="s">
        <v>9</v>
      </c>
      <c r="B57" s="4">
        <v>312884</v>
      </c>
      <c r="C57" s="4">
        <v>481784</v>
      </c>
      <c r="D57" s="4">
        <v>453435</v>
      </c>
      <c r="E57" s="4">
        <v>273447</v>
      </c>
    </row>
    <row r="58" spans="1:5" ht="16.5" x14ac:dyDescent="0.25">
      <c r="A58" s="3" t="s">
        <v>10</v>
      </c>
      <c r="B58" s="4">
        <v>7196584</v>
      </c>
      <c r="C58" s="4">
        <v>6052503</v>
      </c>
      <c r="D58" s="4">
        <v>8309315</v>
      </c>
      <c r="E58" s="4">
        <v>5544644</v>
      </c>
    </row>
    <row r="59" spans="1:5" ht="16.5" x14ac:dyDescent="0.25">
      <c r="A59" s="2" t="s">
        <v>11</v>
      </c>
      <c r="B59" s="6">
        <f>+B56+B57-B58</f>
        <v>-16394737</v>
      </c>
      <c r="C59" s="6">
        <f t="shared" ref="C59:E59" si="34">+C56+C57-C58</f>
        <v>1488530</v>
      </c>
      <c r="D59" s="6">
        <f t="shared" si="34"/>
        <v>11840674</v>
      </c>
      <c r="E59" s="6">
        <f t="shared" si="34"/>
        <v>16682005</v>
      </c>
    </row>
    <row r="60" spans="1:5" ht="16.5" x14ac:dyDescent="0.25">
      <c r="A60" s="3" t="s">
        <v>12</v>
      </c>
      <c r="B60" s="4">
        <v>0</v>
      </c>
      <c r="C60" s="4">
        <v>4350362</v>
      </c>
      <c r="D60" s="4">
        <v>9797024</v>
      </c>
      <c r="E60" s="4">
        <v>6524343</v>
      </c>
    </row>
    <row r="61" spans="1:5" ht="16.5" x14ac:dyDescent="0.25">
      <c r="A61" s="2" t="s">
        <v>13</v>
      </c>
      <c r="B61" s="6">
        <f>+B59-B60</f>
        <v>-16394737</v>
      </c>
      <c r="C61" s="6">
        <f>+C59-C60</f>
        <v>-2861832</v>
      </c>
      <c r="D61" s="6">
        <f>+D59-D60</f>
        <v>2043650</v>
      </c>
      <c r="E61" s="6">
        <f>+E59-E60</f>
        <v>10157662</v>
      </c>
    </row>
    <row r="62" spans="1:5" ht="16.5" x14ac:dyDescent="0.25">
      <c r="A62" s="3"/>
    </row>
    <row r="63" spans="1:5" ht="16.5" x14ac:dyDescent="0.25">
      <c r="A63" s="3" t="s">
        <v>55</v>
      </c>
      <c r="B63" s="4">
        <v>3882481</v>
      </c>
      <c r="C63" s="4">
        <v>8343094</v>
      </c>
      <c r="D63" s="4">
        <v>13562214</v>
      </c>
      <c r="E63" s="4">
        <v>18286619</v>
      </c>
    </row>
  </sheetData>
  <mergeCells count="8">
    <mergeCell ref="G38:H38"/>
    <mergeCell ref="G39:H39"/>
    <mergeCell ref="G40:H40"/>
    <mergeCell ref="G4:K4"/>
    <mergeCell ref="G11:K11"/>
    <mergeCell ref="G23:K23"/>
    <mergeCell ref="G35:K35"/>
    <mergeCell ref="G37:H37"/>
  </mergeCells>
  <pageMargins left="0.7" right="0.7" top="0.75" bottom="0.75" header="0.3" footer="0.3"/>
  <ignoredErrors>
    <ignoredError sqref="B12:E1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H&amp;M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2022-01-04T20:57:49Z</dcterms:created>
  <dcterms:modified xsi:type="dcterms:W3CDTF">2022-01-08T17:44:20Z</dcterms:modified>
</cp:coreProperties>
</file>