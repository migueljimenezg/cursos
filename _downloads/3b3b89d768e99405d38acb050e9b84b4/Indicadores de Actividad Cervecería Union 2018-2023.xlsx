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646D461F-F0F7-42AF-A44D-89B46EF26571}" xr6:coauthVersionLast="47" xr6:coauthVersionMax="47" xr10:uidLastSave="{00000000-0000-0000-0000-000000000000}"/>
  <bookViews>
    <workbookView xWindow="-120" yWindow="-120" windowWidth="29040" windowHeight="15840" xr2:uid="{3914BDCC-E7C0-4F85-9543-AD40CD6BE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D76" i="1"/>
  <c r="K29" i="1"/>
  <c r="K30" i="1" s="1"/>
  <c r="K31" i="1" s="1"/>
  <c r="L29" i="1"/>
  <c r="M29" i="1"/>
  <c r="N29" i="1"/>
  <c r="O29" i="1"/>
  <c r="J29" i="1"/>
  <c r="L23" i="1"/>
  <c r="M23" i="1"/>
  <c r="N23" i="1"/>
  <c r="O23" i="1"/>
  <c r="K23" i="1"/>
  <c r="K22" i="1"/>
  <c r="K24" i="1" s="1"/>
  <c r="L20" i="1"/>
  <c r="M20" i="1"/>
  <c r="N20" i="1"/>
  <c r="O20" i="1"/>
  <c r="L21" i="1"/>
  <c r="M21" i="1"/>
  <c r="M22" i="1" s="1"/>
  <c r="N21" i="1"/>
  <c r="N22" i="1" s="1"/>
  <c r="O21" i="1"/>
  <c r="O22" i="1" s="1"/>
  <c r="K21" i="1"/>
  <c r="K20" i="1"/>
  <c r="L16" i="1"/>
  <c r="L17" i="1" s="1"/>
  <c r="M16" i="1"/>
  <c r="M17" i="1" s="1"/>
  <c r="N16" i="1"/>
  <c r="N17" i="1" s="1"/>
  <c r="N18" i="1" s="1"/>
  <c r="O16" i="1"/>
  <c r="O17" i="1" s="1"/>
  <c r="K16" i="1"/>
  <c r="K17" i="1" s="1"/>
  <c r="K18" i="1" s="1"/>
  <c r="O13" i="1"/>
  <c r="L12" i="1"/>
  <c r="L13" i="1" s="1"/>
  <c r="M12" i="1"/>
  <c r="M13" i="1" s="1"/>
  <c r="N12" i="1"/>
  <c r="N13" i="1" s="1"/>
  <c r="O12" i="1"/>
  <c r="K12" i="1"/>
  <c r="K13" i="1" s="1"/>
  <c r="K14" i="1" s="1"/>
  <c r="J8" i="1"/>
  <c r="K9" i="1" s="1"/>
  <c r="K10" i="1" s="1"/>
  <c r="O8" i="1"/>
  <c r="N8" i="1"/>
  <c r="M8" i="1"/>
  <c r="N9" i="1" s="1"/>
  <c r="N10" i="1" s="1"/>
  <c r="L8" i="1"/>
  <c r="K8" i="1"/>
  <c r="L9" i="1" s="1"/>
  <c r="L10" i="1" s="1"/>
  <c r="C72" i="1"/>
  <c r="D72" i="1"/>
  <c r="E72" i="1"/>
  <c r="F72" i="1"/>
  <c r="G72" i="1"/>
  <c r="B72" i="1"/>
  <c r="C70" i="1"/>
  <c r="D70" i="1"/>
  <c r="E70" i="1"/>
  <c r="F70" i="1"/>
  <c r="G70" i="1"/>
  <c r="B70" i="1"/>
  <c r="C67" i="1"/>
  <c r="D67" i="1"/>
  <c r="E67" i="1"/>
  <c r="F67" i="1"/>
  <c r="F69" i="1" s="1"/>
  <c r="G67" i="1"/>
  <c r="C68" i="1"/>
  <c r="C69" i="1" s="1"/>
  <c r="D68" i="1"/>
  <c r="E68" i="1"/>
  <c r="F68" i="1"/>
  <c r="G68" i="1"/>
  <c r="B68" i="1"/>
  <c r="B67" i="1"/>
  <c r="C63" i="1"/>
  <c r="C57" i="1"/>
  <c r="C64" i="1" s="1"/>
  <c r="D69" i="1"/>
  <c r="F42" i="1"/>
  <c r="F48" i="1" s="1"/>
  <c r="F52" i="1" s="1"/>
  <c r="F54" i="1" s="1"/>
  <c r="F65" i="1" s="1"/>
  <c r="E42" i="1"/>
  <c r="E48" i="1" s="1"/>
  <c r="E52" i="1" s="1"/>
  <c r="E54" i="1" s="1"/>
  <c r="E59" i="1" s="1"/>
  <c r="D42" i="1"/>
  <c r="D48" i="1" s="1"/>
  <c r="D52" i="1" s="1"/>
  <c r="D54" i="1" s="1"/>
  <c r="D65" i="1" s="1"/>
  <c r="C42" i="1"/>
  <c r="C48" i="1" s="1"/>
  <c r="C52" i="1" s="1"/>
  <c r="C54" i="1" s="1"/>
  <c r="C59" i="1" s="1"/>
  <c r="B42" i="1"/>
  <c r="B48" i="1" s="1"/>
  <c r="B52" i="1" s="1"/>
  <c r="B54" i="1" s="1"/>
  <c r="B65" i="1" s="1"/>
  <c r="G42" i="1"/>
  <c r="G48" i="1" s="1"/>
  <c r="G52" i="1" s="1"/>
  <c r="G54" i="1" s="1"/>
  <c r="G65" i="1" s="1"/>
  <c r="E34" i="1"/>
  <c r="D34" i="1"/>
  <c r="C34" i="1"/>
  <c r="B34" i="1"/>
  <c r="F34" i="1"/>
  <c r="G34" i="1"/>
  <c r="G28" i="1"/>
  <c r="F28" i="1"/>
  <c r="E28" i="1"/>
  <c r="D28" i="1"/>
  <c r="C28" i="1"/>
  <c r="B28" i="1"/>
  <c r="F22" i="1"/>
  <c r="E22" i="1"/>
  <c r="D22" i="1"/>
  <c r="C22" i="1"/>
  <c r="B22" i="1"/>
  <c r="G22" i="1"/>
  <c r="F16" i="1"/>
  <c r="E16" i="1"/>
  <c r="D16" i="1"/>
  <c r="C16" i="1"/>
  <c r="B16" i="1"/>
  <c r="G16" i="1"/>
  <c r="F9" i="1"/>
  <c r="E9" i="1"/>
  <c r="D9" i="1"/>
  <c r="C9" i="1"/>
  <c r="B9" i="1"/>
  <c r="G9" i="1"/>
  <c r="B63" i="1" l="1"/>
  <c r="E69" i="1"/>
  <c r="C65" i="1"/>
  <c r="B69" i="1"/>
  <c r="G69" i="1"/>
  <c r="L22" i="1"/>
  <c r="O9" i="1"/>
  <c r="O10" i="1" s="1"/>
  <c r="O30" i="1"/>
  <c r="O31" i="1" s="1"/>
  <c r="L30" i="1"/>
  <c r="L31" i="1" s="1"/>
  <c r="E65" i="1"/>
  <c r="K25" i="1"/>
  <c r="K27" i="1" s="1"/>
  <c r="N30" i="1"/>
  <c r="N31" i="1" s="1"/>
  <c r="E62" i="1"/>
  <c r="G59" i="1"/>
  <c r="C62" i="1"/>
  <c r="B57" i="1"/>
  <c r="B64" i="1" s="1"/>
  <c r="G63" i="1"/>
  <c r="E57" i="1"/>
  <c r="E64" i="1" s="1"/>
  <c r="M9" i="1"/>
  <c r="M10" i="1" s="1"/>
  <c r="O24" i="1"/>
  <c r="O25" i="1" s="1"/>
  <c r="L24" i="1"/>
  <c r="L25" i="1" s="1"/>
  <c r="M24" i="1"/>
  <c r="M25" i="1" s="1"/>
  <c r="N24" i="1"/>
  <c r="N25" i="1" s="1"/>
  <c r="M18" i="1"/>
  <c r="O18" i="1"/>
  <c r="L18" i="1"/>
  <c r="O14" i="1"/>
  <c r="N14" i="1"/>
  <c r="M14" i="1"/>
  <c r="L14" i="1"/>
  <c r="M30" i="1"/>
  <c r="M31" i="1" s="1"/>
  <c r="F57" i="1"/>
  <c r="F64" i="1" s="1"/>
  <c r="F62" i="1"/>
  <c r="B62" i="1"/>
  <c r="F59" i="1"/>
  <c r="F63" i="1"/>
  <c r="E63" i="1"/>
  <c r="D59" i="1"/>
  <c r="D63" i="1"/>
  <c r="G57" i="1"/>
  <c r="G64" i="1" s="1"/>
  <c r="G62" i="1"/>
  <c r="D57" i="1"/>
  <c r="D64" i="1" s="1"/>
  <c r="D62" i="1"/>
  <c r="G29" i="1"/>
  <c r="G35" i="1" s="1"/>
  <c r="B29" i="1"/>
  <c r="B35" i="1" s="1"/>
  <c r="C29" i="1"/>
  <c r="C35" i="1" s="1"/>
  <c r="D29" i="1"/>
  <c r="D35" i="1" s="1"/>
  <c r="E29" i="1"/>
  <c r="E35" i="1" s="1"/>
  <c r="F29" i="1"/>
  <c r="F35" i="1" s="1"/>
  <c r="C17" i="1"/>
  <c r="L5" i="1" s="1"/>
  <c r="L6" i="1" s="1"/>
  <c r="G17" i="1"/>
  <c r="E17" i="1"/>
  <c r="N5" i="1" s="1"/>
  <c r="N6" i="1" s="1"/>
  <c r="B17" i="1"/>
  <c r="K5" i="1" s="1"/>
  <c r="K6" i="1" s="1"/>
  <c r="D17" i="1"/>
  <c r="F17" i="1"/>
  <c r="O5" i="1" l="1"/>
  <c r="O6" i="1" s="1"/>
  <c r="M5" i="1"/>
  <c r="M6" i="1" s="1"/>
  <c r="O27" i="1"/>
  <c r="N27" i="1"/>
  <c r="L27" i="1"/>
  <c r="M27" i="1"/>
  <c r="F37" i="1"/>
  <c r="E37" i="1"/>
  <c r="B37" i="1"/>
  <c r="C37" i="1"/>
  <c r="D37" i="1"/>
  <c r="G37" i="1"/>
  <c r="F36" i="1"/>
  <c r="E36" i="1"/>
  <c r="D36" i="1"/>
  <c r="C36" i="1"/>
  <c r="B36" i="1"/>
  <c r="G36" i="1"/>
</calcChain>
</file>

<file path=xl/sharedStrings.xml><?xml version="1.0" encoding="utf-8"?>
<sst xmlns="http://schemas.openxmlformats.org/spreadsheetml/2006/main" count="95" uniqueCount="87">
  <si>
    <t>CERVECERIA UNIÓN SA</t>
  </si>
  <si>
    <t>Cifras en miles de pesos</t>
  </si>
  <si>
    <t>Efectivo y equivalentes al efectivo</t>
  </si>
  <si>
    <t>Cuentas comerciales por cobrar</t>
  </si>
  <si>
    <t>Inventarios corrientes</t>
  </si>
  <si>
    <t>Activos por impuestos corrientes</t>
  </si>
  <si>
    <t>Activos corrientes totales</t>
  </si>
  <si>
    <t xml:space="preserve">Propiedades, planta y equipo </t>
  </si>
  <si>
    <t>Activos intangibles distintos de la plusvalía</t>
  </si>
  <si>
    <t>Inversiones contabilizadas utilizando el método de la participación</t>
  </si>
  <si>
    <t>Inversiones en subsidiarias, negocios conjuntos y asociadas</t>
  </si>
  <si>
    <t xml:space="preserve">Cuentas comerciales por cobrar no corrientes </t>
  </si>
  <si>
    <t xml:space="preserve">Otros activos financieros no corrientes </t>
  </si>
  <si>
    <t xml:space="preserve">Total de activos no corrientes </t>
  </si>
  <si>
    <t>Total de activos</t>
  </si>
  <si>
    <t>Otras provisiones corrientes</t>
  </si>
  <si>
    <t>Cuentas por pagar comerciales</t>
  </si>
  <si>
    <t>Pasivos por impuestos corrientes</t>
  </si>
  <si>
    <t>Otros pasivos financieros corrientes</t>
  </si>
  <si>
    <t>Provisiones no corrientes por beneficios a los empleados</t>
  </si>
  <si>
    <t>Otras provisiones no corrientes</t>
  </si>
  <si>
    <t>Cuentas comerciales por pagar no corrientes</t>
  </si>
  <si>
    <t>Pasivo por impuestos diferidos</t>
  </si>
  <si>
    <t>Otros pasivos financieros no corrientes</t>
  </si>
  <si>
    <t>Total de pasivos no corrientes</t>
  </si>
  <si>
    <t>Total pasivos</t>
  </si>
  <si>
    <t>Capital emitido</t>
  </si>
  <si>
    <t>Acciones propias en cartera</t>
  </si>
  <si>
    <t>Otras reservas</t>
  </si>
  <si>
    <t>Ganancias acumuladas</t>
  </si>
  <si>
    <t>Patrimonio total</t>
  </si>
  <si>
    <t>Total de patrimonio y pasivos</t>
  </si>
  <si>
    <t>Ingresos de actividades ordinarias</t>
  </si>
  <si>
    <t>Costo de ventas</t>
  </si>
  <si>
    <t>Utilidad bruta</t>
  </si>
  <si>
    <t>Otros ingresos</t>
  </si>
  <si>
    <t>Costos de distribución</t>
  </si>
  <si>
    <t>Gastos de administración</t>
  </si>
  <si>
    <t>Otros gastos</t>
  </si>
  <si>
    <t xml:space="preserve">Otras ganancias (pérdidas) </t>
  </si>
  <si>
    <t>Utilidad operacional</t>
  </si>
  <si>
    <t>Ingresos financieros</t>
  </si>
  <si>
    <t>Costos financieros</t>
  </si>
  <si>
    <t>Participación en las ganancias (pérdidas) de Subsidiarias, etc</t>
  </si>
  <si>
    <t>Utilidad antes de impuestos</t>
  </si>
  <si>
    <t>Ingreso (gasto) por impuestos</t>
  </si>
  <si>
    <t>Utilidad neta</t>
  </si>
  <si>
    <t>Pasivos corrientes totales</t>
  </si>
  <si>
    <t>Depreciaciones y amortizaciones</t>
  </si>
  <si>
    <t>Dividendos</t>
  </si>
  <si>
    <t>Margen Bruto</t>
  </si>
  <si>
    <t>Margen Operacional</t>
  </si>
  <si>
    <t>Margen EBITDA</t>
  </si>
  <si>
    <t>Margen Neto</t>
  </si>
  <si>
    <t>Deudas corto plazo</t>
  </si>
  <si>
    <t>Deudas largo plazo</t>
  </si>
  <si>
    <t>Total deudas financieras</t>
  </si>
  <si>
    <t>Intereses</t>
  </si>
  <si>
    <t>CAPEX (Activo Fijo=PPE+Intangibles)</t>
  </si>
  <si>
    <t>EBITDA</t>
  </si>
  <si>
    <t>Considera los aumentos en las Reservas</t>
  </si>
  <si>
    <t>Prom. Activos</t>
  </si>
  <si>
    <t>Rotación Activos</t>
  </si>
  <si>
    <t>veces</t>
  </si>
  <si>
    <t>Activos Fijos (AF) = CAPEX</t>
  </si>
  <si>
    <t>Prom. AF</t>
  </si>
  <si>
    <t>Rotación AF</t>
  </si>
  <si>
    <t>Prom. Inventarios</t>
  </si>
  <si>
    <t>Rotación Inventarios</t>
  </si>
  <si>
    <t>Días de Inventario</t>
  </si>
  <si>
    <t>días</t>
  </si>
  <si>
    <t>Prom. CxC</t>
  </si>
  <si>
    <t>Rotación CxC</t>
  </si>
  <si>
    <t>Días de CxC</t>
  </si>
  <si>
    <t>Inventario Inicial</t>
  </si>
  <si>
    <t>Inventario Final</t>
  </si>
  <si>
    <t>Compras</t>
  </si>
  <si>
    <t>Prom. CxP</t>
  </si>
  <si>
    <t>Rotación CxP</t>
  </si>
  <si>
    <t>Días de CxP</t>
  </si>
  <si>
    <t>Ciclo de efectivo</t>
  </si>
  <si>
    <t>KTNO</t>
  </si>
  <si>
    <t>Prom. KTNO</t>
  </si>
  <si>
    <t>Rotación KTNO</t>
  </si>
  <si>
    <t>Nacionales</t>
  </si>
  <si>
    <t>TOTAL</t>
  </si>
  <si>
    <t>En el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</si>
</sst>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sz val="12"/>
      <name val="Franklin Gothic Book"/>
      <family val="2"/>
    </font>
    <font>
      <b/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Aptos Narrow"/>
      <family val="2"/>
      <scheme val="minor"/>
    </font>
    <font>
      <b/>
      <sz val="12"/>
      <color rgb="FF14085C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">
    <xf numFmtId="0" fontId="0" fillId="0" borderId="0" xfId="0"/>
    <xf numFmtId="165" fontId="3" fillId="0" borderId="0" xfId="2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" fontId="4" fillId="0" borderId="2" xfId="2" applyNumberFormat="1" applyFont="1" applyBorder="1" applyAlignment="1">
      <alignment horizontal="center" vertical="center"/>
    </xf>
    <xf numFmtId="6" fontId="5" fillId="2" borderId="2" xfId="0" applyNumberFormat="1" applyFont="1" applyFill="1" applyBorder="1" applyAlignment="1">
      <alignment horizontal="center" vertical="center"/>
    </xf>
    <xf numFmtId="6" fontId="6" fillId="0" borderId="3" xfId="0" applyNumberFormat="1" applyFont="1" applyBorder="1" applyAlignment="1">
      <alignment horizontal="center" vertical="center"/>
    </xf>
    <xf numFmtId="6" fontId="0" fillId="0" borderId="0" xfId="0" applyNumberFormat="1"/>
    <xf numFmtId="9" fontId="5" fillId="2" borderId="2" xfId="1" applyFont="1" applyFill="1" applyBorder="1" applyAlignment="1">
      <alignment horizontal="center" vertical="center"/>
    </xf>
    <xf numFmtId="0" fontId="7" fillId="0" borderId="0" xfId="0" applyFont="1"/>
    <xf numFmtId="165" fontId="4" fillId="0" borderId="0" xfId="2" applyNumberFormat="1" applyFont="1" applyFill="1" applyBorder="1" applyAlignment="1">
      <alignment vertical="center"/>
    </xf>
    <xf numFmtId="165" fontId="3" fillId="0" borderId="0" xfId="2" applyNumberFormat="1" applyFont="1" applyFill="1" applyBorder="1" applyAlignment="1">
      <alignment vertical="center"/>
    </xf>
    <xf numFmtId="49" fontId="4" fillId="0" borderId="2" xfId="2" applyNumberFormat="1" applyFont="1" applyBorder="1" applyAlignment="1">
      <alignment horizontal="center" vertical="center"/>
    </xf>
    <xf numFmtId="165" fontId="8" fillId="0" borderId="0" xfId="2" applyNumberFormat="1" applyFont="1" applyBorder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0" xfId="2" applyNumberFormat="1" applyFont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6" fontId="6" fillId="0" borderId="1" xfId="0" applyNumberFormat="1" applyFont="1" applyBorder="1" applyAlignment="1">
      <alignment horizontal="center" vertical="center"/>
    </xf>
  </cellXfs>
  <cellStyles count="3">
    <cellStyle name="Comma 28" xfId="2" xr:uid="{36DF36B3-5D40-4DEC-AC5A-7F6F0B60A83F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525887</xdr:colOff>
      <xdr:row>3</xdr:row>
      <xdr:rowOff>19050</xdr:rowOff>
    </xdr:from>
    <xdr:to>
      <xdr:col>19</xdr:col>
      <xdr:colOff>747903</xdr:colOff>
      <xdr:row>4</xdr:row>
      <xdr:rowOff>98413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0989D5A-2324-4C2C-BB22-ED00479C820A}"/>
                </a:ext>
              </a:extLst>
            </xdr:cNvPr>
            <xdr:cNvSpPr txBox="1"/>
          </xdr:nvSpPr>
          <xdr:spPr>
            <a:xfrm>
              <a:off x="22528637" y="647700"/>
              <a:ext cx="3270016" cy="2889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0989D5A-2324-4C2C-BB22-ED00479C820A}"/>
                </a:ext>
              </a:extLst>
            </xdr:cNvPr>
            <xdr:cNvSpPr txBox="1"/>
          </xdr:nvSpPr>
          <xdr:spPr>
            <a:xfrm>
              <a:off x="22528637" y="647700"/>
              <a:ext cx="3270016" cy="2889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Activos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634742</xdr:colOff>
      <xdr:row>6</xdr:row>
      <xdr:rowOff>206107</xdr:rowOff>
    </xdr:from>
    <xdr:to>
      <xdr:col>19</xdr:col>
      <xdr:colOff>585409</xdr:colOff>
      <xdr:row>8</xdr:row>
      <xdr:rowOff>102963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782DF4A2-996E-405A-AE16-1A43E7F734D1}"/>
                </a:ext>
              </a:extLst>
            </xdr:cNvPr>
            <xdr:cNvSpPr txBox="1"/>
          </xdr:nvSpPr>
          <xdr:spPr>
            <a:xfrm>
              <a:off x="22637492" y="1463407"/>
              <a:ext cx="2998667" cy="31595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Fijos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Fijos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782DF4A2-996E-405A-AE16-1A43E7F734D1}"/>
                </a:ext>
              </a:extLst>
            </xdr:cNvPr>
            <xdr:cNvSpPr txBox="1"/>
          </xdr:nvSpPr>
          <xdr:spPr>
            <a:xfrm>
              <a:off x="22637492" y="1463407"/>
              <a:ext cx="2998667" cy="31595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Activos Fijos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Fijos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572921</xdr:colOff>
      <xdr:row>11</xdr:row>
      <xdr:rowOff>86817</xdr:rowOff>
    </xdr:from>
    <xdr:to>
      <xdr:col>19</xdr:col>
      <xdr:colOff>625371</xdr:colOff>
      <xdr:row>12</xdr:row>
      <xdr:rowOff>167481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889F4B85-C4EC-4CFA-BBC9-D658B6DC2DB2}"/>
                </a:ext>
              </a:extLst>
            </xdr:cNvPr>
            <xdr:cNvSpPr txBox="1"/>
          </xdr:nvSpPr>
          <xdr:spPr>
            <a:xfrm>
              <a:off x="22575671" y="2391867"/>
              <a:ext cx="3100450" cy="29021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Costos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889F4B85-C4EC-4CFA-BBC9-D658B6DC2DB2}"/>
                </a:ext>
              </a:extLst>
            </xdr:cNvPr>
            <xdr:cNvSpPr txBox="1"/>
          </xdr:nvSpPr>
          <xdr:spPr>
            <a:xfrm>
              <a:off x="22575671" y="2391867"/>
              <a:ext cx="3100450" cy="29021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Inventarios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"Costos de 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Inventarios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16</xdr:col>
      <xdr:colOff>10295</xdr:colOff>
      <xdr:row>13</xdr:row>
      <xdr:rowOff>49986</xdr:rowOff>
    </xdr:from>
    <xdr:to>
      <xdr:col>19</xdr:col>
      <xdr:colOff>345821</xdr:colOff>
      <xdr:row>14</xdr:row>
      <xdr:rowOff>133838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BDD3CAF2-104E-4689-9BA3-718E553BF270}"/>
                </a:ext>
              </a:extLst>
            </xdr:cNvPr>
            <xdr:cNvSpPr txBox="1"/>
          </xdr:nvSpPr>
          <xdr:spPr>
            <a:xfrm>
              <a:off x="22775045" y="2774136"/>
              <a:ext cx="2621526" cy="2934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BDD3CAF2-104E-4689-9BA3-718E553BF270}"/>
                </a:ext>
              </a:extLst>
            </xdr:cNvPr>
            <xdr:cNvSpPr txBox="1"/>
          </xdr:nvSpPr>
          <xdr:spPr>
            <a:xfrm>
              <a:off x="22775045" y="2774136"/>
              <a:ext cx="2621526" cy="2934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Inventario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Inventarios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599543</xdr:colOff>
      <xdr:row>15</xdr:row>
      <xdr:rowOff>74889</xdr:rowOff>
    </xdr:from>
    <xdr:to>
      <xdr:col>20</xdr:col>
      <xdr:colOff>594880</xdr:colOff>
      <xdr:row>17</xdr:row>
      <xdr:rowOff>66780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62897E91-4A04-48C1-83AC-9909FFB35F5F}"/>
                </a:ext>
              </a:extLst>
            </xdr:cNvPr>
            <xdr:cNvSpPr txBox="1"/>
          </xdr:nvSpPr>
          <xdr:spPr>
            <a:xfrm>
              <a:off x="22602293" y="3218139"/>
              <a:ext cx="3805337" cy="41099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62897E91-4A04-48C1-83AC-9909FFB35F5F}"/>
                </a:ext>
              </a:extLst>
            </xdr:cNvPr>
            <xdr:cNvSpPr txBox="1"/>
          </xdr:nvSpPr>
          <xdr:spPr>
            <a:xfrm>
              <a:off x="22602293" y="3218139"/>
              <a:ext cx="3805337" cy="41099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651013</xdr:colOff>
      <xdr:row>17</xdr:row>
      <xdr:rowOff>57490</xdr:rowOff>
    </xdr:from>
    <xdr:to>
      <xdr:col>20</xdr:col>
      <xdr:colOff>565246</xdr:colOff>
      <xdr:row>18</xdr:row>
      <xdr:rowOff>165195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2DFADC0B-3B52-44E7-9A00-62D1B851C81F}"/>
                </a:ext>
              </a:extLst>
            </xdr:cNvPr>
            <xdr:cNvSpPr txBox="1"/>
          </xdr:nvSpPr>
          <xdr:spPr>
            <a:xfrm>
              <a:off x="22653763" y="3619840"/>
              <a:ext cx="3724233" cy="31725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2DFADC0B-3B52-44E7-9A00-62D1B851C81F}"/>
                </a:ext>
              </a:extLst>
            </xdr:cNvPr>
            <xdr:cNvSpPr txBox="1"/>
          </xdr:nvSpPr>
          <xdr:spPr>
            <a:xfrm>
              <a:off x="22653763" y="3619840"/>
              <a:ext cx="3724233" cy="31725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569370</xdr:colOff>
      <xdr:row>21</xdr:row>
      <xdr:rowOff>37781</xdr:rowOff>
    </xdr:from>
    <xdr:to>
      <xdr:col>20</xdr:col>
      <xdr:colOff>558468</xdr:colOff>
      <xdr:row>22</xdr:row>
      <xdr:rowOff>147241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BFDAA9B5-718B-4202-ACD9-CE0C301258FC}"/>
                </a:ext>
              </a:extLst>
            </xdr:cNvPr>
            <xdr:cNvSpPr txBox="1"/>
          </xdr:nvSpPr>
          <xdr:spPr>
            <a:xfrm>
              <a:off x="22572120" y="4438331"/>
              <a:ext cx="3799098" cy="3190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Compras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BFDAA9B5-718B-4202-ACD9-CE0C301258FC}"/>
                </a:ext>
              </a:extLst>
            </xdr:cNvPr>
            <xdr:cNvSpPr txBox="1"/>
          </xdr:nvSpPr>
          <xdr:spPr>
            <a:xfrm>
              <a:off x="22572120" y="4438331"/>
              <a:ext cx="3799098" cy="3190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"Compras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615517</xdr:colOff>
      <xdr:row>19</xdr:row>
      <xdr:rowOff>183763</xdr:rowOff>
    </xdr:from>
    <xdr:to>
      <xdr:col>21</xdr:col>
      <xdr:colOff>64538</xdr:colOff>
      <xdr:row>20</xdr:row>
      <xdr:rowOff>125572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9936A83D-CE1A-4BB3-A6B9-5F1FDBDDBF3E}"/>
                </a:ext>
              </a:extLst>
            </xdr:cNvPr>
            <xdr:cNvSpPr txBox="1"/>
          </xdr:nvSpPr>
          <xdr:spPr>
            <a:xfrm>
              <a:off x="22618267" y="4165213"/>
              <a:ext cx="4021021" cy="15135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Compras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Costo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Ventas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Final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Inicial</m:t>
                    </m:r>
                  </m:oMath>
                </m:oMathPara>
              </a14:m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9936A83D-CE1A-4BB3-A6B9-5F1FDBDDBF3E}"/>
                </a:ext>
              </a:extLst>
            </xdr:cNvPr>
            <xdr:cNvSpPr txBox="1"/>
          </xdr:nvSpPr>
          <xdr:spPr>
            <a:xfrm>
              <a:off x="22618267" y="4165213"/>
              <a:ext cx="4021021" cy="15135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"Compras = Costo de Ventas + Inventario Final – Inventario Inicial</a:t>
              </a:r>
              <a:r>
                <a:rPr lang="es-CO" sz="1000" b="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371475</xdr:colOff>
      <xdr:row>22</xdr:row>
      <xdr:rowOff>204790</xdr:rowOff>
    </xdr:from>
    <xdr:to>
      <xdr:col>21</xdr:col>
      <xdr:colOff>41341</xdr:colOff>
      <xdr:row>24</xdr:row>
      <xdr:rowOff>106582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21F0BD28-77CC-44BB-B392-A8792774B8BC}"/>
                </a:ext>
              </a:extLst>
            </xdr:cNvPr>
            <xdr:cNvSpPr txBox="1"/>
          </xdr:nvSpPr>
          <xdr:spPr>
            <a:xfrm>
              <a:off x="22374225" y="4814890"/>
              <a:ext cx="4241866" cy="32089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21F0BD28-77CC-44BB-B392-A8792774B8BC}"/>
                </a:ext>
              </a:extLst>
            </xdr:cNvPr>
            <xdr:cNvSpPr txBox="1"/>
          </xdr:nvSpPr>
          <xdr:spPr>
            <a:xfrm>
              <a:off x="22374225" y="4814890"/>
              <a:ext cx="4241866" cy="32089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731473</xdr:colOff>
      <xdr:row>26</xdr:row>
      <xdr:rowOff>92820</xdr:rowOff>
    </xdr:from>
    <xdr:to>
      <xdr:col>21</xdr:col>
      <xdr:colOff>11992</xdr:colOff>
      <xdr:row>27</xdr:row>
      <xdr:rowOff>37113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BCBF8781-F717-46B5-B95A-9919EFE9CF02}"/>
                </a:ext>
              </a:extLst>
            </xdr:cNvPr>
            <xdr:cNvSpPr txBox="1"/>
          </xdr:nvSpPr>
          <xdr:spPr>
            <a:xfrm>
              <a:off x="22734223" y="5541120"/>
              <a:ext cx="3852519" cy="15384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Ciclo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efectivo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CxC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CxP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BCBF8781-F717-46B5-B95A-9919EFE9CF02}"/>
                </a:ext>
              </a:extLst>
            </xdr:cNvPr>
            <xdr:cNvSpPr txBox="1"/>
          </xdr:nvSpPr>
          <xdr:spPr>
            <a:xfrm>
              <a:off x="22734223" y="5541120"/>
              <a:ext cx="3852519" cy="15384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"Ciclo de efectivo = Días de Inventario + Días de CxC – Días de CxP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703077</xdr:colOff>
      <xdr:row>27</xdr:row>
      <xdr:rowOff>158248</xdr:rowOff>
    </xdr:from>
    <xdr:to>
      <xdr:col>21</xdr:col>
      <xdr:colOff>396916</xdr:colOff>
      <xdr:row>29</xdr:row>
      <xdr:rowOff>89045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AD27686-CF7D-4271-9E28-0B2BCA6107DC}"/>
            </a:ext>
          </a:extLst>
        </xdr:cNvPr>
        <xdr:cNvSpPr txBox="1"/>
      </xdr:nvSpPr>
      <xdr:spPr>
        <a:xfrm>
          <a:off x="22705827" y="5816098"/>
          <a:ext cx="4265839" cy="3498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Efectivo + CxC + Inventario – CxP – Otras CxP</a:t>
          </a:r>
          <a:endParaRPr lang="es-CO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564936</xdr:colOff>
      <xdr:row>29</xdr:row>
      <xdr:rowOff>196225</xdr:rowOff>
    </xdr:from>
    <xdr:to>
      <xdr:col>19</xdr:col>
      <xdr:colOff>542144</xdr:colOff>
      <xdr:row>31</xdr:row>
      <xdr:rowOff>72904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uadroTexto 13">
              <a:extLst>
                <a:ext uri="{FF2B5EF4-FFF2-40B4-BE49-F238E27FC236}">
                  <a16:creationId xmlns:a16="http://schemas.microsoft.com/office/drawing/2014/main" id="{AFC9122F-4256-4FB6-9547-9120556D8210}"/>
                </a:ext>
              </a:extLst>
            </xdr:cNvPr>
            <xdr:cNvSpPr txBox="1"/>
          </xdr:nvSpPr>
          <xdr:spPr>
            <a:xfrm>
              <a:off x="22567686" y="6273175"/>
              <a:ext cx="3025208" cy="2957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3" name="CuadroTexto 13">
              <a:extLst>
                <a:ext uri="{FF2B5EF4-FFF2-40B4-BE49-F238E27FC236}">
                  <a16:creationId xmlns:a16="http://schemas.microsoft.com/office/drawing/2014/main" id="{AFC9122F-4256-4FB6-9547-9120556D8210}"/>
                </a:ext>
              </a:extLst>
            </xdr:cNvPr>
            <xdr:cNvSpPr txBox="1"/>
          </xdr:nvSpPr>
          <xdr:spPr>
            <a:xfrm>
              <a:off x="22567686" y="6273175"/>
              <a:ext cx="3025208" cy="2957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97E8-C302-4861-A51F-2A256D397F25}">
  <dimension ref="A1:P76"/>
  <sheetViews>
    <sheetView tabSelected="1" workbookViewId="0"/>
  </sheetViews>
  <sheetFormatPr baseColWidth="10" defaultRowHeight="15" x14ac:dyDescent="0.25"/>
  <cols>
    <col min="1" max="1" width="65.42578125" customWidth="1"/>
    <col min="2" max="7" width="20" bestFit="1" customWidth="1"/>
    <col min="9" max="9" width="28" bestFit="1" customWidth="1"/>
    <col min="10" max="10" width="15.85546875" bestFit="1" customWidth="1"/>
    <col min="11" max="15" width="17.85546875" bestFit="1" customWidth="1"/>
  </cols>
  <sheetData>
    <row r="1" spans="1:16" ht="16.5" x14ac:dyDescent="0.25">
      <c r="A1" s="2" t="s">
        <v>0</v>
      </c>
    </row>
    <row r="2" spans="1:16" ht="16.5" x14ac:dyDescent="0.25">
      <c r="A2" s="1" t="s">
        <v>1</v>
      </c>
    </row>
    <row r="3" spans="1:16" ht="16.5" x14ac:dyDescent="0.25">
      <c r="A3" s="1"/>
    </row>
    <row r="4" spans="1:16" ht="16.5" x14ac:dyDescent="0.25">
      <c r="A4" s="1"/>
      <c r="B4" s="3">
        <v>2018</v>
      </c>
      <c r="C4" s="3">
        <v>2019</v>
      </c>
      <c r="D4" s="3">
        <v>2020</v>
      </c>
      <c r="E4" s="3">
        <v>2021</v>
      </c>
      <c r="F4" s="3">
        <v>2022</v>
      </c>
      <c r="G4" s="3">
        <v>2023</v>
      </c>
      <c r="I4" s="8"/>
      <c r="J4" s="11">
        <v>2018</v>
      </c>
      <c r="K4" s="11">
        <v>2019</v>
      </c>
      <c r="L4" s="11">
        <v>2020</v>
      </c>
      <c r="M4" s="11">
        <v>2021</v>
      </c>
      <c r="N4" s="11">
        <v>2022</v>
      </c>
      <c r="O4" s="11">
        <v>2023</v>
      </c>
      <c r="P4" s="8"/>
    </row>
    <row r="5" spans="1:16" ht="16.5" x14ac:dyDescent="0.25">
      <c r="A5" s="1" t="s">
        <v>2</v>
      </c>
      <c r="B5" s="4">
        <v>25766713</v>
      </c>
      <c r="C5" s="4">
        <v>44248357</v>
      </c>
      <c r="D5" s="4">
        <v>15065533</v>
      </c>
      <c r="E5" s="4">
        <v>137449448</v>
      </c>
      <c r="F5" s="4">
        <v>84986318</v>
      </c>
      <c r="G5" s="4">
        <v>265931919</v>
      </c>
      <c r="I5" s="1" t="s">
        <v>61</v>
      </c>
      <c r="K5" s="4">
        <f>+AVERAGE(B17:C17)</f>
        <v>1574028187.5</v>
      </c>
      <c r="L5" s="4">
        <f t="shared" ref="L5:O5" si="0">+AVERAGE(C17:D17)</f>
        <v>1447070996.5</v>
      </c>
      <c r="M5" s="4">
        <f t="shared" si="0"/>
        <v>1238148912</v>
      </c>
      <c r="N5" s="4">
        <f t="shared" si="0"/>
        <v>1429659574</v>
      </c>
      <c r="O5" s="4">
        <f t="shared" si="0"/>
        <v>1822513381.5</v>
      </c>
      <c r="P5" s="8"/>
    </row>
    <row r="6" spans="1:16" ht="16.5" x14ac:dyDescent="0.25">
      <c r="A6" s="1" t="s">
        <v>3</v>
      </c>
      <c r="B6" s="4">
        <v>668706317</v>
      </c>
      <c r="C6" s="4">
        <v>880247200</v>
      </c>
      <c r="D6" s="4">
        <v>411889899</v>
      </c>
      <c r="E6" s="4">
        <v>530983188</v>
      </c>
      <c r="F6" s="4">
        <v>815761539</v>
      </c>
      <c r="G6" s="4">
        <v>1093858374</v>
      </c>
      <c r="I6" s="12" t="s">
        <v>62</v>
      </c>
      <c r="K6" s="13">
        <f>+C40/K5</f>
        <v>0.39538252868803853</v>
      </c>
      <c r="L6" s="13">
        <f t="shared" ref="L6:O6" si="1">+D40/L5</f>
        <v>0.40465298552474999</v>
      </c>
      <c r="M6" s="13">
        <f t="shared" si="1"/>
        <v>0.59980708685547834</v>
      </c>
      <c r="N6" s="13">
        <f t="shared" si="1"/>
        <v>0.57078859879687693</v>
      </c>
      <c r="O6" s="13">
        <f t="shared" si="1"/>
        <v>0.492153912341521</v>
      </c>
      <c r="P6" s="12" t="s">
        <v>63</v>
      </c>
    </row>
    <row r="7" spans="1:16" ht="16.5" x14ac:dyDescent="0.25">
      <c r="A7" s="1" t="s">
        <v>4</v>
      </c>
      <c r="B7" s="4">
        <v>18120743</v>
      </c>
      <c r="C7" s="4">
        <v>21759988</v>
      </c>
      <c r="D7" s="4">
        <v>21493635</v>
      </c>
      <c r="E7" s="4">
        <v>22252685</v>
      </c>
      <c r="F7" s="4">
        <v>34014639</v>
      </c>
      <c r="G7" s="4">
        <v>30920565</v>
      </c>
      <c r="I7" s="8"/>
      <c r="P7" s="8"/>
    </row>
    <row r="8" spans="1:16" ht="16.5" x14ac:dyDescent="0.25">
      <c r="A8" s="1" t="s">
        <v>5</v>
      </c>
      <c r="B8" s="4">
        <v>77065046</v>
      </c>
      <c r="C8" s="4">
        <v>83098625</v>
      </c>
      <c r="D8" s="4">
        <v>70592390</v>
      </c>
      <c r="E8" s="4">
        <v>68950393</v>
      </c>
      <c r="F8" s="4">
        <v>72514106</v>
      </c>
      <c r="G8" s="4">
        <v>84689681</v>
      </c>
      <c r="I8" s="1" t="s">
        <v>64</v>
      </c>
      <c r="J8" s="4">
        <f>+B10+B11</f>
        <v>414817719</v>
      </c>
      <c r="K8" s="4">
        <f t="shared" ref="K8:O8" si="2">+C10+C11</f>
        <v>437941574</v>
      </c>
      <c r="L8" s="4">
        <f t="shared" si="2"/>
        <v>434536424</v>
      </c>
      <c r="M8" s="4">
        <f t="shared" si="2"/>
        <v>436716348</v>
      </c>
      <c r="N8" s="4">
        <f t="shared" si="2"/>
        <v>474186090</v>
      </c>
      <c r="O8" s="4">
        <f t="shared" si="2"/>
        <v>504926454</v>
      </c>
      <c r="P8" s="8"/>
    </row>
    <row r="9" spans="1:16" ht="16.5" x14ac:dyDescent="0.25">
      <c r="A9" s="2" t="s">
        <v>6</v>
      </c>
      <c r="B9" s="5">
        <f>SUM(B5:B8)</f>
        <v>789658819</v>
      </c>
      <c r="C9" s="5">
        <f>SUM(C5:C8)</f>
        <v>1029354170</v>
      </c>
      <c r="D9" s="5">
        <f>SUM(D5:D8)</f>
        <v>519041457</v>
      </c>
      <c r="E9" s="5">
        <f>SUM(E5:E8)</f>
        <v>759635714</v>
      </c>
      <c r="F9" s="5">
        <f t="shared" ref="F9" si="3">SUM(F5:F8)</f>
        <v>1007276602</v>
      </c>
      <c r="G9" s="5">
        <f>SUM(G5:G8)</f>
        <v>1475400539</v>
      </c>
      <c r="I9" s="1" t="s">
        <v>65</v>
      </c>
      <c r="K9" s="4">
        <f>+AVERAGE(J8:K8)</f>
        <v>426379646.5</v>
      </c>
      <c r="L9" s="4">
        <f t="shared" ref="L9:O9" si="4">+AVERAGE(K8:L8)</f>
        <v>436238999</v>
      </c>
      <c r="M9" s="4">
        <f t="shared" si="4"/>
        <v>435626386</v>
      </c>
      <c r="N9" s="4">
        <f t="shared" si="4"/>
        <v>455451219</v>
      </c>
      <c r="O9" s="4">
        <f t="shared" si="4"/>
        <v>489556272</v>
      </c>
      <c r="P9" s="8"/>
    </row>
    <row r="10" spans="1:16" ht="16.5" x14ac:dyDescent="0.25">
      <c r="A10" s="1" t="s">
        <v>7</v>
      </c>
      <c r="B10" s="4">
        <v>414772516</v>
      </c>
      <c r="C10" s="4">
        <v>437834894</v>
      </c>
      <c r="D10" s="4">
        <v>434465122</v>
      </c>
      <c r="E10" s="4">
        <v>436664188</v>
      </c>
      <c r="F10" s="4">
        <v>474147238</v>
      </c>
      <c r="G10" s="4">
        <v>504896744</v>
      </c>
      <c r="I10" s="12" t="s">
        <v>66</v>
      </c>
      <c r="K10" s="13">
        <f>+C40/K9</f>
        <v>1.4595988577517618</v>
      </c>
      <c r="L10" s="13">
        <f t="shared" ref="L10:O10" si="5">+D40/L9</f>
        <v>1.3422953939063114</v>
      </c>
      <c r="M10" s="13">
        <f t="shared" si="5"/>
        <v>1.7047876709653671</v>
      </c>
      <c r="N10" s="13">
        <f t="shared" si="5"/>
        <v>1.7917031527365392</v>
      </c>
      <c r="O10" s="13">
        <f t="shared" si="5"/>
        <v>1.832183841370538</v>
      </c>
      <c r="P10" s="12" t="s">
        <v>63</v>
      </c>
    </row>
    <row r="11" spans="1:16" ht="16.5" x14ac:dyDescent="0.25">
      <c r="A11" s="1" t="s">
        <v>8</v>
      </c>
      <c r="B11" s="4">
        <v>45203</v>
      </c>
      <c r="C11" s="4">
        <v>106680</v>
      </c>
      <c r="D11" s="4">
        <v>71302</v>
      </c>
      <c r="E11" s="4">
        <v>52160</v>
      </c>
      <c r="F11" s="4">
        <v>38852</v>
      </c>
      <c r="G11" s="4">
        <v>29710</v>
      </c>
      <c r="I11" s="8"/>
      <c r="P11" s="8"/>
    </row>
    <row r="12" spans="1:16" ht="16.5" x14ac:dyDescent="0.25">
      <c r="A12" s="1" t="s">
        <v>9</v>
      </c>
      <c r="B12" s="4">
        <v>230917091</v>
      </c>
      <c r="C12" s="4">
        <v>236489820</v>
      </c>
      <c r="D12" s="4">
        <v>225879393</v>
      </c>
      <c r="E12" s="4">
        <v>87247669</v>
      </c>
      <c r="F12" s="4"/>
      <c r="G12" s="4"/>
      <c r="I12" s="1" t="s">
        <v>67</v>
      </c>
      <c r="K12" s="4">
        <f>+AVERAGE(B7:C7)</f>
        <v>19940365.5</v>
      </c>
      <c r="L12" s="4">
        <f t="shared" ref="L12:O12" si="6">+AVERAGE(C7:D7)</f>
        <v>21626811.5</v>
      </c>
      <c r="M12" s="4">
        <f t="shared" si="6"/>
        <v>21873160</v>
      </c>
      <c r="N12" s="4">
        <f t="shared" si="6"/>
        <v>28133662</v>
      </c>
      <c r="O12" s="4">
        <f t="shared" si="6"/>
        <v>32467602</v>
      </c>
      <c r="P12" s="8"/>
    </row>
    <row r="13" spans="1:16" ht="16.5" x14ac:dyDescent="0.25">
      <c r="A13" s="1" t="s">
        <v>10</v>
      </c>
      <c r="B13" s="4"/>
      <c r="C13" s="4"/>
      <c r="D13" s="4">
        <v>0</v>
      </c>
      <c r="E13" s="4">
        <v>0</v>
      </c>
      <c r="F13" s="4">
        <v>78268676</v>
      </c>
      <c r="G13" s="4">
        <v>86411463</v>
      </c>
      <c r="I13" s="12" t="s">
        <v>68</v>
      </c>
      <c r="K13" s="13">
        <f>+C41/K12</f>
        <v>8.0887574001589897</v>
      </c>
      <c r="L13" s="13">
        <f t="shared" ref="L13:O13" si="7">+D41/L12</f>
        <v>8.1199617890968341</v>
      </c>
      <c r="M13" s="13">
        <f t="shared" si="7"/>
        <v>10.710352916542465</v>
      </c>
      <c r="N13" s="13">
        <f t="shared" si="7"/>
        <v>10.856869859316573</v>
      </c>
      <c r="O13" s="13">
        <f t="shared" si="7"/>
        <v>11.028719737293811</v>
      </c>
      <c r="P13" s="12" t="s">
        <v>63</v>
      </c>
    </row>
    <row r="14" spans="1:16" ht="16.5" x14ac:dyDescent="0.25">
      <c r="A14" s="1" t="s">
        <v>11</v>
      </c>
      <c r="B14" s="4">
        <v>2786001</v>
      </c>
      <c r="C14" s="4">
        <v>4246909</v>
      </c>
      <c r="D14" s="4">
        <v>4790910</v>
      </c>
      <c r="E14" s="4">
        <v>6798500</v>
      </c>
      <c r="F14" s="4">
        <v>7533070</v>
      </c>
      <c r="G14" s="4">
        <v>9130653</v>
      </c>
      <c r="I14" s="12" t="s">
        <v>69</v>
      </c>
      <c r="K14" s="14">
        <f>365/K13</f>
        <v>45.124359891523717</v>
      </c>
      <c r="L14" s="14">
        <f t="shared" ref="L14:O14" si="8">365/L13</f>
        <v>44.950950445371269</v>
      </c>
      <c r="M14" s="14">
        <f t="shared" si="8"/>
        <v>34.079175807199256</v>
      </c>
      <c r="N14" s="14">
        <f t="shared" si="8"/>
        <v>33.619266393506933</v>
      </c>
      <c r="O14" s="14">
        <f t="shared" si="8"/>
        <v>33.095409865729572</v>
      </c>
      <c r="P14" s="12" t="s">
        <v>70</v>
      </c>
    </row>
    <row r="15" spans="1:16" ht="16.5" x14ac:dyDescent="0.25">
      <c r="A15" s="1" t="s">
        <v>12</v>
      </c>
      <c r="B15" s="4">
        <v>832026</v>
      </c>
      <c r="C15" s="4">
        <v>1012246</v>
      </c>
      <c r="D15" s="4">
        <v>849090</v>
      </c>
      <c r="E15" s="4">
        <v>802319</v>
      </c>
      <c r="F15" s="4">
        <v>854160</v>
      </c>
      <c r="G15" s="4">
        <v>1039056</v>
      </c>
      <c r="I15" s="8"/>
      <c r="P15" s="8"/>
    </row>
    <row r="16" spans="1:16" ht="16.5" x14ac:dyDescent="0.25">
      <c r="A16" s="2" t="s">
        <v>13</v>
      </c>
      <c r="B16" s="5">
        <f>SUM(B10:B15)</f>
        <v>649352837</v>
      </c>
      <c r="C16" s="5">
        <f>SUM(C10:C15)</f>
        <v>679690549</v>
      </c>
      <c r="D16" s="5">
        <f>SUM(D10:D15)</f>
        <v>666055817</v>
      </c>
      <c r="E16" s="5">
        <f>SUM(E10:E15)</f>
        <v>531564836</v>
      </c>
      <c r="F16" s="5">
        <f t="shared" ref="F16" si="9">SUM(F10:F15)</f>
        <v>560841996</v>
      </c>
      <c r="G16" s="5">
        <f>SUM(G10:G15)</f>
        <v>601507626</v>
      </c>
      <c r="I16" s="1" t="s">
        <v>71</v>
      </c>
      <c r="K16" s="4">
        <f>+AVERAGE(B6:C6)</f>
        <v>774476758.5</v>
      </c>
      <c r="L16" s="4">
        <f t="shared" ref="L16:O16" si="10">+AVERAGE(C6:D6)</f>
        <v>646068549.5</v>
      </c>
      <c r="M16" s="4">
        <f t="shared" si="10"/>
        <v>471436543.5</v>
      </c>
      <c r="N16" s="4">
        <f t="shared" si="10"/>
        <v>673372363.5</v>
      </c>
      <c r="O16" s="4">
        <f t="shared" si="10"/>
        <v>954809956.5</v>
      </c>
      <c r="P16" s="8"/>
    </row>
    <row r="17" spans="1:16" ht="16.5" x14ac:dyDescent="0.25">
      <c r="A17" s="2" t="s">
        <v>14</v>
      </c>
      <c r="B17" s="5">
        <f>+B9+B16</f>
        <v>1439011656</v>
      </c>
      <c r="C17" s="5">
        <f>+C9+C16</f>
        <v>1709044719</v>
      </c>
      <c r="D17" s="5">
        <f>+D9+D16</f>
        <v>1185097274</v>
      </c>
      <c r="E17" s="5">
        <f>+E9+E16</f>
        <v>1291200550</v>
      </c>
      <c r="F17" s="5">
        <f t="shared" ref="F17" si="11">+F9+F16</f>
        <v>1568118598</v>
      </c>
      <c r="G17" s="5">
        <f>+G9+G16</f>
        <v>2076908165</v>
      </c>
      <c r="I17" s="12" t="s">
        <v>72</v>
      </c>
      <c r="K17" s="13">
        <f>+C40/K16</f>
        <v>0.80356606982674228</v>
      </c>
      <c r="L17" s="13">
        <f t="shared" ref="L17:O17" si="12">+D40/L16</f>
        <v>0.90634592792540813</v>
      </c>
      <c r="M17" s="13">
        <f t="shared" si="12"/>
        <v>1.5752925865408649</v>
      </c>
      <c r="N17" s="13">
        <f t="shared" si="12"/>
        <v>1.2118605235868134</v>
      </c>
      <c r="O17" s="13">
        <f t="shared" si="12"/>
        <v>0.93940902573736407</v>
      </c>
      <c r="P17" s="12" t="s">
        <v>63</v>
      </c>
    </row>
    <row r="18" spans="1:16" ht="16.5" x14ac:dyDescent="0.25">
      <c r="A18" s="1" t="s">
        <v>15</v>
      </c>
      <c r="B18" s="4"/>
      <c r="C18" s="4">
        <v>10028056</v>
      </c>
      <c r="D18" s="4">
        <v>8031810</v>
      </c>
      <c r="E18" s="4">
        <v>6451849</v>
      </c>
      <c r="F18" s="4">
        <v>2786921</v>
      </c>
      <c r="G18" s="4">
        <v>3107465</v>
      </c>
      <c r="I18" s="12" t="s">
        <v>73</v>
      </c>
      <c r="K18" s="14">
        <f>365/K17</f>
        <v>454.22525129601109</v>
      </c>
      <c r="L18" s="14">
        <f t="shared" ref="L18:O18" si="13">365/L17</f>
        <v>402.71599259619484</v>
      </c>
      <c r="M18" s="14">
        <f t="shared" si="13"/>
        <v>231.70298845974509</v>
      </c>
      <c r="N18" s="14">
        <f t="shared" si="13"/>
        <v>301.18977629512057</v>
      </c>
      <c r="O18" s="14">
        <f t="shared" si="13"/>
        <v>388.54214724358536</v>
      </c>
      <c r="P18" s="12" t="s">
        <v>70</v>
      </c>
    </row>
    <row r="19" spans="1:16" ht="16.5" x14ac:dyDescent="0.25">
      <c r="A19" s="1" t="s">
        <v>16</v>
      </c>
      <c r="B19" s="4">
        <v>518586314</v>
      </c>
      <c r="C19" s="4">
        <v>866375660</v>
      </c>
      <c r="D19" s="4">
        <v>374024278</v>
      </c>
      <c r="E19" s="4">
        <v>449875095</v>
      </c>
      <c r="F19" s="4">
        <v>748686184</v>
      </c>
      <c r="G19" s="4">
        <v>1225960379</v>
      </c>
      <c r="I19" s="8"/>
      <c r="P19" s="8"/>
    </row>
    <row r="20" spans="1:16" ht="16.5" x14ac:dyDescent="0.25">
      <c r="A20" s="1" t="s">
        <v>17</v>
      </c>
      <c r="B20" s="4">
        <v>123531952</v>
      </c>
      <c r="C20" s="4">
        <v>85660976</v>
      </c>
      <c r="D20" s="4">
        <v>78303143</v>
      </c>
      <c r="E20" s="4">
        <v>105106651</v>
      </c>
      <c r="F20" s="4">
        <v>110923360</v>
      </c>
      <c r="G20" s="4">
        <v>118759460</v>
      </c>
      <c r="I20" s="1" t="s">
        <v>74</v>
      </c>
      <c r="K20" s="4">
        <f>+B7</f>
        <v>18120743</v>
      </c>
      <c r="L20" s="4">
        <f t="shared" ref="L20:O20" si="14">+C7</f>
        <v>21759988</v>
      </c>
      <c r="M20" s="4">
        <f t="shared" si="14"/>
        <v>21493635</v>
      </c>
      <c r="N20" s="4">
        <f t="shared" si="14"/>
        <v>22252685</v>
      </c>
      <c r="O20" s="4">
        <f t="shared" si="14"/>
        <v>34014639</v>
      </c>
      <c r="P20" s="8"/>
    </row>
    <row r="21" spans="1:16" ht="16.5" x14ac:dyDescent="0.25">
      <c r="A21" s="1" t="s">
        <v>18</v>
      </c>
      <c r="B21" s="4">
        <v>5979341</v>
      </c>
      <c r="C21" s="4">
        <v>6197452</v>
      </c>
      <c r="D21" s="4">
        <v>8311523</v>
      </c>
      <c r="E21" s="4">
        <v>946866</v>
      </c>
      <c r="F21" s="4">
        <v>189034</v>
      </c>
      <c r="G21" s="4">
        <v>20621</v>
      </c>
      <c r="I21" s="1" t="s">
        <v>75</v>
      </c>
      <c r="K21" s="4">
        <f>+C7</f>
        <v>21759988</v>
      </c>
      <c r="L21" s="4">
        <f t="shared" ref="L21:O21" si="15">+D7</f>
        <v>21493635</v>
      </c>
      <c r="M21" s="4">
        <f t="shared" si="15"/>
        <v>22252685</v>
      </c>
      <c r="N21" s="4">
        <f t="shared" si="15"/>
        <v>34014639</v>
      </c>
      <c r="O21" s="4">
        <f t="shared" si="15"/>
        <v>30920565</v>
      </c>
      <c r="P21" s="8"/>
    </row>
    <row r="22" spans="1:16" ht="16.5" x14ac:dyDescent="0.25">
      <c r="A22" s="2" t="s">
        <v>47</v>
      </c>
      <c r="B22" s="5">
        <f>SUM(B18:B21)</f>
        <v>648097607</v>
      </c>
      <c r="C22" s="5">
        <f>SUM(C18:C21)</f>
        <v>968262144</v>
      </c>
      <c r="D22" s="5">
        <f>SUM(D18:D21)</f>
        <v>468670754</v>
      </c>
      <c r="E22" s="5">
        <f>SUM(E18:E21)</f>
        <v>562380461</v>
      </c>
      <c r="F22" s="5">
        <f t="shared" ref="F22" si="16">SUM(F18:F21)</f>
        <v>862585499</v>
      </c>
      <c r="G22" s="5">
        <f>SUM(G18:G21)</f>
        <v>1347847925</v>
      </c>
      <c r="I22" s="10" t="s">
        <v>76</v>
      </c>
      <c r="K22" s="4">
        <f>+C41+K21-K20</f>
        <v>164932024</v>
      </c>
      <c r="L22" s="4">
        <f t="shared" ref="L22:O22" si="17">+D41+L21-L20</f>
        <v>175342530</v>
      </c>
      <c r="M22" s="4">
        <f t="shared" si="17"/>
        <v>235028313</v>
      </c>
      <c r="N22" s="4">
        <f t="shared" si="17"/>
        <v>317205461</v>
      </c>
      <c r="O22" s="4">
        <f t="shared" si="17"/>
        <v>354982009</v>
      </c>
      <c r="P22" s="8"/>
    </row>
    <row r="23" spans="1:16" ht="16.5" x14ac:dyDescent="0.25">
      <c r="A23" s="1" t="s">
        <v>19</v>
      </c>
      <c r="B23" s="4">
        <v>9330201</v>
      </c>
      <c r="C23" s="4">
        <v>10951665</v>
      </c>
      <c r="D23" s="4">
        <v>9892941</v>
      </c>
      <c r="E23" s="4">
        <v>8534687</v>
      </c>
      <c r="F23" s="4">
        <v>8353842</v>
      </c>
      <c r="G23" s="4">
        <v>8790453</v>
      </c>
      <c r="I23" s="1" t="s">
        <v>77</v>
      </c>
      <c r="K23" s="4">
        <f>+AVERAGE(B19:C19)</f>
        <v>692480987</v>
      </c>
      <c r="L23" s="4">
        <f t="shared" ref="L23:O23" si="18">+AVERAGE(C19:D19)</f>
        <v>620199969</v>
      </c>
      <c r="M23" s="4">
        <f t="shared" si="18"/>
        <v>411949686.5</v>
      </c>
      <c r="N23" s="4">
        <f t="shared" si="18"/>
        <v>599280639.5</v>
      </c>
      <c r="O23" s="4">
        <f t="shared" si="18"/>
        <v>987323281.5</v>
      </c>
      <c r="P23" s="8"/>
    </row>
    <row r="24" spans="1:16" ht="16.5" x14ac:dyDescent="0.25">
      <c r="A24" s="1" t="s">
        <v>20</v>
      </c>
      <c r="B24" s="4">
        <v>23779291</v>
      </c>
      <c r="C24" s="4">
        <v>15405115</v>
      </c>
      <c r="D24" s="4">
        <v>16598714</v>
      </c>
      <c r="E24" s="4">
        <v>17478839</v>
      </c>
      <c r="F24" s="4">
        <v>17575488</v>
      </c>
      <c r="G24" s="4">
        <v>21166553</v>
      </c>
      <c r="I24" s="12" t="s">
        <v>78</v>
      </c>
      <c r="K24" s="13">
        <f>+K22/K23</f>
        <v>0.23817552697659841</v>
      </c>
      <c r="L24" s="13">
        <f t="shared" ref="L24:O24" si="19">+L22/L23</f>
        <v>0.28271934660480447</v>
      </c>
      <c r="M24" s="13">
        <f t="shared" si="19"/>
        <v>0.57052674319731522</v>
      </c>
      <c r="N24" s="13">
        <f t="shared" si="19"/>
        <v>0.52931037662864466</v>
      </c>
      <c r="O24" s="13">
        <f t="shared" si="19"/>
        <v>0.35953979375497996</v>
      </c>
      <c r="P24" s="12" t="s">
        <v>63</v>
      </c>
    </row>
    <row r="25" spans="1:16" ht="16.5" x14ac:dyDescent="0.25">
      <c r="A25" s="1" t="s">
        <v>21</v>
      </c>
      <c r="B25" s="4">
        <v>265467</v>
      </c>
      <c r="C25" s="4">
        <v>228590</v>
      </c>
      <c r="D25" s="4">
        <v>3317982</v>
      </c>
      <c r="E25" s="4">
        <v>2638156</v>
      </c>
      <c r="F25" s="4">
        <v>2062290</v>
      </c>
      <c r="G25" s="4">
        <v>1388514</v>
      </c>
      <c r="I25" s="12" t="s">
        <v>79</v>
      </c>
      <c r="K25" s="14">
        <f>365/K24</f>
        <v>1532.4832262714488</v>
      </c>
      <c r="L25" s="14">
        <f t="shared" ref="L25:O25" si="20">365/L24</f>
        <v>1291.0329780515885</v>
      </c>
      <c r="M25" s="14">
        <f t="shared" si="20"/>
        <v>639.75966832770484</v>
      </c>
      <c r="N25" s="14">
        <f t="shared" si="20"/>
        <v>689.57650580139284</v>
      </c>
      <c r="O25" s="14">
        <f t="shared" si="20"/>
        <v>1015.1866534382591</v>
      </c>
      <c r="P25" s="12" t="s">
        <v>70</v>
      </c>
    </row>
    <row r="26" spans="1:16" ht="16.5" x14ac:dyDescent="0.25">
      <c r="A26" s="1" t="s">
        <v>22</v>
      </c>
      <c r="B26" s="4">
        <v>24622315</v>
      </c>
      <c r="C26" s="4">
        <v>21818072</v>
      </c>
      <c r="D26" s="4">
        <v>27004243</v>
      </c>
      <c r="E26" s="4">
        <v>24920299</v>
      </c>
      <c r="F26" s="4">
        <v>34988461</v>
      </c>
      <c r="G26" s="4">
        <v>32217910</v>
      </c>
      <c r="I26" s="8"/>
      <c r="P26" s="8"/>
    </row>
    <row r="27" spans="1:16" ht="16.5" x14ac:dyDescent="0.25">
      <c r="A27" s="1" t="s">
        <v>23</v>
      </c>
      <c r="B27" s="4">
        <v>13328533</v>
      </c>
      <c r="C27" s="4">
        <v>7131609</v>
      </c>
      <c r="D27" s="4">
        <v>1027091</v>
      </c>
      <c r="E27" s="4">
        <v>124610</v>
      </c>
      <c r="F27" s="4">
        <v>20203</v>
      </c>
      <c r="G27" s="4">
        <v>149612</v>
      </c>
      <c r="I27" s="12" t="s">
        <v>80</v>
      </c>
      <c r="J27" s="8"/>
      <c r="K27" s="14">
        <f>+K14+K18-K25</f>
        <v>-1033.1336150839138</v>
      </c>
      <c r="L27" s="14">
        <f t="shared" ref="L27:O27" si="21">+L14+L18-L25</f>
        <v>-843.36603501002242</v>
      </c>
      <c r="M27" s="14">
        <f t="shared" si="21"/>
        <v>-373.97750406076051</v>
      </c>
      <c r="N27" s="14">
        <f t="shared" si="21"/>
        <v>-354.76746311276531</v>
      </c>
      <c r="O27" s="14">
        <f t="shared" si="21"/>
        <v>-593.54909632894419</v>
      </c>
      <c r="P27" s="12" t="s">
        <v>70</v>
      </c>
    </row>
    <row r="28" spans="1:16" ht="16.5" x14ac:dyDescent="0.25">
      <c r="A28" s="2" t="s">
        <v>24</v>
      </c>
      <c r="B28" s="5">
        <f>SUM(B23:B27)</f>
        <v>71325807</v>
      </c>
      <c r="C28" s="5">
        <f>SUM(C23:C27)</f>
        <v>55535051</v>
      </c>
      <c r="D28" s="5">
        <f>SUM(D23:D27)</f>
        <v>57840971</v>
      </c>
      <c r="E28" s="5">
        <f>SUM(E23:E27)</f>
        <v>53696591</v>
      </c>
      <c r="F28" s="5">
        <f t="shared" ref="F28" si="22">SUM(F23:F27)</f>
        <v>63000284</v>
      </c>
      <c r="G28" s="5">
        <f>SUM(G23:G27)</f>
        <v>63713042</v>
      </c>
      <c r="I28" s="8"/>
      <c r="P28" s="8"/>
    </row>
    <row r="29" spans="1:16" ht="16.5" x14ac:dyDescent="0.25">
      <c r="A29" s="2" t="s">
        <v>25</v>
      </c>
      <c r="B29" s="5">
        <f>+B22+B28</f>
        <v>719423414</v>
      </c>
      <c r="C29" s="5">
        <f>+C22+C28</f>
        <v>1023797195</v>
      </c>
      <c r="D29" s="5">
        <f>+D22+D28</f>
        <v>526511725</v>
      </c>
      <c r="E29" s="5">
        <f>+E22+E28</f>
        <v>616077052</v>
      </c>
      <c r="F29" s="5">
        <f t="shared" ref="F29" si="23">+F22+F28</f>
        <v>925585783</v>
      </c>
      <c r="G29" s="5">
        <f>+G22+G28</f>
        <v>1411560967</v>
      </c>
      <c r="I29" s="1" t="s">
        <v>81</v>
      </c>
      <c r="J29" s="4">
        <f>+B5+B6+B7-B19-B20</f>
        <v>70475507</v>
      </c>
      <c r="K29" s="4">
        <f t="shared" ref="K29:O29" si="24">+C5+C6+C7-C19-C20</f>
        <v>-5781091</v>
      </c>
      <c r="L29" s="4">
        <f t="shared" si="24"/>
        <v>-3878354</v>
      </c>
      <c r="M29" s="4">
        <f t="shared" si="24"/>
        <v>135703575</v>
      </c>
      <c r="N29" s="4">
        <f t="shared" si="24"/>
        <v>75152952</v>
      </c>
      <c r="O29" s="4">
        <f t="shared" si="24"/>
        <v>45991019</v>
      </c>
      <c r="P29" s="8"/>
    </row>
    <row r="30" spans="1:16" ht="16.5" x14ac:dyDescent="0.25">
      <c r="A30" s="1" t="s">
        <v>26</v>
      </c>
      <c r="B30" s="4">
        <v>5438</v>
      </c>
      <c r="C30" s="4">
        <v>5438</v>
      </c>
      <c r="D30" s="4">
        <v>5438</v>
      </c>
      <c r="E30" s="4">
        <v>5438</v>
      </c>
      <c r="F30" s="4">
        <v>5438</v>
      </c>
      <c r="G30" s="4">
        <v>5438</v>
      </c>
      <c r="I30" s="1" t="s">
        <v>82</v>
      </c>
      <c r="K30" s="4">
        <f>+AVERAGE(J29:K29)</f>
        <v>32347208</v>
      </c>
      <c r="L30" s="4">
        <f t="shared" ref="L30:O30" si="25">+AVERAGE(K29:L29)</f>
        <v>-4829722.5</v>
      </c>
      <c r="M30" s="4">
        <f t="shared" si="25"/>
        <v>65912610.5</v>
      </c>
      <c r="N30" s="4">
        <f t="shared" si="25"/>
        <v>105428263.5</v>
      </c>
      <c r="O30" s="4">
        <f t="shared" si="25"/>
        <v>60571985.5</v>
      </c>
      <c r="P30" s="8"/>
    </row>
    <row r="31" spans="1:16" ht="16.5" x14ac:dyDescent="0.25">
      <c r="A31" s="1" t="s">
        <v>27</v>
      </c>
      <c r="B31" s="4">
        <v>2041981</v>
      </c>
      <c r="C31" s="4">
        <v>2041981</v>
      </c>
      <c r="D31" s="4">
        <v>2041981</v>
      </c>
      <c r="E31" s="4">
        <v>2041981</v>
      </c>
      <c r="F31" s="4">
        <v>2041981</v>
      </c>
      <c r="G31" s="4">
        <v>2041981</v>
      </c>
      <c r="I31" s="12" t="s">
        <v>83</v>
      </c>
      <c r="K31" s="14">
        <f>+C40/K30</f>
        <v>19.239473310957781</v>
      </c>
      <c r="L31" s="14">
        <f t="shared" ref="L31:O31" si="26">+D40/L30</f>
        <v>-121.2412512313078</v>
      </c>
      <c r="M31" s="14">
        <f t="shared" si="26"/>
        <v>11.267198892084544</v>
      </c>
      <c r="N31" s="14">
        <f t="shared" si="26"/>
        <v>7.7401766652449888</v>
      </c>
      <c r="O31" s="14">
        <f t="shared" si="26"/>
        <v>14.80811770649321</v>
      </c>
      <c r="P31" s="8"/>
    </row>
    <row r="32" spans="1:16" ht="16.5" x14ac:dyDescent="0.25">
      <c r="A32" s="1" t="s">
        <v>28</v>
      </c>
      <c r="B32" s="4">
        <v>176440123</v>
      </c>
      <c r="C32" s="4">
        <v>196878640</v>
      </c>
      <c r="D32" s="4">
        <v>203240024</v>
      </c>
      <c r="E32" s="4">
        <v>194727302</v>
      </c>
      <c r="F32" s="4">
        <v>161989623</v>
      </c>
      <c r="G32" s="4">
        <v>167519895</v>
      </c>
    </row>
    <row r="33" spans="1:13" ht="16.5" x14ac:dyDescent="0.25">
      <c r="A33" s="1" t="s">
        <v>29</v>
      </c>
      <c r="B33" s="4">
        <v>545184662</v>
      </c>
      <c r="C33" s="4">
        <v>490405427</v>
      </c>
      <c r="D33" s="4">
        <v>457382068</v>
      </c>
      <c r="E33" s="4">
        <v>482432739</v>
      </c>
      <c r="F33" s="4">
        <v>482579735</v>
      </c>
      <c r="G33" s="4">
        <v>499863846</v>
      </c>
    </row>
    <row r="34" spans="1:13" ht="16.5" x14ac:dyDescent="0.25">
      <c r="A34" s="2" t="s">
        <v>30</v>
      </c>
      <c r="B34" s="5">
        <f>SUM(B30:B33)</f>
        <v>723672204</v>
      </c>
      <c r="C34" s="5">
        <f>SUM(C30:C33)</f>
        <v>689331486</v>
      </c>
      <c r="D34" s="5">
        <f>SUM(D30:D33)</f>
        <v>662669511</v>
      </c>
      <c r="E34" s="5">
        <f t="shared" ref="E34" si="27">SUM(E30:E33)</f>
        <v>679207460</v>
      </c>
      <c r="F34" s="5">
        <f>SUM(F30:F33)</f>
        <v>646616777</v>
      </c>
      <c r="G34" s="5">
        <f>SUM(G30:G33)</f>
        <v>669431160</v>
      </c>
    </row>
    <row r="35" spans="1:13" ht="16.5" x14ac:dyDescent="0.25">
      <c r="A35" s="2" t="s">
        <v>31</v>
      </c>
      <c r="B35" s="5">
        <f>+B29+B34</f>
        <v>1443095618</v>
      </c>
      <c r="C35" s="5">
        <f>+C29+C34</f>
        <v>1713128681</v>
      </c>
      <c r="D35" s="5">
        <f>+D29+D34</f>
        <v>1189181236</v>
      </c>
      <c r="E35" s="5">
        <f>+E29+E34</f>
        <v>1295284512</v>
      </c>
      <c r="F35" s="5">
        <f t="shared" ref="F35" si="28">+F29+F34</f>
        <v>1572202560</v>
      </c>
      <c r="G35" s="5">
        <f>+G29+G34</f>
        <v>2080992127</v>
      </c>
      <c r="M35" s="6"/>
    </row>
    <row r="36" spans="1:13" ht="16.5" x14ac:dyDescent="0.25">
      <c r="A36" s="1"/>
      <c r="B36" s="6" t="b">
        <f>+B35=B17</f>
        <v>0</v>
      </c>
      <c r="C36" s="6" t="b">
        <f>+C35=C17</f>
        <v>0</v>
      </c>
      <c r="D36" s="6" t="b">
        <f>+D35=D17</f>
        <v>0</v>
      </c>
      <c r="E36" s="6" t="b">
        <f>+E35=E17</f>
        <v>0</v>
      </c>
      <c r="F36" s="6" t="b">
        <f t="shared" ref="F36" si="29">+F35=F17</f>
        <v>0</v>
      </c>
      <c r="G36" s="6" t="b">
        <f>+G35=G17</f>
        <v>0</v>
      </c>
    </row>
    <row r="37" spans="1:13" ht="16.5" x14ac:dyDescent="0.25">
      <c r="A37" s="1"/>
      <c r="B37" s="6">
        <f>+B17-B35</f>
        <v>-4083962</v>
      </c>
      <c r="C37" s="6">
        <f>+C17-C35</f>
        <v>-4083962</v>
      </c>
      <c r="D37" s="6">
        <f>+D17-D35</f>
        <v>-4083962</v>
      </c>
      <c r="E37" s="6">
        <f>+E17-E35</f>
        <v>-4083962</v>
      </c>
      <c r="F37" s="6">
        <f t="shared" ref="F37" si="30">+F17-F35</f>
        <v>-4083962</v>
      </c>
      <c r="G37" s="6">
        <f>+G17-G35</f>
        <v>-4083962</v>
      </c>
    </row>
    <row r="38" spans="1:13" ht="16.5" x14ac:dyDescent="0.25">
      <c r="A38" s="1"/>
      <c r="B38" s="6"/>
      <c r="C38" s="6"/>
      <c r="D38" s="6"/>
      <c r="E38" s="6"/>
      <c r="F38" s="6"/>
      <c r="G38" s="6"/>
    </row>
    <row r="39" spans="1:13" ht="16.5" x14ac:dyDescent="0.25">
      <c r="A39" s="1"/>
      <c r="B39" s="3">
        <v>2018</v>
      </c>
      <c r="C39" s="3">
        <v>2019</v>
      </c>
      <c r="D39" s="3">
        <v>2020</v>
      </c>
      <c r="E39" s="3">
        <v>2021</v>
      </c>
      <c r="F39" s="3">
        <v>2022</v>
      </c>
      <c r="G39" s="3">
        <v>2023</v>
      </c>
    </row>
    <row r="40" spans="1:13" ht="16.5" x14ac:dyDescent="0.25">
      <c r="A40" s="1" t="s">
        <v>32</v>
      </c>
      <c r="B40" s="4">
        <v>701437389</v>
      </c>
      <c r="C40" s="4">
        <v>622343245</v>
      </c>
      <c r="D40" s="4">
        <v>585561599</v>
      </c>
      <c r="E40" s="4">
        <v>742650492</v>
      </c>
      <c r="F40" s="4">
        <v>816033385</v>
      </c>
      <c r="G40" s="4">
        <v>896957091</v>
      </c>
    </row>
    <row r="41" spans="1:13" ht="16.5" x14ac:dyDescent="0.25">
      <c r="A41" s="1" t="s">
        <v>33</v>
      </c>
      <c r="B41" s="4">
        <v>137908117</v>
      </c>
      <c r="C41" s="4">
        <v>161292779</v>
      </c>
      <c r="D41" s="4">
        <v>175608883</v>
      </c>
      <c r="E41" s="4">
        <v>234269263</v>
      </c>
      <c r="F41" s="4">
        <v>305443507</v>
      </c>
      <c r="G41" s="4">
        <v>358076083</v>
      </c>
    </row>
    <row r="42" spans="1:13" ht="16.5" x14ac:dyDescent="0.25">
      <c r="A42" s="2" t="s">
        <v>34</v>
      </c>
      <c r="B42" s="5">
        <f>+B40-B41</f>
        <v>563529272</v>
      </c>
      <c r="C42" s="5">
        <f>+C40-C41</f>
        <v>461050466</v>
      </c>
      <c r="D42" s="5">
        <f>+D40-D41</f>
        <v>409952716</v>
      </c>
      <c r="E42" s="5">
        <f>+E40-E41</f>
        <v>508381229</v>
      </c>
      <c r="F42" s="5">
        <f t="shared" ref="F42" si="31">+F40-F41</f>
        <v>510589878</v>
      </c>
      <c r="G42" s="5">
        <f>+G40-G41</f>
        <v>538881008</v>
      </c>
    </row>
    <row r="43" spans="1:13" ht="16.5" x14ac:dyDescent="0.25">
      <c r="A43" s="1" t="s">
        <v>35</v>
      </c>
      <c r="B43" s="4">
        <v>17753157</v>
      </c>
      <c r="C43" s="4">
        <v>1245431</v>
      </c>
      <c r="D43" s="4">
        <v>556448</v>
      </c>
      <c r="E43" s="4">
        <v>0</v>
      </c>
      <c r="F43" s="4"/>
      <c r="G43" s="4"/>
    </row>
    <row r="44" spans="1:13" ht="16.5" x14ac:dyDescent="0.25">
      <c r="A44" s="1" t="s">
        <v>36</v>
      </c>
      <c r="B44" s="4">
        <v>54609266</v>
      </c>
      <c r="C44" s="4">
        <v>68392455</v>
      </c>
      <c r="D44" s="4">
        <v>37059025</v>
      </c>
      <c r="E44" s="4">
        <v>45588576</v>
      </c>
      <c r="F44" s="4">
        <v>45715528</v>
      </c>
      <c r="G44" s="4">
        <v>58804083</v>
      </c>
    </row>
    <row r="45" spans="1:13" ht="16.5" x14ac:dyDescent="0.25">
      <c r="A45" s="1" t="s">
        <v>37</v>
      </c>
      <c r="B45" s="4">
        <v>128960373</v>
      </c>
      <c r="C45" s="4">
        <v>73619282</v>
      </c>
      <c r="D45" s="4">
        <v>74908227</v>
      </c>
      <c r="E45" s="4">
        <v>66889742</v>
      </c>
      <c r="F45" s="4">
        <v>62611832</v>
      </c>
      <c r="G45" s="4">
        <v>62154698</v>
      </c>
    </row>
    <row r="46" spans="1:13" ht="16.5" x14ac:dyDescent="0.25">
      <c r="A46" s="1" t="s">
        <v>38</v>
      </c>
      <c r="B46" s="4">
        <v>15423311</v>
      </c>
      <c r="C46" s="4">
        <v>21189968</v>
      </c>
      <c r="D46" s="4">
        <v>14786041</v>
      </c>
      <c r="E46" s="4">
        <v>0</v>
      </c>
      <c r="F46" s="4"/>
      <c r="G46" s="4"/>
    </row>
    <row r="47" spans="1:13" ht="16.5" x14ac:dyDescent="0.25">
      <c r="A47" s="1" t="s">
        <v>39</v>
      </c>
      <c r="B47" s="4"/>
      <c r="C47" s="4">
        <v>0</v>
      </c>
      <c r="D47" s="4"/>
      <c r="E47" s="4">
        <v>-18321166</v>
      </c>
      <c r="F47" s="4">
        <v>-10054913</v>
      </c>
      <c r="G47" s="4">
        <v>-24527785</v>
      </c>
    </row>
    <row r="48" spans="1:13" ht="16.5" x14ac:dyDescent="0.25">
      <c r="A48" s="2" t="s">
        <v>40</v>
      </c>
      <c r="B48" s="5">
        <f>+B42+B43-B44-B45-B46+B47</f>
        <v>382289479</v>
      </c>
      <c r="C48" s="5">
        <f>+C42+C43-C44-C45-C46+C47</f>
        <v>299094192</v>
      </c>
      <c r="D48" s="5">
        <f>+D42+D43-D44-D45-D46+D47</f>
        <v>283755871</v>
      </c>
      <c r="E48" s="5">
        <f>+E42+E43-E44-E45-E46+E47</f>
        <v>377581745</v>
      </c>
      <c r="F48" s="5">
        <f t="shared" ref="F48" si="32">+F42+F43-F44-F45-F46+F47</f>
        <v>392207605</v>
      </c>
      <c r="G48" s="5">
        <f>+G42+G43-G44-G45-G46+G47</f>
        <v>393394442</v>
      </c>
    </row>
    <row r="49" spans="1:8" ht="16.5" x14ac:dyDescent="0.25">
      <c r="A49" s="1" t="s">
        <v>41</v>
      </c>
      <c r="B49" s="4">
        <v>5780571</v>
      </c>
      <c r="C49" s="4">
        <v>985894</v>
      </c>
      <c r="D49" s="4">
        <v>1458136</v>
      </c>
      <c r="E49" s="4">
        <v>535079</v>
      </c>
      <c r="F49" s="4">
        <v>2659403</v>
      </c>
      <c r="G49" s="4">
        <v>9975489</v>
      </c>
    </row>
    <row r="50" spans="1:8" ht="16.5" x14ac:dyDescent="0.25">
      <c r="A50" s="1" t="s">
        <v>42</v>
      </c>
      <c r="B50" s="4">
        <v>3305981</v>
      </c>
      <c r="C50" s="4">
        <v>5523310</v>
      </c>
      <c r="D50" s="4">
        <v>4644778</v>
      </c>
      <c r="E50" s="4">
        <v>4157028</v>
      </c>
      <c r="F50" s="4">
        <v>9167934</v>
      </c>
      <c r="G50" s="4">
        <v>11041378</v>
      </c>
    </row>
    <row r="51" spans="1:8" ht="16.5" x14ac:dyDescent="0.25">
      <c r="A51" s="1" t="s">
        <v>43</v>
      </c>
      <c r="B51" s="4">
        <v>64036764</v>
      </c>
      <c r="C51" s="4">
        <v>55616604</v>
      </c>
      <c r="D51" s="4">
        <v>35508941</v>
      </c>
      <c r="E51" s="4">
        <v>3007615</v>
      </c>
      <c r="F51" s="4">
        <v>9451173</v>
      </c>
      <c r="G51" s="4">
        <v>20703309</v>
      </c>
    </row>
    <row r="52" spans="1:8" ht="16.5" x14ac:dyDescent="0.25">
      <c r="A52" s="2" t="s">
        <v>44</v>
      </c>
      <c r="B52" s="5">
        <f>+B48+B49-B50+B51</f>
        <v>448800833</v>
      </c>
      <c r="C52" s="5">
        <f>+C48+C49-C50+C51</f>
        <v>350173380</v>
      </c>
      <c r="D52" s="5">
        <f>+D48+D49-D50+D51</f>
        <v>316078170</v>
      </c>
      <c r="E52" s="5">
        <f>+E48+E49-E50+E51</f>
        <v>376967411</v>
      </c>
      <c r="F52" s="5">
        <f t="shared" ref="F52" si="33">+F48+F49-F50+F51</f>
        <v>395150247</v>
      </c>
      <c r="G52" s="5">
        <f>+G48+G49-G50+G51</f>
        <v>413031862</v>
      </c>
    </row>
    <row r="53" spans="1:8" ht="16.5" x14ac:dyDescent="0.25">
      <c r="A53" s="1" t="s">
        <v>45</v>
      </c>
      <c r="B53" s="4">
        <v>135564262</v>
      </c>
      <c r="C53" s="4">
        <v>91716044</v>
      </c>
      <c r="D53" s="4">
        <v>90644193</v>
      </c>
      <c r="E53" s="4">
        <v>126482762</v>
      </c>
      <c r="F53" s="4">
        <v>144518602</v>
      </c>
      <c r="G53" s="4">
        <v>145116107</v>
      </c>
    </row>
    <row r="54" spans="1:8" ht="16.5" x14ac:dyDescent="0.25">
      <c r="A54" s="2" t="s">
        <v>46</v>
      </c>
      <c r="B54" s="5">
        <f>+B52-B53</f>
        <v>313236571</v>
      </c>
      <c r="C54" s="5">
        <f>+C52-C53</f>
        <v>258457336</v>
      </c>
      <c r="D54" s="5">
        <f>+D52-D53</f>
        <v>225433977</v>
      </c>
      <c r="E54" s="5">
        <f>+E52-E53</f>
        <v>250484649</v>
      </c>
      <c r="F54" s="5">
        <f t="shared" ref="F54" si="34">+F52-F53</f>
        <v>250631645</v>
      </c>
      <c r="G54" s="5">
        <f>+G52-G53</f>
        <v>267915755</v>
      </c>
    </row>
    <row r="56" spans="1:8" ht="16.5" x14ac:dyDescent="0.25">
      <c r="A56" s="1" t="s">
        <v>48</v>
      </c>
      <c r="B56" s="4">
        <v>43605816</v>
      </c>
      <c r="C56" s="4">
        <v>43077521</v>
      </c>
      <c r="D56" s="4">
        <v>49242553</v>
      </c>
      <c r="E56" s="4">
        <v>53259017</v>
      </c>
      <c r="F56" s="4">
        <v>54770117</v>
      </c>
      <c r="G56" s="4">
        <v>61304238</v>
      </c>
    </row>
    <row r="57" spans="1:8" ht="16.5" x14ac:dyDescent="0.25">
      <c r="A57" s="2" t="s">
        <v>59</v>
      </c>
      <c r="B57" s="5">
        <f>+B48+B56</f>
        <v>425895295</v>
      </c>
      <c r="C57" s="5">
        <f t="shared" ref="C57:G57" si="35">+C48+C56</f>
        <v>342171713</v>
      </c>
      <c r="D57" s="5">
        <f t="shared" si="35"/>
        <v>332998424</v>
      </c>
      <c r="E57" s="5">
        <f t="shared" si="35"/>
        <v>430840762</v>
      </c>
      <c r="F57" s="5">
        <f t="shared" si="35"/>
        <v>446977722</v>
      </c>
      <c r="G57" s="5">
        <f t="shared" si="35"/>
        <v>454698680</v>
      </c>
    </row>
    <row r="58" spans="1:8" ht="16.5" x14ac:dyDescent="0.25">
      <c r="A58" s="1"/>
    </row>
    <row r="59" spans="1:8" ht="16.5" x14ac:dyDescent="0.25">
      <c r="A59" s="1" t="s">
        <v>49</v>
      </c>
      <c r="C59" s="4">
        <f>+B33+C54-C33-IF(C32&gt;B32,C32-B32,0)</f>
        <v>292798054</v>
      </c>
      <c r="D59" s="4">
        <f t="shared" ref="D59:G59" si="36">+C33+D54-D33-IF(D32&gt;C32,D32-C32,0)</f>
        <v>252095952</v>
      </c>
      <c r="E59" s="4">
        <f t="shared" si="36"/>
        <v>225433978</v>
      </c>
      <c r="F59" s="4">
        <f t="shared" si="36"/>
        <v>250484649</v>
      </c>
      <c r="G59" s="4">
        <f t="shared" si="36"/>
        <v>245101372</v>
      </c>
      <c r="H59" s="1" t="s">
        <v>60</v>
      </c>
    </row>
    <row r="60" spans="1:8" ht="16.5" x14ac:dyDescent="0.25">
      <c r="A60" s="1"/>
    </row>
    <row r="61" spans="1:8" ht="16.5" x14ac:dyDescent="0.25">
      <c r="A61" s="1"/>
      <c r="B61" s="3">
        <v>2018</v>
      </c>
      <c r="C61" s="3">
        <v>2019</v>
      </c>
      <c r="D61" s="3">
        <v>2020</v>
      </c>
      <c r="E61" s="3">
        <v>2021</v>
      </c>
      <c r="F61" s="3">
        <v>2022</v>
      </c>
      <c r="G61" s="3">
        <v>2023</v>
      </c>
    </row>
    <row r="62" spans="1:8" ht="16.5" x14ac:dyDescent="0.25">
      <c r="A62" s="1" t="s">
        <v>50</v>
      </c>
      <c r="B62" s="7">
        <f>+B42/B40</f>
        <v>0.80339212143138261</v>
      </c>
      <c r="C62" s="7">
        <f t="shared" ref="C62:G62" si="37">+C42/C40</f>
        <v>0.74082987114289323</v>
      </c>
      <c r="D62" s="7">
        <f t="shared" si="37"/>
        <v>0.70010177699511333</v>
      </c>
      <c r="E62" s="7">
        <f t="shared" si="37"/>
        <v>0.68454977742073586</v>
      </c>
      <c r="F62" s="7">
        <f t="shared" si="37"/>
        <v>0.62569729055876799</v>
      </c>
      <c r="G62" s="7">
        <f t="shared" si="37"/>
        <v>0.60078794560753412</v>
      </c>
    </row>
    <row r="63" spans="1:8" ht="16.5" x14ac:dyDescent="0.25">
      <c r="A63" s="1" t="s">
        <v>51</v>
      </c>
      <c r="B63" s="7">
        <f>+B48/B40</f>
        <v>0.54500869927251627</v>
      </c>
      <c r="C63" s="7">
        <f t="shared" ref="C63:G63" si="38">+C48/C40</f>
        <v>0.48059361839783449</v>
      </c>
      <c r="D63" s="7">
        <f t="shared" si="38"/>
        <v>0.48458756770353034</v>
      </c>
      <c r="E63" s="7">
        <f t="shared" si="38"/>
        <v>0.50842455376707674</v>
      </c>
      <c r="F63" s="7">
        <f t="shared" si="38"/>
        <v>0.48062691087080955</v>
      </c>
      <c r="G63" s="7">
        <f t="shared" si="38"/>
        <v>0.43858780531119074</v>
      </c>
    </row>
    <row r="64" spans="1:8" ht="16.5" x14ac:dyDescent="0.25">
      <c r="A64" s="1" t="s">
        <v>52</v>
      </c>
      <c r="B64" s="7">
        <f>+B57/B40</f>
        <v>0.60717506890696982</v>
      </c>
      <c r="C64" s="7">
        <f t="shared" ref="C64:G64" si="39">+C57/C40</f>
        <v>0.54981188556164051</v>
      </c>
      <c r="D64" s="7">
        <f t="shared" si="39"/>
        <v>0.56868214133010453</v>
      </c>
      <c r="E64" s="7">
        <f t="shared" si="39"/>
        <v>0.58013933423745712</v>
      </c>
      <c r="F64" s="7">
        <f t="shared" si="39"/>
        <v>0.54774440631494503</v>
      </c>
      <c r="G64" s="7">
        <f t="shared" si="39"/>
        <v>0.50693470686882613</v>
      </c>
    </row>
    <row r="65" spans="1:7" ht="16.5" x14ac:dyDescent="0.25">
      <c r="A65" s="1" t="s">
        <v>53</v>
      </c>
      <c r="B65" s="7">
        <f>+B54/B40</f>
        <v>0.44656383579233472</v>
      </c>
      <c r="C65" s="7">
        <f t="shared" ref="C65:G65" si="40">+C54/C40</f>
        <v>0.41529708577458729</v>
      </c>
      <c r="D65" s="7">
        <f t="shared" si="40"/>
        <v>0.38498763816648435</v>
      </c>
      <c r="E65" s="7">
        <f t="shared" si="40"/>
        <v>0.33728470080916612</v>
      </c>
      <c r="F65" s="7">
        <f t="shared" si="40"/>
        <v>0.30713405800180588</v>
      </c>
      <c r="G65" s="7">
        <f t="shared" si="40"/>
        <v>0.29869405982543262</v>
      </c>
    </row>
    <row r="66" spans="1:7" ht="15.75" x14ac:dyDescent="0.25">
      <c r="A66" s="8"/>
      <c r="B66" s="8"/>
      <c r="C66" s="8"/>
      <c r="D66" s="8"/>
      <c r="E66" s="8"/>
      <c r="F66" s="8"/>
      <c r="G66" s="8"/>
    </row>
    <row r="67" spans="1:7" ht="16.5" x14ac:dyDescent="0.25">
      <c r="A67" s="1" t="s">
        <v>54</v>
      </c>
      <c r="B67" s="4">
        <f>+B21</f>
        <v>5979341</v>
      </c>
      <c r="C67" s="4">
        <f t="shared" ref="C67:G67" si="41">+C21</f>
        <v>6197452</v>
      </c>
      <c r="D67" s="4">
        <f t="shared" si="41"/>
        <v>8311523</v>
      </c>
      <c r="E67" s="4">
        <f t="shared" si="41"/>
        <v>946866</v>
      </c>
      <c r="F67" s="4">
        <f t="shared" si="41"/>
        <v>189034</v>
      </c>
      <c r="G67" s="4">
        <f t="shared" si="41"/>
        <v>20621</v>
      </c>
    </row>
    <row r="68" spans="1:7" ht="16.5" x14ac:dyDescent="0.25">
      <c r="A68" s="1" t="s">
        <v>55</v>
      </c>
      <c r="B68" s="4">
        <f>+B27</f>
        <v>13328533</v>
      </c>
      <c r="C68" s="4">
        <f t="shared" ref="C68:G68" si="42">+C27</f>
        <v>7131609</v>
      </c>
      <c r="D68" s="4">
        <f t="shared" si="42"/>
        <v>1027091</v>
      </c>
      <c r="E68" s="4">
        <f t="shared" si="42"/>
        <v>124610</v>
      </c>
      <c r="F68" s="4">
        <f t="shared" si="42"/>
        <v>20203</v>
      </c>
      <c r="G68" s="4">
        <f t="shared" si="42"/>
        <v>149612</v>
      </c>
    </row>
    <row r="69" spans="1:7" ht="16.5" x14ac:dyDescent="0.25">
      <c r="A69" s="9" t="s">
        <v>56</v>
      </c>
      <c r="B69" s="5">
        <f>SUM(B67:B68)</f>
        <v>19307874</v>
      </c>
      <c r="C69" s="5">
        <f>SUM(C67:C68)</f>
        <v>13329061</v>
      </c>
      <c r="D69" s="5">
        <f>SUM(D67:D68)</f>
        <v>9338614</v>
      </c>
      <c r="E69" s="5">
        <f>SUM(E67:E68)</f>
        <v>1071476</v>
      </c>
      <c r="F69" s="5">
        <f t="shared" ref="F69" si="43">SUM(F67:F68)</f>
        <v>209237</v>
      </c>
      <c r="G69" s="5">
        <f>SUM(G67:G68)</f>
        <v>170233</v>
      </c>
    </row>
    <row r="70" spans="1:7" ht="16.5" x14ac:dyDescent="0.25">
      <c r="A70" s="10" t="s">
        <v>57</v>
      </c>
      <c r="B70" s="4">
        <f>+B50</f>
        <v>3305981</v>
      </c>
      <c r="C70" s="4">
        <f t="shared" ref="C70:G70" si="44">+C50</f>
        <v>5523310</v>
      </c>
      <c r="D70" s="4">
        <f t="shared" si="44"/>
        <v>4644778</v>
      </c>
      <c r="E70" s="4">
        <f t="shared" si="44"/>
        <v>4157028</v>
      </c>
      <c r="F70" s="4">
        <f t="shared" si="44"/>
        <v>9167934</v>
      </c>
      <c r="G70" s="4">
        <f t="shared" si="44"/>
        <v>11041378</v>
      </c>
    </row>
    <row r="71" spans="1:7" ht="15.75" x14ac:dyDescent="0.25">
      <c r="A71" s="8"/>
      <c r="B71" s="8"/>
      <c r="C71" s="8"/>
      <c r="D71" s="8"/>
      <c r="E71" s="8"/>
      <c r="F71" s="8"/>
      <c r="G71" s="8"/>
    </row>
    <row r="72" spans="1:7" ht="16.5" x14ac:dyDescent="0.25">
      <c r="A72" s="10" t="s">
        <v>58</v>
      </c>
      <c r="B72" s="4">
        <f>+B10+B11</f>
        <v>414817719</v>
      </c>
      <c r="C72" s="4">
        <f>+C10+C11</f>
        <v>437941574</v>
      </c>
      <c r="D72" s="4">
        <f>+D10+D11</f>
        <v>434536424</v>
      </c>
      <c r="E72" s="4">
        <f>+E10+E11</f>
        <v>436716348</v>
      </c>
      <c r="F72" s="4">
        <f>+F10+F11</f>
        <v>474186090</v>
      </c>
      <c r="G72" s="4">
        <f>+G10+G11</f>
        <v>504926454</v>
      </c>
    </row>
    <row r="74" spans="1:7" ht="16.5" x14ac:dyDescent="0.25">
      <c r="B74" s="15">
        <v>2023</v>
      </c>
      <c r="C74" s="16"/>
      <c r="D74" s="16"/>
    </row>
    <row r="75" spans="1:7" ht="16.5" x14ac:dyDescent="0.25">
      <c r="B75" s="17" t="s">
        <v>84</v>
      </c>
      <c r="C75" s="17" t="s">
        <v>86</v>
      </c>
      <c r="D75" s="17" t="s">
        <v>85</v>
      </c>
    </row>
    <row r="76" spans="1:7" ht="16.5" x14ac:dyDescent="0.25">
      <c r="A76" s="1" t="s">
        <v>16</v>
      </c>
      <c r="B76" s="4">
        <v>1209783032</v>
      </c>
      <c r="C76" s="4">
        <v>16177347</v>
      </c>
      <c r="D76" s="18">
        <f>SUM(B76:C76)</f>
        <v>1225960379</v>
      </c>
      <c r="E76" t="b">
        <f>+D76=G19</f>
        <v>1</v>
      </c>
    </row>
  </sheetData>
  <mergeCells count="1">
    <mergeCell ref="B74:D74"/>
  </mergeCells>
  <pageMargins left="0.7" right="0.7" top="0.75" bottom="0.75" header="0.3" footer="0.3"/>
  <ignoredErrors>
    <ignoredError sqref="G9 B9:F9 K12:O12 K16:O16 K23:O2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2025-05-20T01:32:05Z</dcterms:created>
  <dcterms:modified xsi:type="dcterms:W3CDTF">2025-05-20T02:42:42Z</dcterms:modified>
</cp:coreProperties>
</file>