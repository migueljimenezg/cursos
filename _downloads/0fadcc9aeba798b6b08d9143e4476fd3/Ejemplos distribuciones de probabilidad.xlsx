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ITM\ANÁLISIS DE RIESGOS\Archivos de Excel\"/>
    </mc:Choice>
  </mc:AlternateContent>
  <xr:revisionPtr revIDLastSave="0" documentId="13_ncr:1_{304F6225-88F7-4C70-9332-13372A315B5C}" xr6:coauthVersionLast="47" xr6:coauthVersionMax="47" xr10:uidLastSave="{00000000-0000-0000-0000-000000000000}"/>
  <bookViews>
    <workbookView xWindow="-120" yWindow="-120" windowWidth="29040" windowHeight="15840" activeTab="2" xr2:uid="{C33B7364-5EEF-46A0-A185-DDCEC781240D}"/>
  </bookViews>
  <sheets>
    <sheet name="Especialistas" sheetId="1" r:id="rId1"/>
    <sheet name="Profesionales" sheetId="2" r:id="rId2"/>
    <sheet name="Distribuciones de probabilid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0" i="3" l="1"/>
  <c r="B101" i="3"/>
  <c r="B102" i="3"/>
  <c r="B103" i="3"/>
  <c r="B104" i="3"/>
  <c r="B99" i="3"/>
  <c r="B98" i="3"/>
  <c r="B73" i="3"/>
  <c r="B74" i="3"/>
  <c r="B75" i="3"/>
  <c r="B76" i="3"/>
  <c r="B77" i="3"/>
  <c r="B72" i="3"/>
  <c r="B71" i="3"/>
  <c r="B34" i="3"/>
  <c r="B35" i="3"/>
  <c r="B36" i="3"/>
  <c r="B37" i="3"/>
  <c r="B38" i="3"/>
  <c r="B39" i="3"/>
  <c r="B33" i="3"/>
  <c r="B93" i="3"/>
  <c r="C83" i="3" a="1"/>
  <c r="C83" i="3" s="1"/>
  <c r="C82" i="3" a="1"/>
  <c r="C82" i="3" s="1"/>
  <c r="B64" i="3"/>
  <c r="B63" i="3"/>
  <c r="C45" i="3"/>
  <c r="C50" i="3" s="1"/>
  <c r="C46" i="3"/>
  <c r="C44" i="3"/>
  <c r="C3" i="3"/>
  <c r="B88" i="3" s="1"/>
  <c r="B89" i="3" s="1"/>
  <c r="C4" i="3"/>
  <c r="D2" i="2"/>
  <c r="D3" i="2" s="1"/>
  <c r="D4" i="2" s="1"/>
  <c r="D9" i="2" s="1"/>
  <c r="D6" i="2"/>
  <c r="D7" i="2"/>
  <c r="D47" i="2"/>
  <c r="D48" i="2" s="1"/>
  <c r="D49" i="2"/>
  <c r="D50" i="2" s="1"/>
  <c r="D52" i="2"/>
  <c r="D53" i="2" s="1"/>
  <c r="D54" i="2"/>
  <c r="D55" i="2" s="1"/>
  <c r="D58" i="2"/>
  <c r="D59" i="2"/>
  <c r="D60" i="2"/>
  <c r="D63" i="2"/>
  <c r="D64" i="2"/>
  <c r="D65" i="2"/>
  <c r="D66" i="2"/>
  <c r="D67" i="2"/>
  <c r="D68" i="2"/>
  <c r="D69" i="2"/>
  <c r="D70" i="2"/>
  <c r="D72" i="2"/>
  <c r="D73" i="2"/>
  <c r="D75" i="2"/>
  <c r="D76" i="2"/>
  <c r="D30" i="1"/>
  <c r="D29" i="1"/>
  <c r="D28" i="1"/>
  <c r="D22" i="1"/>
  <c r="D27" i="1"/>
  <c r="D24" i="1"/>
  <c r="D38" i="1"/>
  <c r="D39" i="1"/>
  <c r="D40" i="1"/>
  <c r="D41" i="1"/>
  <c r="D42" i="1"/>
  <c r="D43" i="1"/>
  <c r="D44" i="1"/>
  <c r="D37" i="1"/>
  <c r="D50" i="1"/>
  <c r="D49" i="1"/>
  <c r="D47" i="1"/>
  <c r="D46" i="1"/>
  <c r="D34" i="1"/>
  <c r="D33" i="1"/>
  <c r="D32" i="1"/>
  <c r="D7" i="1"/>
  <c r="D6" i="1"/>
  <c r="D2" i="1"/>
  <c r="D3" i="1" s="1"/>
  <c r="D4" i="1" s="1"/>
  <c r="B53" i="3" l="1"/>
  <c r="B54" i="3"/>
  <c r="B59" i="3"/>
  <c r="B58" i="3"/>
  <c r="B57" i="3"/>
  <c r="B56" i="3"/>
  <c r="B55" i="3"/>
  <c r="C37" i="3"/>
  <c r="C36" i="3"/>
  <c r="C35" i="3"/>
  <c r="C38" i="3"/>
  <c r="B23" i="3"/>
  <c r="B21" i="3"/>
  <c r="C39" i="3"/>
  <c r="C33" i="3"/>
  <c r="C34" i="3"/>
  <c r="B24" i="3"/>
  <c r="B20" i="3"/>
  <c r="B19" i="3"/>
  <c r="B25" i="3"/>
  <c r="B22" i="3"/>
  <c r="C67" i="3"/>
  <c r="C87" i="3"/>
  <c r="C89" i="3"/>
  <c r="C68" i="3"/>
  <c r="C95" i="3"/>
  <c r="C93" i="3"/>
  <c r="C88" i="3"/>
  <c r="C91" i="3"/>
  <c r="C92" i="3"/>
  <c r="C90" i="3"/>
  <c r="C94" i="3"/>
  <c r="C49" i="3"/>
  <c r="C86" i="3"/>
  <c r="C15" i="3"/>
  <c r="C30" i="3"/>
  <c r="D30" i="3" s="1"/>
  <c r="B9" i="3"/>
  <c r="C9" i="3" s="1"/>
  <c r="B10" i="3"/>
  <c r="C10" i="3" s="1"/>
  <c r="C16" i="3"/>
  <c r="C13" i="3"/>
  <c r="C8" i="3"/>
  <c r="C12" i="3"/>
  <c r="C14" i="3"/>
  <c r="C11" i="3"/>
  <c r="C7" i="3"/>
  <c r="D74" i="2"/>
  <c r="D25" i="1"/>
  <c r="D23" i="1"/>
  <c r="D9" i="1"/>
  <c r="D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<sst xmlns="http://schemas.openxmlformats.org/spreadsheetml/2006/main" count="236" uniqueCount="123">
  <si>
    <t>Salario</t>
  </si>
  <si>
    <t>Clase</t>
  </si>
  <si>
    <t>y mayor...</t>
  </si>
  <si>
    <t>Frecuencia</t>
  </si>
  <si>
    <t>% acumulado</t>
  </si>
  <si>
    <t>Cantidad de datos</t>
  </si>
  <si>
    <t>&gt;=CONTAR(A2:A81)</t>
  </si>
  <si>
    <t>Amplitud intervalo</t>
  </si>
  <si>
    <t>Valor máximo</t>
  </si>
  <si>
    <t>Valor mínimo</t>
  </si>
  <si>
    <t>&gt;=MAX(A2:A81)</t>
  </si>
  <si>
    <t>&gt;=MIN(A2:A81)</t>
  </si>
  <si>
    <t>Cantidad de intervalos</t>
  </si>
  <si>
    <t>&gt;=RAIZ(D2)</t>
  </si>
  <si>
    <t>&gt;=ENTERO(D3)</t>
  </si>
  <si>
    <t>&gt;=(D6-D7)/D4</t>
  </si>
  <si>
    <t>Promedio</t>
  </si>
  <si>
    <t>Mediana</t>
  </si>
  <si>
    <t>Moda</t>
  </si>
  <si>
    <t>&gt;=PROMEDIO(A2:A81)</t>
  </si>
  <si>
    <t>&gt;=MEDIANA(A2:A81)</t>
  </si>
  <si>
    <t>&gt;=MODA(A2:A81)</t>
  </si>
  <si>
    <t>PERCENTILES</t>
  </si>
  <si>
    <t>SALARIO</t>
  </si>
  <si>
    <t>Varianza</t>
  </si>
  <si>
    <t>Desviación estándar</t>
  </si>
  <si>
    <t>Coeficiente de variación</t>
  </si>
  <si>
    <t>&gt;=VAR(A2:A81)</t>
  </si>
  <si>
    <t>&gt;=DESVEST(A2:A81)</t>
  </si>
  <si>
    <t>&gt;=D37/D22</t>
  </si>
  <si>
    <t>Sesgo</t>
  </si>
  <si>
    <t>Curtosis</t>
  </si>
  <si>
    <t>&gt;=COEFICIENTE.ASIMETRIA(A2:A81)</t>
  </si>
  <si>
    <t>&gt;=CURTOSIS(A2:A81)</t>
  </si>
  <si>
    <t>SALARIOS</t>
  </si>
  <si>
    <t>&gt;=PERCENTIL($A$2:$A$81;C27)</t>
  </si>
  <si>
    <t>&gt;=PERCENTIL($A$2:$A$81;C34)</t>
  </si>
  <si>
    <t>Frecuencia de $6.300.000</t>
  </si>
  <si>
    <t>P(x = 6.300.000)</t>
  </si>
  <si>
    <t>Frecuencia de &lt;$6.300.000</t>
  </si>
  <si>
    <t>P(x &lt;= 6.300.000)</t>
  </si>
  <si>
    <t>Frecuencia de $4.000.000</t>
  </si>
  <si>
    <t>P(x = 4.000.000)</t>
  </si>
  <si>
    <t>Frecuencia de &lt;$4.000.000</t>
  </si>
  <si>
    <t>P(x &lt;= 4.000.000)</t>
  </si>
  <si>
    <t>Probabilidad individual</t>
  </si>
  <si>
    <t>Probabilidad acumulada</t>
  </si>
  <si>
    <t>&gt;=CONTAR.SI(A2:A81;"=6300000")</t>
  </si>
  <si>
    <t>&gt;=D22/D2</t>
  </si>
  <si>
    <t>&gt;=D24/D2</t>
  </si>
  <si>
    <t>&gt;=CONTAR.SI(A2:A81;"&lt;=6300000")</t>
  </si>
  <si>
    <t>Frecuencia de $3.000.000</t>
  </si>
  <si>
    <t>P(x = 3.000.000)</t>
  </si>
  <si>
    <t>Frecuencia de $2.000.000</t>
  </si>
  <si>
    <t>P(x = 2.000.000)</t>
  </si>
  <si>
    <t>Frecuencia de &lt;$3.000.000</t>
  </si>
  <si>
    <t>P(x &lt;= 3.000.000)</t>
  </si>
  <si>
    <t>Frecuencia de &lt;$2.000.000</t>
  </si>
  <si>
    <t>P(x &lt;= 2.000.000)</t>
  </si>
  <si>
    <t>Media</t>
  </si>
  <si>
    <t>Error típico</t>
  </si>
  <si>
    <t>Varianza de la muestra</t>
  </si>
  <si>
    <t>Coeficiente de asimetría</t>
  </si>
  <si>
    <t>Rango</t>
  </si>
  <si>
    <t>Mínimo</t>
  </si>
  <si>
    <t>Máximo</t>
  </si>
  <si>
    <t>Suma</t>
  </si>
  <si>
    <t>Cuenta</t>
  </si>
  <si>
    <t>Mayor (20)</t>
  </si>
  <si>
    <t>Menor(50)</t>
  </si>
  <si>
    <t>Menor(10)</t>
  </si>
  <si>
    <t>µ</t>
  </si>
  <si>
    <t>σ</t>
  </si>
  <si>
    <t>x</t>
  </si>
  <si>
    <t>&gt;=PROMEDIO(Especialistas!A2:A81)</t>
  </si>
  <si>
    <t>&gt;=DESVEST(Especialistas!A2:A81)</t>
  </si>
  <si>
    <t>Prob. Indiv.</t>
  </si>
  <si>
    <t>Prob. Acum.</t>
  </si>
  <si>
    <t>f(x)</t>
  </si>
  <si>
    <t>F(x)</t>
  </si>
  <si>
    <t>Distribución Normal:</t>
  </si>
  <si>
    <t>Distribución Normal Estándar:</t>
  </si>
  <si>
    <t>z</t>
  </si>
  <si>
    <t>P(x = 4.731.496)</t>
  </si>
  <si>
    <t>P(x = 1.000.000)</t>
  </si>
  <si>
    <t>P(x = 500.000)</t>
  </si>
  <si>
    <t>P(x = -100.000)</t>
  </si>
  <si>
    <t>Distribución triangular:</t>
  </si>
  <si>
    <t>Parámetros:</t>
  </si>
  <si>
    <t>Más probable</t>
  </si>
  <si>
    <t>a</t>
  </si>
  <si>
    <t>b</t>
  </si>
  <si>
    <t>c</t>
  </si>
  <si>
    <t>Distribución uniforme continua:</t>
  </si>
  <si>
    <t>&gt;=MIN(Especialistas!A2:A81)</t>
  </si>
  <si>
    <t>&gt;=MODA(Especialistas!A2:A81)</t>
  </si>
  <si>
    <t>&gt;=MAX(Especialistas!A2:A81)</t>
  </si>
  <si>
    <t>Distribución Lognormal:</t>
  </si>
  <si>
    <t>&gt;=PROMEDIO(LN(Especialistas!A2:A81))</t>
  </si>
  <si>
    <t>&gt;=DESVEST(LN(Especialistas!A2:A81))</t>
  </si>
  <si>
    <t>P(x = ln(4.000.000))</t>
  </si>
  <si>
    <t>P(x = 8.000.000)</t>
  </si>
  <si>
    <t>Prob.</t>
  </si>
  <si>
    <t>&gt;=DISTR.NORM.INV(A19;C3;C4)</t>
  </si>
  <si>
    <t>P(x &lt; 4.000.000)</t>
  </si>
  <si>
    <t>P(x &lt; 4.731.496)</t>
  </si>
  <si>
    <t>P(x &lt; 1.000.000)</t>
  </si>
  <si>
    <t>P(x &lt; 500.000)</t>
  </si>
  <si>
    <t>P(x &lt; -100.000)</t>
  </si>
  <si>
    <t>P(&lt;x)</t>
  </si>
  <si>
    <t>P(x &lt; 8.000.000)</t>
  </si>
  <si>
    <t>&gt;=DISTR.NORM(B7;C3;C4;0)</t>
  </si>
  <si>
    <t>&gt;=DISTR.NORM(B8;C3;C4;1)</t>
  </si>
  <si>
    <t>&gt;=DISTR.NORM.ESTAND.N(C30;1)</t>
  </si>
  <si>
    <t>&gt;=SI(B49&lt;=C45;2*(B49-C44)/((C45-C44)*(C46-C44));2*(C46-B49)/((C46-C45)*(C46-C44)))</t>
  </si>
  <si>
    <t>&gt;=SI(B50&lt;=C45;(B50-C44)^2/((C45-C44)*(C46-C44));1-(C46-B50)^2/((C46-C45)*(C46-C44)))</t>
  </si>
  <si>
    <t>&gt;=SI(A53&lt;=(C45-C44)/(C46-C44);C44+RAIZ(A53*C45*(C46-C44));C46+RAIZ((1-A53)*(C45-C44)*(C46-C44)))</t>
  </si>
  <si>
    <t>&gt;=1/(B64-B63)</t>
  </si>
  <si>
    <t>&gt;=(B68-B63)/(B64-B63)</t>
  </si>
  <si>
    <t>&gt;=B63+A71*(B64-B63)</t>
  </si>
  <si>
    <t>&gt;=DISTR.LOGNORM(B86;C82;C83;0)</t>
  </si>
  <si>
    <t>&gt;=DISTR.LOGNORM(B87;C82;C83;1)</t>
  </si>
  <si>
    <t>&gt;=DISTR.LOG.INV(A98;C82;C83)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</si>
</sst>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164" formatCode="0.0"/>
    <numFmt numFmtId="165" formatCode="0.0%"/>
    <numFmt numFmtId="166" formatCode="0.000%"/>
    <numFmt numFmtId="167" formatCode="0.0000%"/>
    <numFmt numFmtId="169" formatCode="0.000000%"/>
    <numFmt numFmtId="170" formatCode="0.0000000%"/>
    <numFmt numFmtId="173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rgb="FF14085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6" fontId="3" fillId="0" borderId="0" xfId="0" applyNumberFormat="1" applyFont="1" applyAlignment="1">
      <alignment horizontal="center" vertical="center"/>
    </xf>
    <xf numFmtId="0" fontId="0" fillId="0" borderId="0" xfId="0" applyFill="1" applyBorder="1" applyAlignment="1"/>
    <xf numFmtId="10" fontId="0" fillId="0" borderId="0" xfId="0" applyNumberFormat="1" applyFill="1" applyBorder="1" applyAlignment="1"/>
    <xf numFmtId="0" fontId="0" fillId="0" borderId="1" xfId="0" applyFill="1" applyBorder="1" applyAlignment="1"/>
    <xf numFmtId="10" fontId="0" fillId="0" borderId="1" xfId="0" applyNumberFormat="1" applyFill="1" applyBorder="1" applyAlignment="1"/>
    <xf numFmtId="0" fontId="4" fillId="0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3" fillId="0" borderId="0" xfId="0" applyNumberFormat="1" applyFont="1"/>
    <xf numFmtId="10" fontId="3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4" fillId="0" borderId="2" xfId="0" applyFont="1" applyFill="1" applyBorder="1" applyAlignment="1">
      <alignment horizontal="centerContinuous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7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165" fontId="3" fillId="0" borderId="0" xfId="1" applyNumberFormat="1" applyFont="1" applyAlignment="1">
      <alignment horizontal="left" vertical="center"/>
    </xf>
    <xf numFmtId="169" fontId="3" fillId="2" borderId="0" xfId="1" applyNumberFormat="1" applyFont="1" applyFill="1" applyAlignment="1">
      <alignment horizontal="center" vertical="center"/>
    </xf>
    <xf numFmtId="165" fontId="3" fillId="2" borderId="0" xfId="1" applyNumberFormat="1" applyFont="1" applyFill="1" applyAlignment="1">
      <alignment horizontal="center" vertical="center"/>
    </xf>
    <xf numFmtId="170" fontId="3" fillId="2" borderId="0" xfId="1" applyNumberFormat="1" applyFont="1" applyFill="1" applyAlignment="1">
      <alignment horizontal="center" vertical="center"/>
    </xf>
    <xf numFmtId="6" fontId="3" fillId="2" borderId="0" xfId="0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1408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strRef>
              <c:f>Especialistas!$C$12:$C$20</c:f>
              <c:strCache>
                <c:ptCount val="9"/>
                <c:pt idx="0">
                  <c:v>900000</c:v>
                </c:pt>
                <c:pt idx="1">
                  <c:v>1725000</c:v>
                </c:pt>
                <c:pt idx="2">
                  <c:v>2550000</c:v>
                </c:pt>
                <c:pt idx="3">
                  <c:v>3375000</c:v>
                </c:pt>
                <c:pt idx="4">
                  <c:v>4200000</c:v>
                </c:pt>
                <c:pt idx="5">
                  <c:v>5025000</c:v>
                </c:pt>
                <c:pt idx="6">
                  <c:v>5850000</c:v>
                </c:pt>
                <c:pt idx="7">
                  <c:v>6675000</c:v>
                </c:pt>
                <c:pt idx="8">
                  <c:v>y mayor...</c:v>
                </c:pt>
              </c:strCache>
            </c:strRef>
          </c:cat>
          <c:val>
            <c:numRef>
              <c:f>Especialistas!$D$12:$D$20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12</c:v>
                </c:pt>
                <c:pt idx="4">
                  <c:v>7</c:v>
                </c:pt>
                <c:pt idx="5">
                  <c:v>12</c:v>
                </c:pt>
                <c:pt idx="6">
                  <c:v>20</c:v>
                </c:pt>
                <c:pt idx="7">
                  <c:v>19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B-4FD9-8927-658C096A3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7633136"/>
        <c:axId val="407631888"/>
      </c:barChart>
      <c:lineChart>
        <c:grouping val="standard"/>
        <c:varyColors val="0"/>
        <c:ser>
          <c:idx val="1"/>
          <c:order val="1"/>
          <c:tx>
            <c:v>% acumulado</c:v>
          </c:tx>
          <c:cat>
            <c:strRef>
              <c:f>Especialistas!$C$12:$C$20</c:f>
              <c:strCache>
                <c:ptCount val="9"/>
                <c:pt idx="0">
                  <c:v>900000</c:v>
                </c:pt>
                <c:pt idx="1">
                  <c:v>1725000</c:v>
                </c:pt>
                <c:pt idx="2">
                  <c:v>2550000</c:v>
                </c:pt>
                <c:pt idx="3">
                  <c:v>3375000</c:v>
                </c:pt>
                <c:pt idx="4">
                  <c:v>4200000</c:v>
                </c:pt>
                <c:pt idx="5">
                  <c:v>5025000</c:v>
                </c:pt>
                <c:pt idx="6">
                  <c:v>5850000</c:v>
                </c:pt>
                <c:pt idx="7">
                  <c:v>6675000</c:v>
                </c:pt>
                <c:pt idx="8">
                  <c:v>y mayor...</c:v>
                </c:pt>
              </c:strCache>
            </c:strRef>
          </c:cat>
          <c:val>
            <c:numRef>
              <c:f>Especialistas!$E$12:$E$20</c:f>
              <c:numCache>
                <c:formatCode>0%</c:formatCode>
                <c:ptCount val="9"/>
                <c:pt idx="0">
                  <c:v>1.2500000000000001E-2</c:v>
                </c:pt>
                <c:pt idx="1">
                  <c:v>6.25E-2</c:v>
                </c:pt>
                <c:pt idx="2">
                  <c:v>8.7499999999999994E-2</c:v>
                </c:pt>
                <c:pt idx="3">
                  <c:v>0.23749999999999999</c:v>
                </c:pt>
                <c:pt idx="4">
                  <c:v>0.32500000000000001</c:v>
                </c:pt>
                <c:pt idx="5">
                  <c:v>0.47499999999999998</c:v>
                </c:pt>
                <c:pt idx="6">
                  <c:v>0.72499999999999998</c:v>
                </c:pt>
                <c:pt idx="7">
                  <c:v>0.96250000000000002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0B-4FD9-8927-658C096A3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738144"/>
        <c:axId val="1162737312"/>
      </c:lineChart>
      <c:catAx>
        <c:axId val="40763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Clase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7631888"/>
        <c:crosses val="autoZero"/>
        <c:auto val="1"/>
        <c:lblAlgn val="ctr"/>
        <c:lblOffset val="100"/>
        <c:noMultiLvlLbl val="0"/>
      </c:catAx>
      <c:valAx>
        <c:axId val="407631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7633136"/>
        <c:crosses val="autoZero"/>
        <c:crossBetween val="between"/>
      </c:valAx>
      <c:valAx>
        <c:axId val="11627373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162738144"/>
        <c:crosses val="max"/>
        <c:crossBetween val="between"/>
      </c:valAx>
      <c:catAx>
        <c:axId val="116273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273731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strRef>
              <c:f>Profesionales!$C$12:$C$45</c:f>
              <c:strCache>
                <c:ptCount val="34"/>
                <c:pt idx="0">
                  <c:v>500000</c:v>
                </c:pt>
                <c:pt idx="1">
                  <c:v>848484,8485</c:v>
                </c:pt>
                <c:pt idx="2">
                  <c:v>1196969,697</c:v>
                </c:pt>
                <c:pt idx="3">
                  <c:v>1545454,545</c:v>
                </c:pt>
                <c:pt idx="4">
                  <c:v>1893939,394</c:v>
                </c:pt>
                <c:pt idx="5">
                  <c:v>2242424,242</c:v>
                </c:pt>
                <c:pt idx="6">
                  <c:v>2590909,091</c:v>
                </c:pt>
                <c:pt idx="7">
                  <c:v>2939393,939</c:v>
                </c:pt>
                <c:pt idx="8">
                  <c:v>3287878,788</c:v>
                </c:pt>
                <c:pt idx="9">
                  <c:v>3636363,636</c:v>
                </c:pt>
                <c:pt idx="10">
                  <c:v>3984848,485</c:v>
                </c:pt>
                <c:pt idx="11">
                  <c:v>4333333,333</c:v>
                </c:pt>
                <c:pt idx="12">
                  <c:v>4681818,182</c:v>
                </c:pt>
                <c:pt idx="13">
                  <c:v>5030303,03</c:v>
                </c:pt>
                <c:pt idx="14">
                  <c:v>5378787,879</c:v>
                </c:pt>
                <c:pt idx="15">
                  <c:v>5727272,727</c:v>
                </c:pt>
                <c:pt idx="16">
                  <c:v>6075757,576</c:v>
                </c:pt>
                <c:pt idx="17">
                  <c:v>6424242,424</c:v>
                </c:pt>
                <c:pt idx="18">
                  <c:v>6772727,273</c:v>
                </c:pt>
                <c:pt idx="19">
                  <c:v>7121212,121</c:v>
                </c:pt>
                <c:pt idx="20">
                  <c:v>7469696,97</c:v>
                </c:pt>
                <c:pt idx="21">
                  <c:v>7818181,818</c:v>
                </c:pt>
                <c:pt idx="22">
                  <c:v>8166666,667</c:v>
                </c:pt>
                <c:pt idx="23">
                  <c:v>8515151,515</c:v>
                </c:pt>
                <c:pt idx="24">
                  <c:v>8863636,364</c:v>
                </c:pt>
                <c:pt idx="25">
                  <c:v>9212121,212</c:v>
                </c:pt>
                <c:pt idx="26">
                  <c:v>9560606,061</c:v>
                </c:pt>
                <c:pt idx="27">
                  <c:v>9909090,909</c:v>
                </c:pt>
                <c:pt idx="28">
                  <c:v>10257575,76</c:v>
                </c:pt>
                <c:pt idx="29">
                  <c:v>10606060,61</c:v>
                </c:pt>
                <c:pt idx="30">
                  <c:v>10954545,45</c:v>
                </c:pt>
                <c:pt idx="31">
                  <c:v>11303030,3</c:v>
                </c:pt>
                <c:pt idx="32">
                  <c:v>11651515,15</c:v>
                </c:pt>
                <c:pt idx="33">
                  <c:v>y mayor...</c:v>
                </c:pt>
              </c:strCache>
            </c:strRef>
          </c:cat>
          <c:val>
            <c:numRef>
              <c:f>Profesionales!$D$12:$D$45</c:f>
              <c:numCache>
                <c:formatCode>General</c:formatCode>
                <c:ptCount val="34"/>
                <c:pt idx="0">
                  <c:v>1</c:v>
                </c:pt>
                <c:pt idx="1">
                  <c:v>25</c:v>
                </c:pt>
                <c:pt idx="2">
                  <c:v>57</c:v>
                </c:pt>
                <c:pt idx="3">
                  <c:v>127</c:v>
                </c:pt>
                <c:pt idx="4">
                  <c:v>138</c:v>
                </c:pt>
                <c:pt idx="5">
                  <c:v>149</c:v>
                </c:pt>
                <c:pt idx="6">
                  <c:v>116</c:v>
                </c:pt>
                <c:pt idx="7">
                  <c:v>56</c:v>
                </c:pt>
                <c:pt idx="8">
                  <c:v>100</c:v>
                </c:pt>
                <c:pt idx="9">
                  <c:v>55</c:v>
                </c:pt>
                <c:pt idx="10">
                  <c:v>34</c:v>
                </c:pt>
                <c:pt idx="11">
                  <c:v>93</c:v>
                </c:pt>
                <c:pt idx="12">
                  <c:v>54</c:v>
                </c:pt>
                <c:pt idx="13">
                  <c:v>71</c:v>
                </c:pt>
                <c:pt idx="14">
                  <c:v>15</c:v>
                </c:pt>
                <c:pt idx="15">
                  <c:v>6</c:v>
                </c:pt>
                <c:pt idx="16">
                  <c:v>14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1-4014-8110-F919E7AF4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00379264"/>
        <c:axId val="1200383008"/>
      </c:barChart>
      <c:lineChart>
        <c:grouping val="standard"/>
        <c:varyColors val="0"/>
        <c:ser>
          <c:idx val="1"/>
          <c:order val="1"/>
          <c:tx>
            <c:v>% acumulado</c:v>
          </c:tx>
          <c:cat>
            <c:strRef>
              <c:f>Profesionales!$C$12:$C$45</c:f>
              <c:strCache>
                <c:ptCount val="34"/>
                <c:pt idx="0">
                  <c:v>500000</c:v>
                </c:pt>
                <c:pt idx="1">
                  <c:v>848484,8485</c:v>
                </c:pt>
                <c:pt idx="2">
                  <c:v>1196969,697</c:v>
                </c:pt>
                <c:pt idx="3">
                  <c:v>1545454,545</c:v>
                </c:pt>
                <c:pt idx="4">
                  <c:v>1893939,394</c:v>
                </c:pt>
                <c:pt idx="5">
                  <c:v>2242424,242</c:v>
                </c:pt>
                <c:pt idx="6">
                  <c:v>2590909,091</c:v>
                </c:pt>
                <c:pt idx="7">
                  <c:v>2939393,939</c:v>
                </c:pt>
                <c:pt idx="8">
                  <c:v>3287878,788</c:v>
                </c:pt>
                <c:pt idx="9">
                  <c:v>3636363,636</c:v>
                </c:pt>
                <c:pt idx="10">
                  <c:v>3984848,485</c:v>
                </c:pt>
                <c:pt idx="11">
                  <c:v>4333333,333</c:v>
                </c:pt>
                <c:pt idx="12">
                  <c:v>4681818,182</c:v>
                </c:pt>
                <c:pt idx="13">
                  <c:v>5030303,03</c:v>
                </c:pt>
                <c:pt idx="14">
                  <c:v>5378787,879</c:v>
                </c:pt>
                <c:pt idx="15">
                  <c:v>5727272,727</c:v>
                </c:pt>
                <c:pt idx="16">
                  <c:v>6075757,576</c:v>
                </c:pt>
                <c:pt idx="17">
                  <c:v>6424242,424</c:v>
                </c:pt>
                <c:pt idx="18">
                  <c:v>6772727,273</c:v>
                </c:pt>
                <c:pt idx="19">
                  <c:v>7121212,121</c:v>
                </c:pt>
                <c:pt idx="20">
                  <c:v>7469696,97</c:v>
                </c:pt>
                <c:pt idx="21">
                  <c:v>7818181,818</c:v>
                </c:pt>
                <c:pt idx="22">
                  <c:v>8166666,667</c:v>
                </c:pt>
                <c:pt idx="23">
                  <c:v>8515151,515</c:v>
                </c:pt>
                <c:pt idx="24">
                  <c:v>8863636,364</c:v>
                </c:pt>
                <c:pt idx="25">
                  <c:v>9212121,212</c:v>
                </c:pt>
                <c:pt idx="26">
                  <c:v>9560606,061</c:v>
                </c:pt>
                <c:pt idx="27">
                  <c:v>9909090,909</c:v>
                </c:pt>
                <c:pt idx="28">
                  <c:v>10257575,76</c:v>
                </c:pt>
                <c:pt idx="29">
                  <c:v>10606060,61</c:v>
                </c:pt>
                <c:pt idx="30">
                  <c:v>10954545,45</c:v>
                </c:pt>
                <c:pt idx="31">
                  <c:v>11303030,3</c:v>
                </c:pt>
                <c:pt idx="32">
                  <c:v>11651515,15</c:v>
                </c:pt>
                <c:pt idx="33">
                  <c:v>y mayor...</c:v>
                </c:pt>
              </c:strCache>
            </c:strRef>
          </c:cat>
          <c:val>
            <c:numRef>
              <c:f>Profesionales!$E$12:$E$45</c:f>
              <c:numCache>
                <c:formatCode>0.00%</c:formatCode>
                <c:ptCount val="34"/>
                <c:pt idx="0">
                  <c:v>8.8339222614840988E-4</c:v>
                </c:pt>
                <c:pt idx="1">
                  <c:v>2.2968197879858657E-2</c:v>
                </c:pt>
                <c:pt idx="2">
                  <c:v>7.3321554770318015E-2</c:v>
                </c:pt>
                <c:pt idx="3">
                  <c:v>0.18551236749116609</c:v>
                </c:pt>
                <c:pt idx="4">
                  <c:v>0.30742049469964666</c:v>
                </c:pt>
                <c:pt idx="5">
                  <c:v>0.43904593639575973</c:v>
                </c:pt>
                <c:pt idx="6">
                  <c:v>0.54151943462897523</c:v>
                </c:pt>
                <c:pt idx="7">
                  <c:v>0.5909893992932862</c:v>
                </c:pt>
                <c:pt idx="8">
                  <c:v>0.67932862190812726</c:v>
                </c:pt>
                <c:pt idx="9">
                  <c:v>0.72791519434628971</c:v>
                </c:pt>
                <c:pt idx="10">
                  <c:v>0.75795053003533563</c:v>
                </c:pt>
                <c:pt idx="11">
                  <c:v>0.84010600706713778</c:v>
                </c:pt>
                <c:pt idx="12">
                  <c:v>0.88780918727915192</c:v>
                </c:pt>
                <c:pt idx="13">
                  <c:v>0.95053003533568903</c:v>
                </c:pt>
                <c:pt idx="14">
                  <c:v>0.96378091872791516</c:v>
                </c:pt>
                <c:pt idx="15">
                  <c:v>0.96908127208480566</c:v>
                </c:pt>
                <c:pt idx="16">
                  <c:v>0.98144876325088337</c:v>
                </c:pt>
                <c:pt idx="17">
                  <c:v>0.98586572438162545</c:v>
                </c:pt>
                <c:pt idx="18">
                  <c:v>0.99028268551236753</c:v>
                </c:pt>
                <c:pt idx="19">
                  <c:v>0.9946996466431095</c:v>
                </c:pt>
                <c:pt idx="20">
                  <c:v>0.9946996466431095</c:v>
                </c:pt>
                <c:pt idx="21">
                  <c:v>0.9946996466431095</c:v>
                </c:pt>
                <c:pt idx="22">
                  <c:v>0.99646643109540634</c:v>
                </c:pt>
                <c:pt idx="23">
                  <c:v>0.99646643109540634</c:v>
                </c:pt>
                <c:pt idx="24">
                  <c:v>0.99646643109540634</c:v>
                </c:pt>
                <c:pt idx="25">
                  <c:v>0.99734982332155475</c:v>
                </c:pt>
                <c:pt idx="26">
                  <c:v>0.99734982332155475</c:v>
                </c:pt>
                <c:pt idx="27">
                  <c:v>0.99734982332155475</c:v>
                </c:pt>
                <c:pt idx="28">
                  <c:v>0.99823321554770317</c:v>
                </c:pt>
                <c:pt idx="29">
                  <c:v>0.99911660777385158</c:v>
                </c:pt>
                <c:pt idx="30">
                  <c:v>0.99911660777385158</c:v>
                </c:pt>
                <c:pt idx="31">
                  <c:v>0.99911660777385158</c:v>
                </c:pt>
                <c:pt idx="32">
                  <c:v>0.99911660777385158</c:v>
                </c:pt>
                <c:pt idx="3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71-4014-8110-F919E7AF4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380512"/>
        <c:axId val="1200380928"/>
      </c:lineChart>
      <c:catAx>
        <c:axId val="120037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Clase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383008"/>
        <c:crosses val="autoZero"/>
        <c:auto val="1"/>
        <c:lblAlgn val="ctr"/>
        <c:lblOffset val="100"/>
        <c:noMultiLvlLbl val="0"/>
      </c:catAx>
      <c:valAx>
        <c:axId val="1200383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379264"/>
        <c:crosses val="autoZero"/>
        <c:crossBetween val="between"/>
      </c:valAx>
      <c:valAx>
        <c:axId val="12003809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00380512"/>
        <c:crosses val="max"/>
        <c:crossBetween val="between"/>
      </c:valAx>
      <c:catAx>
        <c:axId val="1200380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03809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691242</xdr:colOff>
      <xdr:row>3</xdr:row>
      <xdr:rowOff>152400</xdr:rowOff>
    </xdr:from>
    <xdr:to>
      <xdr:col>9</xdr:col>
      <xdr:colOff>461826</xdr:colOff>
      <xdr:row>4</xdr:row>
      <xdr:rowOff>164057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3">
              <a:extLst>
                <a:ext uri="{FF2B5EF4-FFF2-40B4-BE49-F238E27FC236}">
                  <a16:creationId xmlns:a16="http://schemas.microsoft.com/office/drawing/2014/main" id="{3A82F0CE-EBA7-4B86-9C62-08B4234B42BA}"/>
                </a:ext>
              </a:extLst>
            </xdr:cNvPr>
            <xdr:cNvSpPr txBox="1"/>
          </xdr:nvSpPr>
          <xdr:spPr>
            <a:xfrm>
              <a:off x="5121728" y="691243"/>
              <a:ext cx="2818584" cy="19127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Cantidad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intervalos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MX" sz="1000" i="1">
                            <a:latin typeface="Cambria Math" panose="02040503050406030204" pitchFamily="18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</m:ctrlPr>
                      </m:radPr>
                      <m:deg/>
                      <m:e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cantidad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datos</m:t>
                        </m:r>
                      </m:e>
                    </m:rad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3">
              <a:extLst>
                <a:ext uri="{FF2B5EF4-FFF2-40B4-BE49-F238E27FC236}">
                  <a16:creationId xmlns:a16="http://schemas.microsoft.com/office/drawing/2014/main" id="{3A82F0CE-EBA7-4B86-9C62-08B4234B42BA}"/>
                </a:ext>
              </a:extLst>
            </xdr:cNvPr>
            <xdr:cNvSpPr txBox="1"/>
          </xdr:nvSpPr>
          <xdr:spPr>
            <a:xfrm>
              <a:off x="5121728" y="691243"/>
              <a:ext cx="2818584" cy="19127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"Cantidad de intervalos=" √("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cantidad de datos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)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5</xdr:col>
      <xdr:colOff>598713</xdr:colOff>
      <xdr:row>6</xdr:row>
      <xdr:rowOff>27215</xdr:rowOff>
    </xdr:from>
    <xdr:to>
      <xdr:col>10</xdr:col>
      <xdr:colOff>501486</xdr:colOff>
      <xdr:row>7</xdr:row>
      <xdr:rowOff>156147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12">
              <a:extLst>
                <a:ext uri="{FF2B5EF4-FFF2-40B4-BE49-F238E27FC236}">
                  <a16:creationId xmlns:a16="http://schemas.microsoft.com/office/drawing/2014/main" id="{C2985C01-CD9E-4D5B-A23B-B4992D2D1A28}"/>
                </a:ext>
              </a:extLst>
            </xdr:cNvPr>
            <xdr:cNvSpPr txBox="1"/>
          </xdr:nvSpPr>
          <xdr:spPr>
            <a:xfrm>
              <a:off x="5029199" y="1104901"/>
              <a:ext cx="3712773" cy="30854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Amplitud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cada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intervalo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valor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á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ximo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valor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í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nimo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Cantidad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intervalos</m:t>
                        </m:r>
                      </m:den>
                    </m:f>
                  </m:oMath>
                </m:oMathPara>
              </a14:m>
              <a:endParaRPr lang="es-CO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4" name="CuadroTexto 12">
              <a:extLst>
                <a:ext uri="{FF2B5EF4-FFF2-40B4-BE49-F238E27FC236}">
                  <a16:creationId xmlns:a16="http://schemas.microsoft.com/office/drawing/2014/main" id="{C2985C01-CD9E-4D5B-A23B-B4992D2D1A28}"/>
                </a:ext>
              </a:extLst>
            </xdr:cNvPr>
            <xdr:cNvSpPr txBox="1"/>
          </xdr:nvSpPr>
          <xdr:spPr>
            <a:xfrm>
              <a:off x="5029199" y="1104901"/>
              <a:ext cx="3712773" cy="30854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"Amplitud de cada intervalo="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"valor máximo−valor mínimo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Cantidad de intervalos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7</xdr:col>
      <xdr:colOff>190501</xdr:colOff>
      <xdr:row>9</xdr:row>
      <xdr:rowOff>189138</xdr:rowOff>
    </xdr:from>
    <xdr:to>
      <xdr:col>11</xdr:col>
      <xdr:colOff>681717</xdr:colOff>
      <xdr:row>29</xdr:row>
      <xdr:rowOff>16327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A52D106-568C-4897-A93A-FCA3061F3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751114</xdr:colOff>
      <xdr:row>2</xdr:row>
      <xdr:rowOff>27214</xdr:rowOff>
    </xdr:from>
    <xdr:to>
      <xdr:col>12</xdr:col>
      <xdr:colOff>447675</xdr:colOff>
      <xdr:row>21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850093-7676-4EDA-80E7-EA0513781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333376</xdr:colOff>
      <xdr:row>31</xdr:row>
      <xdr:rowOff>101203</xdr:rowOff>
    </xdr:from>
    <xdr:to>
      <xdr:col>6</xdr:col>
      <xdr:colOff>466686</xdr:colOff>
      <xdr:row>33</xdr:row>
      <xdr:rowOff>165734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6">
              <a:extLst>
                <a:ext uri="{FF2B5EF4-FFF2-40B4-BE49-F238E27FC236}">
                  <a16:creationId xmlns:a16="http://schemas.microsoft.com/office/drawing/2014/main" id="{AB4FD352-BCDB-45A7-A4A0-EA17621E24F5}"/>
                </a:ext>
              </a:extLst>
            </xdr:cNvPr>
            <xdr:cNvSpPr txBox="1"/>
          </xdr:nvSpPr>
          <xdr:spPr>
            <a:xfrm>
              <a:off x="6125767" y="5685234"/>
              <a:ext cx="895310" cy="42171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s-CO" sz="1600"/>
            </a:p>
          </xdr:txBody>
        </xdr:sp>
      </mc:Choice>
      <mc:Fallback>
        <xdr:sp macro="" textlink="">
          <xdr:nvSpPr>
            <xdr:cNvPr id="2" name="CuadroTexto 6">
              <a:extLst>
                <a:ext uri="{FF2B5EF4-FFF2-40B4-BE49-F238E27FC236}">
                  <a16:creationId xmlns:a16="http://schemas.microsoft.com/office/drawing/2014/main" id="{AB4FD352-BCDB-45A7-A4A0-EA17621E24F5}"/>
                </a:ext>
              </a:extLst>
            </xdr:cNvPr>
            <xdr:cNvSpPr txBox="1"/>
          </xdr:nvSpPr>
          <xdr:spPr>
            <a:xfrm>
              <a:off x="6125767" y="5685234"/>
              <a:ext cx="895310" cy="42171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𝑧=(𝑥−</a:t>
              </a:r>
              <a:r>
                <a:rPr lang="es-MX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𝜇)/𝜎</a:t>
              </a:r>
              <a:endParaRPr lang="es-CO" sz="1600"/>
            </a:p>
          </xdr:txBody>
        </xdr:sp>
      </mc:Fallback>
    </mc:AlternateContent>
    <xdr:clientData/>
  </xdr:twoCellAnchor>
  <xdr:twoCellAnchor>
    <xdr:from>
      <xdr:col>5</xdr:col>
      <xdr:colOff>166687</xdr:colOff>
      <xdr:row>34</xdr:row>
      <xdr:rowOff>148827</xdr:rowOff>
    </xdr:from>
    <xdr:to>
      <xdr:col>6</xdr:col>
      <xdr:colOff>726280</xdr:colOff>
      <xdr:row>36</xdr:row>
      <xdr:rowOff>42093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6">
              <a:extLst>
                <a:ext uri="{FF2B5EF4-FFF2-40B4-BE49-F238E27FC236}">
                  <a16:creationId xmlns:a16="http://schemas.microsoft.com/office/drawing/2014/main" id="{A0F51663-1CF7-4BC4-920A-07F123BB352F}"/>
                </a:ext>
              </a:extLst>
            </xdr:cNvPr>
            <xdr:cNvSpPr txBox="1"/>
          </xdr:nvSpPr>
          <xdr:spPr>
            <a:xfrm>
              <a:off x="5959078" y="6268640"/>
              <a:ext cx="1321593" cy="25045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𝑧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es-CO" sz="1600"/>
            </a:p>
          </xdr:txBody>
        </xdr:sp>
      </mc:Choice>
      <mc:Fallback>
        <xdr:sp macro="" textlink="">
          <xdr:nvSpPr>
            <xdr:cNvPr id="3" name="CuadroTexto 6">
              <a:extLst>
                <a:ext uri="{FF2B5EF4-FFF2-40B4-BE49-F238E27FC236}">
                  <a16:creationId xmlns:a16="http://schemas.microsoft.com/office/drawing/2014/main" id="{A0F51663-1CF7-4BC4-920A-07F123BB352F}"/>
                </a:ext>
              </a:extLst>
            </xdr:cNvPr>
            <xdr:cNvSpPr txBox="1"/>
          </xdr:nvSpPr>
          <xdr:spPr>
            <a:xfrm>
              <a:off x="5959078" y="6268640"/>
              <a:ext cx="1321593" cy="25045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𝑥=</a:t>
              </a:r>
              <a:r>
                <a:rPr lang="es-MX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𝜇+𝑧𝜎</a:t>
              </a:r>
              <a:endParaRPr lang="es-CO" sz="1600"/>
            </a:p>
          </xdr:txBody>
        </xdr:sp>
      </mc:Fallback>
    </mc:AlternateContent>
    <xdr:clientData/>
  </xdr:twoCellAnchor>
  <xdr:twoCellAnchor>
    <xdr:from>
      <xdr:col>4</xdr:col>
      <xdr:colOff>255986</xdr:colOff>
      <xdr:row>54</xdr:row>
      <xdr:rowOff>11907</xdr:rowOff>
    </xdr:from>
    <xdr:to>
      <xdr:col>8</xdr:col>
      <xdr:colOff>130970</xdr:colOff>
      <xdr:row>55</xdr:row>
      <xdr:rowOff>169367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12">
              <a:extLst>
                <a:ext uri="{FF2B5EF4-FFF2-40B4-BE49-F238E27FC236}">
                  <a16:creationId xmlns:a16="http://schemas.microsoft.com/office/drawing/2014/main" id="{B90DAD71-7070-4A89-AA2E-6D2AF79E17E0}"/>
                </a:ext>
              </a:extLst>
            </xdr:cNvPr>
            <xdr:cNvSpPr txBox="1"/>
          </xdr:nvSpPr>
          <xdr:spPr>
            <a:xfrm>
              <a:off x="5286377" y="9727407"/>
              <a:ext cx="2922984" cy="336054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MX" sz="1050"/>
                <a:t>x = a +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s-MX" sz="105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𝑃</m:t>
                      </m:r>
                      <m:d>
                        <m:dPr>
                          <m:ctrlPr>
                            <a:rPr lang="es-MX" sz="105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s-MX" sz="1050" b="0" i="1">
                              <a:latin typeface="Cambria Math" panose="02040503050406030204" pitchFamily="18" charset="0"/>
                            </a:rPr>
                            <m:t>&lt;</m:t>
                          </m:r>
                          <m:r>
                            <a:rPr lang="es-MX" sz="105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</m:d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</m:rad>
                </m:oMath>
              </a14:m>
              <a:r>
                <a:rPr lang="es-CO" sz="1050"/>
                <a:t>, si </a:t>
              </a:r>
              <a14:m>
                <m:oMath xmlns:m="http://schemas.openxmlformats.org/officeDocument/2006/math">
                  <m:r>
                    <a:rPr lang="es-MX" sz="1050" b="0" i="1">
                      <a:latin typeface="Cambria Math" panose="02040503050406030204" pitchFamily="18" charset="0"/>
                    </a:rPr>
                    <m:t>𝑃</m:t>
                  </m:r>
                  <m:r>
                    <a:rPr lang="es-MX" sz="1050" b="0" i="1">
                      <a:latin typeface="Cambria Math" panose="02040503050406030204" pitchFamily="18" charset="0"/>
                    </a:rPr>
                    <m:t>(&lt;</m:t>
                  </m:r>
                  <m:r>
                    <a:rPr lang="es-MX" sz="105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s-MX" sz="1050" b="0" i="1">
                      <a:latin typeface="Cambria Math" panose="02040503050406030204" pitchFamily="18" charset="0"/>
                    </a:rPr>
                    <m:t>)≤</m:t>
                  </m:r>
                  <m:f>
                    <m:fPr>
                      <m:ctrlP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num>
                    <m:den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𝑐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den>
                  </m:f>
                </m:oMath>
              </a14:m>
              <a:endParaRPr lang="es-CO" sz="1050"/>
            </a:p>
          </xdr:txBody>
        </xdr:sp>
      </mc:Choice>
      <mc:Fallback>
        <xdr:sp macro="" textlink="">
          <xdr:nvSpPr>
            <xdr:cNvPr id="4" name="CuadroTexto 12">
              <a:extLst>
                <a:ext uri="{FF2B5EF4-FFF2-40B4-BE49-F238E27FC236}">
                  <a16:creationId xmlns:a16="http://schemas.microsoft.com/office/drawing/2014/main" id="{B90DAD71-7070-4A89-AA2E-6D2AF79E17E0}"/>
                </a:ext>
              </a:extLst>
            </xdr:cNvPr>
            <xdr:cNvSpPr txBox="1"/>
          </xdr:nvSpPr>
          <xdr:spPr>
            <a:xfrm>
              <a:off x="5286377" y="9727407"/>
              <a:ext cx="2922984" cy="336054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MX" sz="1050"/>
                <a:t>x = a + </a:t>
              </a:r>
              <a:r>
                <a:rPr lang="es-MX" sz="1050" i="0">
                  <a:latin typeface="Cambria Math" panose="02040503050406030204" pitchFamily="18" charset="0"/>
                </a:rPr>
                <a:t>√(</a:t>
              </a:r>
              <a:r>
                <a:rPr lang="es-MX" sz="1050" b="0" i="0">
                  <a:latin typeface="Cambria Math" panose="02040503050406030204" pitchFamily="18" charset="0"/>
                </a:rPr>
                <a:t>𝑃(&lt;𝑥)𝑏(𝑐−𝑎))</a:t>
              </a:r>
              <a:r>
                <a:rPr lang="es-CO" sz="1050"/>
                <a:t>, si </a:t>
              </a:r>
              <a:r>
                <a:rPr lang="es-MX" sz="1050" b="0" i="0">
                  <a:latin typeface="Cambria Math" panose="02040503050406030204" pitchFamily="18" charset="0"/>
                </a:rPr>
                <a:t>𝑃(&lt;𝑥)≤</a:t>
              </a:r>
              <a:r>
                <a:rPr lang="es-MX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(𝑏−𝑎)/(𝑐−𝑎)</a:t>
              </a:r>
              <a:endParaRPr lang="es-CO" sz="1050"/>
            </a:p>
          </xdr:txBody>
        </xdr:sp>
      </mc:Fallback>
    </mc:AlternateContent>
    <xdr:clientData/>
  </xdr:twoCellAnchor>
  <xdr:twoCellAnchor>
    <xdr:from>
      <xdr:col>4</xdr:col>
      <xdr:colOff>244078</xdr:colOff>
      <xdr:row>56</xdr:row>
      <xdr:rowOff>10681</xdr:rowOff>
    </xdr:from>
    <xdr:to>
      <xdr:col>9</xdr:col>
      <xdr:colOff>636984</xdr:colOff>
      <xdr:row>57</xdr:row>
      <xdr:rowOff>168142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13">
              <a:extLst>
                <a:ext uri="{FF2B5EF4-FFF2-40B4-BE49-F238E27FC236}">
                  <a16:creationId xmlns:a16="http://schemas.microsoft.com/office/drawing/2014/main" id="{19471BEB-30F5-48EC-9F1E-46BD46122B63}"/>
                </a:ext>
              </a:extLst>
            </xdr:cNvPr>
            <xdr:cNvSpPr txBox="1"/>
          </xdr:nvSpPr>
          <xdr:spPr>
            <a:xfrm>
              <a:off x="5274469" y="10083369"/>
              <a:ext cx="4202906" cy="336054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MX" sz="1050"/>
                <a:t>x = c +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s-MX" sz="105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s-MX" sz="1050" b="0" i="1">
                          <a:latin typeface="Cambria Math" panose="02040503050406030204" pitchFamily="18" charset="0"/>
                        </a:rPr>
                        <m:t>[1−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𝑃</m:t>
                      </m:r>
                      <m:d>
                        <m:dPr>
                          <m:ctrlPr>
                            <a:rPr lang="es-MX" sz="105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s-MX" sz="1050" b="0" i="1">
                              <a:latin typeface="Cambria Math" panose="02040503050406030204" pitchFamily="18" charset="0"/>
                            </a:rPr>
                            <m:t>&lt;</m:t>
                          </m:r>
                          <m:r>
                            <a:rPr lang="es-MX" sz="105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</m:d>
                      <m:r>
                        <a:rPr lang="es-MX" sz="1050" b="0" i="1">
                          <a:latin typeface="Cambria Math" panose="02040503050406030204" pitchFamily="18" charset="0"/>
                        </a:rPr>
                        <m:t>](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)(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105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</m:rad>
                </m:oMath>
              </a14:m>
              <a:r>
                <a:rPr lang="es-CO" sz="1050"/>
                <a:t>, si </a:t>
              </a:r>
              <a14:m>
                <m:oMath xmlns:m="http://schemas.openxmlformats.org/officeDocument/2006/math">
                  <m:r>
                    <a:rPr lang="es-MX" sz="1050" b="0" i="1">
                      <a:latin typeface="Cambria Math" panose="02040503050406030204" pitchFamily="18" charset="0"/>
                    </a:rPr>
                    <m:t>𝑃</m:t>
                  </m:r>
                  <m:r>
                    <a:rPr lang="es-MX" sz="1050" b="0" i="1">
                      <a:latin typeface="Cambria Math" panose="02040503050406030204" pitchFamily="18" charset="0"/>
                    </a:rPr>
                    <m:t>(&lt;</m:t>
                  </m:r>
                  <m:r>
                    <a:rPr lang="es-MX" sz="105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s-MX" sz="1050" b="0" i="1">
                      <a:latin typeface="Cambria Math" panose="02040503050406030204" pitchFamily="18" charset="0"/>
                    </a:rPr>
                    <m:t>)&gt;</m:t>
                  </m:r>
                  <m:f>
                    <m:fPr>
                      <m:ctrlP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num>
                    <m:den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𝑐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05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den>
                  </m:f>
                </m:oMath>
              </a14:m>
              <a:endParaRPr lang="es-CO" sz="1050"/>
            </a:p>
          </xdr:txBody>
        </xdr:sp>
      </mc:Choice>
      <mc:Fallback>
        <xdr:sp macro="" textlink="">
          <xdr:nvSpPr>
            <xdr:cNvPr id="5" name="CuadroTexto 13">
              <a:extLst>
                <a:ext uri="{FF2B5EF4-FFF2-40B4-BE49-F238E27FC236}">
                  <a16:creationId xmlns:a16="http://schemas.microsoft.com/office/drawing/2014/main" id="{19471BEB-30F5-48EC-9F1E-46BD46122B63}"/>
                </a:ext>
              </a:extLst>
            </xdr:cNvPr>
            <xdr:cNvSpPr txBox="1"/>
          </xdr:nvSpPr>
          <xdr:spPr>
            <a:xfrm>
              <a:off x="5274469" y="10083369"/>
              <a:ext cx="4202906" cy="336054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MX" sz="1050"/>
                <a:t>x = c + </a:t>
              </a:r>
              <a:r>
                <a:rPr lang="es-MX" sz="1050" i="0">
                  <a:latin typeface="Cambria Math" panose="02040503050406030204" pitchFamily="18" charset="0"/>
                </a:rPr>
                <a:t>√(</a:t>
              </a:r>
              <a:r>
                <a:rPr lang="es-MX" sz="1050" b="0" i="0">
                  <a:latin typeface="Cambria Math" panose="02040503050406030204" pitchFamily="18" charset="0"/>
                </a:rPr>
                <a:t>[1−𝑃(&lt;𝑥)](𝑏−𝑎)(𝑐−𝑎))</a:t>
              </a:r>
              <a:r>
                <a:rPr lang="es-CO" sz="1050"/>
                <a:t>, si </a:t>
              </a:r>
              <a:r>
                <a:rPr lang="es-MX" sz="1050" b="0" i="0">
                  <a:latin typeface="Cambria Math" panose="02040503050406030204" pitchFamily="18" charset="0"/>
                </a:rPr>
                <a:t>𝑃(&lt;𝑥)&gt;</a:t>
              </a:r>
              <a:r>
                <a:rPr lang="es-MX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(𝑏−𝑎)/(𝑐−𝑎)</a:t>
              </a:r>
              <a:endParaRPr lang="es-CO" sz="1050"/>
            </a:p>
          </xdr:txBody>
        </xdr:sp>
      </mc:Fallback>
    </mc:AlternateContent>
    <xdr:clientData/>
  </xdr:twoCellAnchor>
  <xdr:twoCellAnchor>
    <xdr:from>
      <xdr:col>3</xdr:col>
      <xdr:colOff>279797</xdr:colOff>
      <xdr:row>71</xdr:row>
      <xdr:rowOff>71438</xdr:rowOff>
    </xdr:from>
    <xdr:to>
      <xdr:col>6</xdr:col>
      <xdr:colOff>250031</xdr:colOff>
      <xdr:row>73</xdr:row>
      <xdr:rowOff>27284</xdr:rowOff>
    </xdr:to>
    <xdr:sp macro="" textlink="">
      <xdr:nvSpPr>
        <xdr:cNvPr id="7" name="Marcador de contenido 2">
          <a:extLst>
            <a:ext uri="{FF2B5EF4-FFF2-40B4-BE49-F238E27FC236}">
              <a16:creationId xmlns:a16="http://schemas.microsoft.com/office/drawing/2014/main" id="{03685670-458D-4510-80F6-0E6B0FB9F4B9}"/>
            </a:ext>
          </a:extLst>
        </xdr:cNvPr>
        <xdr:cNvSpPr>
          <a:spLocks noGrp="1"/>
        </xdr:cNvSpPr>
      </xdr:nvSpPr>
      <xdr:spPr>
        <a:xfrm>
          <a:off x="4089797" y="12846844"/>
          <a:ext cx="2714625" cy="313034"/>
        </a:xfrm>
        <a:prstGeom prst="rect">
          <a:avLst/>
        </a:prstGeom>
      </xdr:spPr>
      <xdr:txBody>
        <a:bodyPr vert="horz" wrap="square" lIns="91440" tIns="45720" rIns="91440" bIns="45720" rtlCol="0">
          <a:spAutoFit/>
        </a:bodyPr>
        <a:lstStyle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just">
            <a:lnSpc>
              <a:spcPct val="150000"/>
            </a:lnSpc>
            <a:buNone/>
          </a:pPr>
          <a:r>
            <a:rPr lang="es-CO" sz="105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x = mínimo + P(&lt;x)(máximo – mínimo)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E188-3312-4350-89B9-B8A115C867B8}">
  <dimension ref="A1:I81"/>
  <sheetViews>
    <sheetView showGridLines="0" zoomScale="175" zoomScaleNormal="175" workbookViewId="0"/>
  </sheetViews>
  <sheetFormatPr baseColWidth="10" defaultRowHeight="14.25" x14ac:dyDescent="0.2"/>
  <cols>
    <col min="1" max="1" width="13.140625" style="2" bestFit="1" customWidth="1"/>
    <col min="2" max="2" width="11.42578125" style="2"/>
    <col min="3" max="3" width="26.28515625" style="2" customWidth="1"/>
    <col min="4" max="4" width="22.85546875" style="2" customWidth="1"/>
    <col min="5" max="16384" width="11.42578125" style="2"/>
  </cols>
  <sheetData>
    <row r="1" spans="1:5" x14ac:dyDescent="0.2">
      <c r="A1" s="1" t="s">
        <v>0</v>
      </c>
    </row>
    <row r="2" spans="1:5" x14ac:dyDescent="0.2">
      <c r="A2" s="3">
        <v>4312000</v>
      </c>
      <c r="C2" s="2" t="s">
        <v>5</v>
      </c>
      <c r="D2" s="11">
        <f>+COUNT(A2:A81)</f>
        <v>80</v>
      </c>
      <c r="E2" s="2" t="s">
        <v>6</v>
      </c>
    </row>
    <row r="3" spans="1:5" x14ac:dyDescent="0.2">
      <c r="A3" s="3">
        <v>4250000</v>
      </c>
      <c r="C3" s="2" t="s">
        <v>12</v>
      </c>
      <c r="D3" s="10">
        <f>SQRT(D2)</f>
        <v>8.9442719099991592</v>
      </c>
      <c r="E3" s="2" t="s">
        <v>13</v>
      </c>
    </row>
    <row r="4" spans="1:5" x14ac:dyDescent="0.2">
      <c r="A4" s="3">
        <v>3197319</v>
      </c>
      <c r="C4" s="2" t="s">
        <v>12</v>
      </c>
      <c r="D4" s="11">
        <f>INT(D3)</f>
        <v>8</v>
      </c>
      <c r="E4" s="2" t="s">
        <v>14</v>
      </c>
    </row>
    <row r="5" spans="1:5" x14ac:dyDescent="0.2">
      <c r="A5" s="3">
        <v>3080000</v>
      </c>
    </row>
    <row r="6" spans="1:5" x14ac:dyDescent="0.2">
      <c r="A6" s="3">
        <v>1000000</v>
      </c>
      <c r="C6" s="2" t="s">
        <v>8</v>
      </c>
      <c r="D6" s="3">
        <f>MAX(A2:A81)</f>
        <v>7500000</v>
      </c>
      <c r="E6" s="2" t="s">
        <v>10</v>
      </c>
    </row>
    <row r="7" spans="1:5" x14ac:dyDescent="0.2">
      <c r="A7" s="3">
        <v>2300000</v>
      </c>
      <c r="C7" s="2" t="s">
        <v>9</v>
      </c>
      <c r="D7" s="3">
        <f>MIN(A2:A81)</f>
        <v>900000</v>
      </c>
      <c r="E7" s="2" t="s">
        <v>11</v>
      </c>
    </row>
    <row r="8" spans="1:5" x14ac:dyDescent="0.2">
      <c r="A8" s="3">
        <v>4066000</v>
      </c>
    </row>
    <row r="9" spans="1:5" x14ac:dyDescent="0.2">
      <c r="A9" s="3">
        <v>6085454</v>
      </c>
      <c r="C9" s="2" t="s">
        <v>7</v>
      </c>
      <c r="D9" s="3">
        <f>(D6-D7)/D4</f>
        <v>825000</v>
      </c>
      <c r="E9" s="2" t="s">
        <v>15</v>
      </c>
    </row>
    <row r="10" spans="1:5" ht="15" thickBot="1" x14ac:dyDescent="0.25">
      <c r="A10" s="3">
        <v>6085454</v>
      </c>
    </row>
    <row r="11" spans="1:5" ht="15" x14ac:dyDescent="0.2">
      <c r="A11" s="3">
        <v>6085454</v>
      </c>
      <c r="C11" s="12" t="s">
        <v>1</v>
      </c>
      <c r="D11" s="12" t="s">
        <v>3</v>
      </c>
      <c r="E11" s="12" t="s">
        <v>4</v>
      </c>
    </row>
    <row r="12" spans="1:5" ht="15" x14ac:dyDescent="0.2">
      <c r="A12" s="3">
        <v>6085454</v>
      </c>
      <c r="C12" s="13">
        <v>900000</v>
      </c>
      <c r="D12" s="13">
        <v>1</v>
      </c>
      <c r="E12" s="15">
        <v>1.2500000000000001E-2</v>
      </c>
    </row>
    <row r="13" spans="1:5" ht="15" x14ac:dyDescent="0.2">
      <c r="A13" s="3">
        <v>6085454</v>
      </c>
      <c r="C13" s="13">
        <v>1725000</v>
      </c>
      <c r="D13" s="13">
        <v>4</v>
      </c>
      <c r="E13" s="15">
        <v>6.25E-2</v>
      </c>
    </row>
    <row r="14" spans="1:5" ht="15" x14ac:dyDescent="0.2">
      <c r="A14" s="3">
        <v>6085454</v>
      </c>
      <c r="C14" s="13">
        <v>2550000</v>
      </c>
      <c r="D14" s="13">
        <v>2</v>
      </c>
      <c r="E14" s="15">
        <v>8.7499999999999994E-2</v>
      </c>
    </row>
    <row r="15" spans="1:5" ht="15" x14ac:dyDescent="0.2">
      <c r="A15" s="3">
        <v>6085454</v>
      </c>
      <c r="C15" s="13">
        <v>3375000</v>
      </c>
      <c r="D15" s="13">
        <v>12</v>
      </c>
      <c r="E15" s="15">
        <v>0.23749999999999999</v>
      </c>
    </row>
    <row r="16" spans="1:5" ht="15" x14ac:dyDescent="0.2">
      <c r="A16" s="3">
        <v>6085454</v>
      </c>
      <c r="C16" s="13">
        <v>4200000</v>
      </c>
      <c r="D16" s="13">
        <v>7</v>
      </c>
      <c r="E16" s="15">
        <v>0.32500000000000001</v>
      </c>
    </row>
    <row r="17" spans="1:9" ht="15" x14ac:dyDescent="0.2">
      <c r="A17" s="3">
        <v>6085454</v>
      </c>
      <c r="C17" s="13">
        <v>5025000</v>
      </c>
      <c r="D17" s="13">
        <v>12</v>
      </c>
      <c r="E17" s="15">
        <v>0.47499999999999998</v>
      </c>
    </row>
    <row r="18" spans="1:9" ht="15" x14ac:dyDescent="0.2">
      <c r="A18" s="3">
        <v>3729631</v>
      </c>
      <c r="C18" s="13">
        <v>5850000</v>
      </c>
      <c r="D18" s="13">
        <v>20</v>
      </c>
      <c r="E18" s="15">
        <v>0.72499999999999998</v>
      </c>
    </row>
    <row r="19" spans="1:9" ht="15" x14ac:dyDescent="0.2">
      <c r="A19" s="3">
        <v>1000000</v>
      </c>
      <c r="C19" s="13">
        <v>6675000</v>
      </c>
      <c r="D19" s="13">
        <v>19</v>
      </c>
      <c r="E19" s="15">
        <v>0.96250000000000002</v>
      </c>
    </row>
    <row r="20" spans="1:9" ht="15.75" thickBot="1" x14ac:dyDescent="0.25">
      <c r="A20" s="3">
        <v>3500000</v>
      </c>
      <c r="C20" s="14" t="s">
        <v>2</v>
      </c>
      <c r="D20" s="14">
        <v>3</v>
      </c>
      <c r="E20" s="16">
        <v>1</v>
      </c>
    </row>
    <row r="21" spans="1:9" ht="15" x14ac:dyDescent="0.2">
      <c r="A21" s="3">
        <v>2800000</v>
      </c>
      <c r="C21" s="13"/>
      <c r="D21" s="13"/>
      <c r="E21" s="15"/>
      <c r="G21" s="13"/>
      <c r="H21" s="13"/>
      <c r="I21" s="15"/>
    </row>
    <row r="22" spans="1:9" x14ac:dyDescent="0.2">
      <c r="A22" s="3">
        <v>3000000</v>
      </c>
      <c r="C22" s="2" t="s">
        <v>37</v>
      </c>
      <c r="D22" s="11">
        <f>+COUNTIF(A2:A81,"=6300000")</f>
        <v>5</v>
      </c>
      <c r="E22" s="2" t="s">
        <v>47</v>
      </c>
    </row>
    <row r="23" spans="1:9" x14ac:dyDescent="0.2">
      <c r="A23" s="3">
        <v>3000000</v>
      </c>
      <c r="C23" s="2" t="s">
        <v>38</v>
      </c>
      <c r="D23" s="18">
        <f>+D22/D2</f>
        <v>6.25E-2</v>
      </c>
      <c r="E23" s="2" t="s">
        <v>48</v>
      </c>
    </row>
    <row r="24" spans="1:9" x14ac:dyDescent="0.2">
      <c r="A24" s="3">
        <v>3696000</v>
      </c>
      <c r="C24" s="2" t="s">
        <v>39</v>
      </c>
      <c r="D24" s="11">
        <f>+COUNTIF(A2:A81,"&lt;=6300000")</f>
        <v>75</v>
      </c>
      <c r="E24" s="2" t="s">
        <v>50</v>
      </c>
    </row>
    <row r="25" spans="1:9" x14ac:dyDescent="0.2">
      <c r="A25" s="3">
        <v>4312000</v>
      </c>
      <c r="C25" s="2" t="s">
        <v>40</v>
      </c>
      <c r="D25" s="18">
        <f>+D24/D2</f>
        <v>0.9375</v>
      </c>
      <c r="E25" s="2" t="s">
        <v>49</v>
      </c>
    </row>
    <row r="26" spans="1:9" x14ac:dyDescent="0.2">
      <c r="A26" s="3">
        <v>4928000</v>
      </c>
      <c r="D26" s="18"/>
    </row>
    <row r="27" spans="1:9" x14ac:dyDescent="0.2">
      <c r="A27" s="3">
        <v>3351720</v>
      </c>
      <c r="C27" s="2" t="s">
        <v>41</v>
      </c>
      <c r="D27" s="11">
        <f>+COUNTIF(A2:A81,"=4000000")</f>
        <v>2</v>
      </c>
    </row>
    <row r="28" spans="1:9" x14ac:dyDescent="0.2">
      <c r="A28" s="3">
        <v>5000000</v>
      </c>
      <c r="C28" s="2" t="s">
        <v>42</v>
      </c>
      <c r="D28" s="18">
        <f>+D27/D2</f>
        <v>2.5000000000000001E-2</v>
      </c>
      <c r="E28" s="2" t="s">
        <v>45</v>
      </c>
    </row>
    <row r="29" spans="1:9" ht="15" x14ac:dyDescent="0.2">
      <c r="A29" s="3">
        <v>7000000</v>
      </c>
      <c r="C29" s="2" t="s">
        <v>43</v>
      </c>
      <c r="D29" s="11">
        <f>+COUNTIF(A2:A81,"&lt;=4000000")</f>
        <v>25</v>
      </c>
      <c r="E29" s="15"/>
    </row>
    <row r="30" spans="1:9" x14ac:dyDescent="0.2">
      <c r="A30" s="3">
        <v>5500000</v>
      </c>
      <c r="C30" s="2" t="s">
        <v>44</v>
      </c>
      <c r="D30" s="18">
        <f>+D29/D2</f>
        <v>0.3125</v>
      </c>
      <c r="E30" s="2" t="s">
        <v>46</v>
      </c>
    </row>
    <row r="31" spans="1:9" x14ac:dyDescent="0.2">
      <c r="A31" s="3">
        <v>5500000</v>
      </c>
    </row>
    <row r="32" spans="1:9" x14ac:dyDescent="0.2">
      <c r="A32" s="3">
        <v>4000000</v>
      </c>
      <c r="C32" s="2" t="s">
        <v>16</v>
      </c>
      <c r="D32" s="3">
        <f>AVERAGE(A2:A81)</f>
        <v>4731496.2750000004</v>
      </c>
      <c r="E32" s="2" t="s">
        <v>19</v>
      </c>
    </row>
    <row r="33" spans="1:5" x14ac:dyDescent="0.2">
      <c r="A33" s="3">
        <v>2700000</v>
      </c>
      <c r="C33" s="2" t="s">
        <v>17</v>
      </c>
      <c r="D33" s="3">
        <f>MEDIAN(A2:A81)</f>
        <v>5500000</v>
      </c>
      <c r="E33" s="2" t="s">
        <v>20</v>
      </c>
    </row>
    <row r="34" spans="1:5" x14ac:dyDescent="0.2">
      <c r="A34" s="3">
        <v>2396000</v>
      </c>
      <c r="C34" s="2" t="s">
        <v>18</v>
      </c>
      <c r="D34" s="3">
        <f>MODE(A2:A81)</f>
        <v>6085454</v>
      </c>
      <c r="E34" s="2" t="s">
        <v>21</v>
      </c>
    </row>
    <row r="35" spans="1:5" x14ac:dyDescent="0.2">
      <c r="A35" s="3">
        <v>1378910</v>
      </c>
      <c r="D35" s="3"/>
    </row>
    <row r="36" spans="1:5" x14ac:dyDescent="0.2">
      <c r="A36" s="3">
        <v>4224000</v>
      </c>
      <c r="C36" s="9" t="s">
        <v>22</v>
      </c>
      <c r="D36" s="9" t="s">
        <v>23</v>
      </c>
    </row>
    <row r="37" spans="1:5" x14ac:dyDescent="0.2">
      <c r="A37" s="3">
        <v>3000000</v>
      </c>
      <c r="C37" s="17">
        <v>0.01</v>
      </c>
      <c r="D37" s="3">
        <f>PERCENTILE($A$2:$A$81,C37)</f>
        <v>922120</v>
      </c>
      <c r="E37" s="2" t="s">
        <v>35</v>
      </c>
    </row>
    <row r="38" spans="1:5" x14ac:dyDescent="0.2">
      <c r="A38" s="3">
        <v>5934172</v>
      </c>
      <c r="C38" s="17">
        <v>0.1</v>
      </c>
      <c r="D38" s="3">
        <f t="shared" ref="D38:D44" si="0">PERCENTILE($A$2:$A$81,C38)</f>
        <v>2790000</v>
      </c>
    </row>
    <row r="39" spans="1:5" x14ac:dyDescent="0.2">
      <c r="A39" s="3">
        <v>4000000</v>
      </c>
      <c r="C39" s="17">
        <v>0.2</v>
      </c>
      <c r="D39" s="3">
        <f t="shared" si="0"/>
        <v>3080000</v>
      </c>
    </row>
    <row r="40" spans="1:5" x14ac:dyDescent="0.2">
      <c r="A40" s="3">
        <v>5531839</v>
      </c>
      <c r="C40" s="17">
        <v>0.25</v>
      </c>
      <c r="D40" s="3">
        <f t="shared" si="0"/>
        <v>3635518.25</v>
      </c>
    </row>
    <row r="41" spans="1:5" x14ac:dyDescent="0.2">
      <c r="A41" s="3">
        <v>5531839</v>
      </c>
      <c r="C41" s="17">
        <v>0.5</v>
      </c>
      <c r="D41" s="3">
        <f t="shared" si="0"/>
        <v>5500000</v>
      </c>
      <c r="E41" s="2" t="s">
        <v>17</v>
      </c>
    </row>
    <row r="42" spans="1:5" x14ac:dyDescent="0.2">
      <c r="A42" s="3">
        <v>5531839</v>
      </c>
      <c r="C42" s="17">
        <v>0.75</v>
      </c>
      <c r="D42" s="3">
        <f t="shared" si="0"/>
        <v>5989025</v>
      </c>
    </row>
    <row r="43" spans="1:5" x14ac:dyDescent="0.2">
      <c r="A43" s="3">
        <v>5531839</v>
      </c>
      <c r="C43" s="17">
        <v>0.9</v>
      </c>
      <c r="D43" s="3">
        <f t="shared" si="0"/>
        <v>6300000</v>
      </c>
    </row>
    <row r="44" spans="1:5" x14ac:dyDescent="0.2">
      <c r="A44" s="3">
        <v>5531839</v>
      </c>
      <c r="C44" s="17">
        <v>0.95</v>
      </c>
      <c r="D44" s="3">
        <f t="shared" si="0"/>
        <v>6500000</v>
      </c>
      <c r="E44" s="2" t="s">
        <v>36</v>
      </c>
    </row>
    <row r="45" spans="1:5" x14ac:dyDescent="0.2">
      <c r="A45" s="3">
        <v>5531839</v>
      </c>
    </row>
    <row r="46" spans="1:5" x14ac:dyDescent="0.2">
      <c r="A46" s="3">
        <v>5531839</v>
      </c>
      <c r="C46" s="2" t="s">
        <v>24</v>
      </c>
      <c r="D46" s="3">
        <f>VAR(A2:A81)</f>
        <v>2477328885471.2153</v>
      </c>
      <c r="E46" s="2" t="s">
        <v>27</v>
      </c>
    </row>
    <row r="47" spans="1:5" x14ac:dyDescent="0.2">
      <c r="A47" s="3">
        <v>5846047</v>
      </c>
      <c r="C47" s="2" t="s">
        <v>25</v>
      </c>
      <c r="D47" s="3">
        <f>STDEV(A2:A81)</f>
        <v>1573953.2666096587</v>
      </c>
      <c r="E47" s="2" t="s">
        <v>28</v>
      </c>
    </row>
    <row r="48" spans="1:5" x14ac:dyDescent="0.2">
      <c r="A48" s="3">
        <v>5846047</v>
      </c>
      <c r="C48" s="2" t="s">
        <v>26</v>
      </c>
      <c r="D48" s="18">
        <f>D47/D32</f>
        <v>0.33265444483725365</v>
      </c>
      <c r="E48" s="2" t="s">
        <v>29</v>
      </c>
    </row>
    <row r="49" spans="1:5" x14ac:dyDescent="0.2">
      <c r="A49" s="3">
        <v>5500000</v>
      </c>
      <c r="C49" s="2" t="s">
        <v>30</v>
      </c>
      <c r="D49" s="10">
        <f>SKEW(A2:A81)</f>
        <v>-0.75132716523708187</v>
      </c>
      <c r="E49" s="2" t="s">
        <v>32</v>
      </c>
    </row>
    <row r="50" spans="1:5" x14ac:dyDescent="0.2">
      <c r="A50" s="3">
        <v>7500000</v>
      </c>
      <c r="C50" s="2" t="s">
        <v>31</v>
      </c>
      <c r="D50" s="10">
        <f>KURT(A2:A81)</f>
        <v>-0.12072135780557369</v>
      </c>
      <c r="E50" s="2" t="s">
        <v>33</v>
      </c>
    </row>
    <row r="51" spans="1:5" x14ac:dyDescent="0.2">
      <c r="A51" s="3">
        <v>7350000</v>
      </c>
    </row>
    <row r="52" spans="1:5" x14ac:dyDescent="0.2">
      <c r="A52" s="3">
        <v>3000000</v>
      </c>
    </row>
    <row r="53" spans="1:5" x14ac:dyDescent="0.2">
      <c r="A53" s="3">
        <v>4400000</v>
      </c>
    </row>
    <row r="54" spans="1:5" ht="15" thickBot="1" x14ac:dyDescent="0.25">
      <c r="A54" s="3">
        <v>3680691</v>
      </c>
    </row>
    <row r="55" spans="1:5" ht="15" x14ac:dyDescent="0.25">
      <c r="A55" s="3">
        <v>5544000</v>
      </c>
      <c r="C55" s="20" t="s">
        <v>0</v>
      </c>
      <c r="D55" s="20"/>
    </row>
    <row r="56" spans="1:5" ht="15" x14ac:dyDescent="0.25">
      <c r="A56" s="3">
        <v>4928000</v>
      </c>
      <c r="C56" s="4"/>
      <c r="D56" s="4"/>
    </row>
    <row r="57" spans="1:5" ht="15" x14ac:dyDescent="0.25">
      <c r="A57" s="3">
        <v>928000</v>
      </c>
      <c r="C57" s="4" t="s">
        <v>59</v>
      </c>
      <c r="D57" s="4">
        <v>4731496.2750000004</v>
      </c>
    </row>
    <row r="58" spans="1:5" ht="15" x14ac:dyDescent="0.25">
      <c r="A58" s="3">
        <v>4928000</v>
      </c>
      <c r="C58" s="4" t="s">
        <v>60</v>
      </c>
      <c r="D58" s="4">
        <v>175973.32487735234</v>
      </c>
    </row>
    <row r="59" spans="1:5" ht="15" x14ac:dyDescent="0.25">
      <c r="A59" s="3">
        <v>5544000</v>
      </c>
      <c r="C59" s="4" t="s">
        <v>17</v>
      </c>
      <c r="D59" s="4">
        <v>5500000</v>
      </c>
    </row>
    <row r="60" spans="1:5" ht="15" x14ac:dyDescent="0.25">
      <c r="A60" s="3">
        <v>4928000</v>
      </c>
      <c r="C60" s="4" t="s">
        <v>18</v>
      </c>
      <c r="D60" s="4">
        <v>6085454</v>
      </c>
    </row>
    <row r="61" spans="1:5" ht="15" x14ac:dyDescent="0.25">
      <c r="A61" s="3">
        <v>5544000</v>
      </c>
      <c r="C61" s="4" t="s">
        <v>25</v>
      </c>
      <c r="D61" s="4">
        <v>1573953.2666096587</v>
      </c>
    </row>
    <row r="62" spans="1:5" ht="15" x14ac:dyDescent="0.25">
      <c r="A62" s="3">
        <v>6500000</v>
      </c>
      <c r="C62" s="4" t="s">
        <v>61</v>
      </c>
      <c r="D62" s="4">
        <v>2477328885471.2153</v>
      </c>
    </row>
    <row r="63" spans="1:5" ht="15" x14ac:dyDescent="0.25">
      <c r="A63" s="3">
        <v>3080000</v>
      </c>
      <c r="C63" s="4" t="s">
        <v>31</v>
      </c>
      <c r="D63" s="4">
        <v>-0.12072135780557369</v>
      </c>
    </row>
    <row r="64" spans="1:5" ht="15" x14ac:dyDescent="0.25">
      <c r="A64" s="3">
        <v>3080000</v>
      </c>
      <c r="C64" s="4" t="s">
        <v>62</v>
      </c>
      <c r="D64" s="4">
        <v>-0.75132716523708187</v>
      </c>
    </row>
    <row r="65" spans="1:4" ht="15" x14ac:dyDescent="0.25">
      <c r="A65" s="3">
        <v>3080000</v>
      </c>
      <c r="C65" s="4" t="s">
        <v>63</v>
      </c>
      <c r="D65" s="4">
        <v>6600000</v>
      </c>
    </row>
    <row r="66" spans="1:4" ht="15" x14ac:dyDescent="0.25">
      <c r="A66" s="3">
        <v>4312000</v>
      </c>
      <c r="C66" s="4" t="s">
        <v>64</v>
      </c>
      <c r="D66" s="4">
        <v>900000</v>
      </c>
    </row>
    <row r="67" spans="1:4" ht="15" x14ac:dyDescent="0.25">
      <c r="A67" s="3">
        <v>5544000</v>
      </c>
      <c r="C67" s="4" t="s">
        <v>65</v>
      </c>
      <c r="D67" s="4">
        <v>7500000</v>
      </c>
    </row>
    <row r="68" spans="1:4" ht="15" x14ac:dyDescent="0.25">
      <c r="A68" s="3">
        <v>6300000</v>
      </c>
      <c r="C68" s="4" t="s">
        <v>66</v>
      </c>
      <c r="D68" s="4">
        <v>378519702</v>
      </c>
    </row>
    <row r="69" spans="1:4" ht="15" x14ac:dyDescent="0.25">
      <c r="A69" s="3">
        <v>6300000</v>
      </c>
      <c r="C69" s="4" t="s">
        <v>67</v>
      </c>
      <c r="D69" s="4">
        <v>80</v>
      </c>
    </row>
    <row r="70" spans="1:4" ht="15" x14ac:dyDescent="0.25">
      <c r="A70" s="3">
        <v>6500000</v>
      </c>
      <c r="C70" s="4" t="s">
        <v>68</v>
      </c>
      <c r="D70" s="4">
        <v>6085454</v>
      </c>
    </row>
    <row r="71" spans="1:4" ht="15.75" thickBot="1" x14ac:dyDescent="0.3">
      <c r="A71" s="3">
        <v>6300000</v>
      </c>
      <c r="C71" s="6" t="s">
        <v>69</v>
      </c>
      <c r="D71" s="6">
        <v>5544000</v>
      </c>
    </row>
    <row r="72" spans="1:4" x14ac:dyDescent="0.2">
      <c r="A72" s="3">
        <v>6300000</v>
      </c>
    </row>
    <row r="73" spans="1:4" x14ac:dyDescent="0.2">
      <c r="A73" s="3">
        <v>6300000</v>
      </c>
    </row>
    <row r="74" spans="1:4" x14ac:dyDescent="0.2">
      <c r="A74" s="3">
        <v>5956882</v>
      </c>
    </row>
    <row r="75" spans="1:4" x14ac:dyDescent="0.2">
      <c r="A75" s="3">
        <v>4690870</v>
      </c>
    </row>
    <row r="76" spans="1:4" x14ac:dyDescent="0.2">
      <c r="A76" s="3">
        <v>6085454</v>
      </c>
    </row>
    <row r="77" spans="1:4" x14ac:dyDescent="0.2">
      <c r="A77" s="3">
        <v>5544000</v>
      </c>
    </row>
    <row r="78" spans="1:4" x14ac:dyDescent="0.2">
      <c r="A78" s="3">
        <v>5544000</v>
      </c>
    </row>
    <row r="79" spans="1:4" x14ac:dyDescent="0.2">
      <c r="A79" s="3">
        <v>5544000</v>
      </c>
    </row>
    <row r="80" spans="1:4" x14ac:dyDescent="0.2">
      <c r="A80" s="3">
        <v>5544000</v>
      </c>
    </row>
    <row r="81" spans="1:1" x14ac:dyDescent="0.2">
      <c r="A81" s="3">
        <v>900000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0F62-0D7F-40F7-823F-6AE5A08ABD50}">
  <dimension ref="A1:H1134"/>
  <sheetViews>
    <sheetView showGridLines="0" zoomScale="175" zoomScaleNormal="175" workbookViewId="0"/>
  </sheetViews>
  <sheetFormatPr baseColWidth="10" defaultRowHeight="14.25" x14ac:dyDescent="0.2"/>
  <cols>
    <col min="1" max="1" width="16.5703125" style="2" bestFit="1" customWidth="1"/>
    <col min="2" max="2" width="11.42578125" style="2"/>
    <col min="3" max="3" width="27" style="2" customWidth="1"/>
    <col min="4" max="4" width="22.28515625" style="2" customWidth="1"/>
    <col min="5" max="16384" width="11.42578125" style="2"/>
  </cols>
  <sheetData>
    <row r="1" spans="1:5" x14ac:dyDescent="0.2">
      <c r="A1" s="1" t="s">
        <v>0</v>
      </c>
    </row>
    <row r="2" spans="1:5" x14ac:dyDescent="0.2">
      <c r="A2" s="3">
        <v>2500000</v>
      </c>
      <c r="C2" s="2" t="s">
        <v>5</v>
      </c>
      <c r="D2" s="11">
        <f>+COUNT(A2:A1134)</f>
        <v>1133</v>
      </c>
    </row>
    <row r="3" spans="1:5" x14ac:dyDescent="0.2">
      <c r="A3" s="3">
        <v>2000000</v>
      </c>
      <c r="C3" s="2" t="s">
        <v>12</v>
      </c>
      <c r="D3" s="10">
        <f>SQRT(D2)</f>
        <v>33.660065359413672</v>
      </c>
    </row>
    <row r="4" spans="1:5" x14ac:dyDescent="0.2">
      <c r="A4" s="3">
        <v>2695000</v>
      </c>
      <c r="C4" s="2" t="s">
        <v>12</v>
      </c>
      <c r="D4" s="11">
        <f>INT(D3)</f>
        <v>33</v>
      </c>
    </row>
    <row r="5" spans="1:5" x14ac:dyDescent="0.2">
      <c r="A5" s="3">
        <v>1500000</v>
      </c>
    </row>
    <row r="6" spans="1:5" x14ac:dyDescent="0.2">
      <c r="A6" s="3">
        <v>3000000</v>
      </c>
      <c r="C6" s="2" t="s">
        <v>8</v>
      </c>
      <c r="D6" s="3">
        <f>MAX(A2:A1134)</f>
        <v>12000000</v>
      </c>
    </row>
    <row r="7" spans="1:5" x14ac:dyDescent="0.2">
      <c r="A7" s="3">
        <v>1000000</v>
      </c>
      <c r="C7" s="2" t="s">
        <v>9</v>
      </c>
      <c r="D7" s="3">
        <f>MIN(A2:A1134)</f>
        <v>500000</v>
      </c>
    </row>
    <row r="8" spans="1:5" x14ac:dyDescent="0.2">
      <c r="A8" s="3">
        <v>1700000</v>
      </c>
    </row>
    <row r="9" spans="1:5" x14ac:dyDescent="0.2">
      <c r="A9" s="3">
        <v>1289700</v>
      </c>
      <c r="C9" s="2" t="s">
        <v>7</v>
      </c>
      <c r="D9" s="3">
        <f>(D6-D7)/D4</f>
        <v>348484.84848484851</v>
      </c>
    </row>
    <row r="10" spans="1:5" ht="15" thickBot="1" x14ac:dyDescent="0.25">
      <c r="A10" s="3">
        <v>1379000</v>
      </c>
    </row>
    <row r="11" spans="1:5" ht="15" x14ac:dyDescent="0.25">
      <c r="A11" s="3">
        <v>2464000</v>
      </c>
      <c r="C11" s="8" t="s">
        <v>1</v>
      </c>
      <c r="D11" s="8" t="s">
        <v>3</v>
      </c>
      <c r="E11" s="8" t="s">
        <v>4</v>
      </c>
    </row>
    <row r="12" spans="1:5" ht="15" x14ac:dyDescent="0.25">
      <c r="A12" s="3">
        <v>2000000</v>
      </c>
      <c r="C12" s="4">
        <v>500000</v>
      </c>
      <c r="D12" s="4">
        <v>1</v>
      </c>
      <c r="E12" s="5">
        <v>8.8339222614840988E-4</v>
      </c>
    </row>
    <row r="13" spans="1:5" ht="15" x14ac:dyDescent="0.25">
      <c r="A13" s="3">
        <v>3672000</v>
      </c>
      <c r="C13" s="4">
        <v>848484.84848484851</v>
      </c>
      <c r="D13" s="4">
        <v>25</v>
      </c>
      <c r="E13" s="5">
        <v>2.2968197879858657E-2</v>
      </c>
    </row>
    <row r="14" spans="1:5" ht="15" x14ac:dyDescent="0.25">
      <c r="A14" s="3">
        <v>3300000</v>
      </c>
      <c r="C14" s="4">
        <v>1196969.696969697</v>
      </c>
      <c r="D14" s="4">
        <v>57</v>
      </c>
      <c r="E14" s="5">
        <v>7.3321554770318015E-2</v>
      </c>
    </row>
    <row r="15" spans="1:5" ht="15" x14ac:dyDescent="0.25">
      <c r="A15" s="3">
        <v>1000000</v>
      </c>
      <c r="C15" s="4">
        <v>1545454.5454545454</v>
      </c>
      <c r="D15" s="4">
        <v>127</v>
      </c>
      <c r="E15" s="5">
        <v>0.18551236749116609</v>
      </c>
    </row>
    <row r="16" spans="1:5" ht="15" x14ac:dyDescent="0.25">
      <c r="A16" s="3">
        <v>3500000</v>
      </c>
      <c r="C16" s="4">
        <v>1893939.393939394</v>
      </c>
      <c r="D16" s="4">
        <v>138</v>
      </c>
      <c r="E16" s="5">
        <v>0.30742049469964666</v>
      </c>
    </row>
    <row r="17" spans="1:5" ht="15" x14ac:dyDescent="0.25">
      <c r="A17" s="3">
        <v>900000</v>
      </c>
      <c r="C17" s="4">
        <v>2242424.2424242427</v>
      </c>
      <c r="D17" s="4">
        <v>149</v>
      </c>
      <c r="E17" s="5">
        <v>0.43904593639575973</v>
      </c>
    </row>
    <row r="18" spans="1:5" ht="15" x14ac:dyDescent="0.25">
      <c r="A18" s="3">
        <v>4312000</v>
      </c>
      <c r="C18" s="4">
        <v>2590909.0909090908</v>
      </c>
      <c r="D18" s="4">
        <v>116</v>
      </c>
      <c r="E18" s="5">
        <v>0.54151943462897523</v>
      </c>
    </row>
    <row r="19" spans="1:5" ht="15" x14ac:dyDescent="0.25">
      <c r="A19" s="3">
        <v>4000000</v>
      </c>
      <c r="C19" s="4">
        <v>2939393.9393939395</v>
      </c>
      <c r="D19" s="4">
        <v>56</v>
      </c>
      <c r="E19" s="5">
        <v>0.5909893992932862</v>
      </c>
    </row>
    <row r="20" spans="1:5" ht="15" x14ac:dyDescent="0.25">
      <c r="A20" s="3">
        <v>2200000</v>
      </c>
      <c r="C20" s="4">
        <v>3287878.7878787881</v>
      </c>
      <c r="D20" s="4">
        <v>100</v>
      </c>
      <c r="E20" s="5">
        <v>0.67932862190812726</v>
      </c>
    </row>
    <row r="21" spans="1:5" ht="15" x14ac:dyDescent="0.25">
      <c r="A21" s="3">
        <v>2500000</v>
      </c>
      <c r="C21" s="4">
        <v>3636363.6363636367</v>
      </c>
      <c r="D21" s="4">
        <v>55</v>
      </c>
      <c r="E21" s="5">
        <v>0.72791519434628971</v>
      </c>
    </row>
    <row r="22" spans="1:5" ht="15" x14ac:dyDescent="0.25">
      <c r="A22" s="3">
        <v>5000000</v>
      </c>
      <c r="C22" s="4">
        <v>3984848.4848484853</v>
      </c>
      <c r="D22" s="4">
        <v>34</v>
      </c>
      <c r="E22" s="5">
        <v>0.75795053003533563</v>
      </c>
    </row>
    <row r="23" spans="1:5" ht="15" x14ac:dyDescent="0.25">
      <c r="A23" s="3">
        <v>2464000</v>
      </c>
      <c r="C23" s="4">
        <v>4333333.333333334</v>
      </c>
      <c r="D23" s="4">
        <v>93</v>
      </c>
      <c r="E23" s="5">
        <v>0.84010600706713778</v>
      </c>
    </row>
    <row r="24" spans="1:5" ht="15" x14ac:dyDescent="0.25">
      <c r="A24" s="3">
        <v>1100000</v>
      </c>
      <c r="C24" s="4">
        <v>4681818.1818181816</v>
      </c>
      <c r="D24" s="4">
        <v>54</v>
      </c>
      <c r="E24" s="5">
        <v>0.88780918727915192</v>
      </c>
    </row>
    <row r="25" spans="1:5" ht="15" x14ac:dyDescent="0.25">
      <c r="A25" s="3">
        <v>3138000</v>
      </c>
      <c r="C25" s="4">
        <v>5030303.0303030303</v>
      </c>
      <c r="D25" s="4">
        <v>71</v>
      </c>
      <c r="E25" s="5">
        <v>0.95053003533568903</v>
      </c>
    </row>
    <row r="26" spans="1:5" ht="15" x14ac:dyDescent="0.25">
      <c r="A26" s="3">
        <v>1850000</v>
      </c>
      <c r="C26" s="4">
        <v>5378787.8787878789</v>
      </c>
      <c r="D26" s="4">
        <v>15</v>
      </c>
      <c r="E26" s="5">
        <v>0.96378091872791516</v>
      </c>
    </row>
    <row r="27" spans="1:5" ht="15" x14ac:dyDescent="0.25">
      <c r="A27" s="3">
        <v>781242</v>
      </c>
      <c r="C27" s="4">
        <v>5727272.7272727275</v>
      </c>
      <c r="D27" s="4">
        <v>6</v>
      </c>
      <c r="E27" s="5">
        <v>0.96908127208480566</v>
      </c>
    </row>
    <row r="28" spans="1:5" ht="15" x14ac:dyDescent="0.25">
      <c r="A28" s="3">
        <v>1848000</v>
      </c>
      <c r="C28" s="4">
        <v>6075757.5757575762</v>
      </c>
      <c r="D28" s="4">
        <v>14</v>
      </c>
      <c r="E28" s="5">
        <v>0.98144876325088337</v>
      </c>
    </row>
    <row r="29" spans="1:5" ht="15" x14ac:dyDescent="0.25">
      <c r="A29" s="3">
        <v>2500000</v>
      </c>
      <c r="C29" s="4">
        <v>6424242.4242424248</v>
      </c>
      <c r="D29" s="4">
        <v>5</v>
      </c>
      <c r="E29" s="5">
        <v>0.98586572438162545</v>
      </c>
    </row>
    <row r="30" spans="1:5" ht="15" x14ac:dyDescent="0.25">
      <c r="A30" s="3">
        <v>1323000</v>
      </c>
      <c r="C30" s="4">
        <v>6772727.2727272734</v>
      </c>
      <c r="D30" s="4">
        <v>5</v>
      </c>
      <c r="E30" s="5">
        <v>0.99028268551236753</v>
      </c>
    </row>
    <row r="31" spans="1:5" ht="15" x14ac:dyDescent="0.25">
      <c r="A31" s="3">
        <v>2000000</v>
      </c>
      <c r="C31" s="4">
        <v>7121212.121212122</v>
      </c>
      <c r="D31" s="4">
        <v>5</v>
      </c>
      <c r="E31" s="5">
        <v>0.9946996466431095</v>
      </c>
    </row>
    <row r="32" spans="1:5" ht="15" x14ac:dyDescent="0.25">
      <c r="A32" s="3">
        <v>2000000</v>
      </c>
      <c r="C32" s="4">
        <v>7469696.9696969707</v>
      </c>
      <c r="D32" s="4">
        <v>0</v>
      </c>
      <c r="E32" s="5">
        <v>0.9946996466431095</v>
      </c>
    </row>
    <row r="33" spans="1:8" ht="15" x14ac:dyDescent="0.25">
      <c r="A33" s="3">
        <v>2400000</v>
      </c>
      <c r="C33" s="4">
        <v>7818181.8181818184</v>
      </c>
      <c r="D33" s="4">
        <v>0</v>
      </c>
      <c r="E33" s="5">
        <v>0.9946996466431095</v>
      </c>
    </row>
    <row r="34" spans="1:8" ht="15" x14ac:dyDescent="0.25">
      <c r="A34" s="3">
        <v>828116</v>
      </c>
      <c r="C34" s="4">
        <v>8166666.666666667</v>
      </c>
      <c r="D34" s="4">
        <v>2</v>
      </c>
      <c r="E34" s="5">
        <v>0.99646643109540634</v>
      </c>
    </row>
    <row r="35" spans="1:8" ht="15" x14ac:dyDescent="0.25">
      <c r="A35" s="3">
        <v>1500000</v>
      </c>
      <c r="C35" s="4">
        <v>8515151.5151515156</v>
      </c>
      <c r="D35" s="4">
        <v>0</v>
      </c>
      <c r="E35" s="5">
        <v>0.99646643109540634</v>
      </c>
    </row>
    <row r="36" spans="1:8" ht="15" x14ac:dyDescent="0.25">
      <c r="A36" s="3">
        <v>2500000</v>
      </c>
      <c r="C36" s="4">
        <v>8863636.3636363633</v>
      </c>
      <c r="D36" s="4">
        <v>0</v>
      </c>
      <c r="E36" s="5">
        <v>0.99646643109540634</v>
      </c>
    </row>
    <row r="37" spans="1:8" ht="15" x14ac:dyDescent="0.25">
      <c r="A37" s="3">
        <v>4200000</v>
      </c>
      <c r="C37" s="4">
        <v>9212121.2121212129</v>
      </c>
      <c r="D37" s="4">
        <v>1</v>
      </c>
      <c r="E37" s="5">
        <v>0.99734982332155475</v>
      </c>
    </row>
    <row r="38" spans="1:8" ht="15" x14ac:dyDescent="0.25">
      <c r="A38" s="3">
        <v>1800000</v>
      </c>
      <c r="C38" s="4">
        <v>9560606.0606060605</v>
      </c>
      <c r="D38" s="4">
        <v>0</v>
      </c>
      <c r="E38" s="5">
        <v>0.99734982332155475</v>
      </c>
    </row>
    <row r="39" spans="1:8" ht="15" x14ac:dyDescent="0.25">
      <c r="A39" s="3">
        <v>2700000</v>
      </c>
      <c r="C39" s="4">
        <v>9909090.9090909101</v>
      </c>
      <c r="D39" s="4">
        <v>0</v>
      </c>
      <c r="E39" s="5">
        <v>0.99734982332155475</v>
      </c>
    </row>
    <row r="40" spans="1:8" ht="15" x14ac:dyDescent="0.25">
      <c r="A40" s="3">
        <v>2200000</v>
      </c>
      <c r="C40" s="4">
        <v>10257575.757575758</v>
      </c>
      <c r="D40" s="4">
        <v>1</v>
      </c>
      <c r="E40" s="5">
        <v>0.99823321554770317</v>
      </c>
    </row>
    <row r="41" spans="1:8" ht="15" x14ac:dyDescent="0.25">
      <c r="A41" s="3">
        <v>2500000</v>
      </c>
      <c r="C41" s="4">
        <v>10606060.606060607</v>
      </c>
      <c r="D41" s="4">
        <v>1</v>
      </c>
      <c r="E41" s="5">
        <v>0.99911660777385158</v>
      </c>
    </row>
    <row r="42" spans="1:8" ht="15" x14ac:dyDescent="0.25">
      <c r="A42" s="3">
        <v>1800000</v>
      </c>
      <c r="C42" s="4">
        <v>10954545.454545455</v>
      </c>
      <c r="D42" s="4">
        <v>0</v>
      </c>
      <c r="E42" s="5">
        <v>0.99911660777385158</v>
      </c>
    </row>
    <row r="43" spans="1:8" ht="15" x14ac:dyDescent="0.25">
      <c r="A43" s="3">
        <v>2000000</v>
      </c>
      <c r="C43" s="4">
        <v>11303030.303030305</v>
      </c>
      <c r="D43" s="4">
        <v>0</v>
      </c>
      <c r="E43" s="5">
        <v>0.99911660777385158</v>
      </c>
    </row>
    <row r="44" spans="1:8" ht="15" x14ac:dyDescent="0.25">
      <c r="A44" s="3">
        <v>1600000</v>
      </c>
      <c r="C44" s="4">
        <v>11651515.151515152</v>
      </c>
      <c r="D44" s="4">
        <v>0</v>
      </c>
      <c r="E44" s="5">
        <v>0.99911660777385158</v>
      </c>
    </row>
    <row r="45" spans="1:8" ht="15.75" thickBot="1" x14ac:dyDescent="0.3">
      <c r="A45" s="3">
        <v>1500000</v>
      </c>
      <c r="C45" s="6" t="s">
        <v>2</v>
      </c>
      <c r="D45" s="6">
        <v>1</v>
      </c>
      <c r="E45" s="7">
        <v>1</v>
      </c>
    </row>
    <row r="46" spans="1:8" ht="15" x14ac:dyDescent="0.25">
      <c r="A46" s="3">
        <v>1500000</v>
      </c>
      <c r="C46" s="4"/>
      <c r="D46" s="4"/>
      <c r="E46" s="5"/>
      <c r="F46" s="4"/>
      <c r="G46" s="4"/>
      <c r="H46" s="5"/>
    </row>
    <row r="47" spans="1:8" x14ac:dyDescent="0.2">
      <c r="A47" s="3">
        <v>2464000</v>
      </c>
      <c r="C47" s="2" t="s">
        <v>51</v>
      </c>
      <c r="D47" s="11">
        <f>+COUNTIF(A2:A1134,"=3000000")</f>
        <v>66</v>
      </c>
    </row>
    <row r="48" spans="1:8" x14ac:dyDescent="0.2">
      <c r="A48" s="3">
        <v>2464000</v>
      </c>
      <c r="C48" s="2" t="s">
        <v>52</v>
      </c>
      <c r="D48" s="18">
        <f>+D47/D2</f>
        <v>5.8252427184466021E-2</v>
      </c>
    </row>
    <row r="49" spans="1:5" x14ac:dyDescent="0.2">
      <c r="A49" s="3">
        <v>3500000</v>
      </c>
      <c r="C49" s="2" t="s">
        <v>55</v>
      </c>
      <c r="D49" s="11">
        <f>+COUNTIF(A2:A1134,"&lt;=3000000")</f>
        <v>741</v>
      </c>
    </row>
    <row r="50" spans="1:5" x14ac:dyDescent="0.2">
      <c r="A50" s="3">
        <v>1500000</v>
      </c>
      <c r="C50" s="2" t="s">
        <v>56</v>
      </c>
      <c r="D50" s="18">
        <f>+D49/D2</f>
        <v>0.65401588702559577</v>
      </c>
    </row>
    <row r="51" spans="1:5" x14ac:dyDescent="0.2">
      <c r="A51" s="3">
        <v>2000000</v>
      </c>
      <c r="D51" s="18"/>
    </row>
    <row r="52" spans="1:5" x14ac:dyDescent="0.2">
      <c r="A52" s="3">
        <v>3000000</v>
      </c>
      <c r="C52" s="2" t="s">
        <v>53</v>
      </c>
      <c r="D52" s="11">
        <f>+COUNTIF(A2:A1134,"=2000000")</f>
        <v>90</v>
      </c>
    </row>
    <row r="53" spans="1:5" x14ac:dyDescent="0.2">
      <c r="A53" s="3">
        <v>2500000</v>
      </c>
      <c r="C53" s="2" t="s">
        <v>54</v>
      </c>
      <c r="D53" s="18">
        <f>+D52/D2</f>
        <v>7.9435127978817299E-2</v>
      </c>
      <c r="E53" s="2" t="s">
        <v>45</v>
      </c>
    </row>
    <row r="54" spans="1:5" ht="15" x14ac:dyDescent="0.2">
      <c r="A54" s="3">
        <v>1500000</v>
      </c>
      <c r="C54" s="2" t="s">
        <v>57</v>
      </c>
      <c r="D54" s="11">
        <f>+COUNTIF(A2:A1134,"&lt;=2000000")</f>
        <v>464</v>
      </c>
      <c r="E54" s="15"/>
    </row>
    <row r="55" spans="1:5" x14ac:dyDescent="0.2">
      <c r="A55" s="3">
        <v>1567000</v>
      </c>
      <c r="C55" s="2" t="s">
        <v>58</v>
      </c>
      <c r="D55" s="18">
        <f>+D54/D2</f>
        <v>0.4095322153574581</v>
      </c>
      <c r="E55" s="2" t="s">
        <v>46</v>
      </c>
    </row>
    <row r="56" spans="1:5" x14ac:dyDescent="0.2">
      <c r="A56" s="3">
        <v>1050000</v>
      </c>
      <c r="D56" s="18"/>
    </row>
    <row r="57" spans="1:5" x14ac:dyDescent="0.2">
      <c r="A57" s="3">
        <v>4574257</v>
      </c>
      <c r="D57" s="18"/>
    </row>
    <row r="58" spans="1:5" x14ac:dyDescent="0.2">
      <c r="A58" s="3">
        <v>2200000</v>
      </c>
      <c r="C58" s="2" t="s">
        <v>16</v>
      </c>
      <c r="D58" s="3">
        <f>AVERAGE(A2:A1134)</f>
        <v>2808479.8384819063</v>
      </c>
    </row>
    <row r="59" spans="1:5" x14ac:dyDescent="0.2">
      <c r="A59" s="3">
        <v>2800000</v>
      </c>
      <c r="C59" s="2" t="s">
        <v>17</v>
      </c>
      <c r="D59" s="3">
        <f>MEDIAN(A2:A1134)</f>
        <v>2500000</v>
      </c>
    </row>
    <row r="60" spans="1:5" x14ac:dyDescent="0.2">
      <c r="A60" s="3">
        <v>2100000</v>
      </c>
      <c r="C60" s="2" t="s">
        <v>18</v>
      </c>
      <c r="D60" s="3">
        <f>MODE(A2:A1134)</f>
        <v>2000000</v>
      </c>
    </row>
    <row r="61" spans="1:5" x14ac:dyDescent="0.2">
      <c r="A61" s="3">
        <v>2000000</v>
      </c>
    </row>
    <row r="62" spans="1:5" x14ac:dyDescent="0.2">
      <c r="A62" s="3">
        <v>1900000</v>
      </c>
      <c r="C62" s="9" t="s">
        <v>22</v>
      </c>
      <c r="D62" s="2" t="s">
        <v>34</v>
      </c>
    </row>
    <row r="63" spans="1:5" x14ac:dyDescent="0.2">
      <c r="A63" s="3">
        <v>1900000</v>
      </c>
      <c r="C63" s="17">
        <v>0.01</v>
      </c>
      <c r="D63" s="3">
        <f>PERCENTILE($A$2:$A$1134,C63)</f>
        <v>737717</v>
      </c>
    </row>
    <row r="64" spans="1:5" x14ac:dyDescent="0.2">
      <c r="A64" s="3">
        <v>4000000</v>
      </c>
      <c r="C64" s="17">
        <v>0.1</v>
      </c>
      <c r="D64" s="3">
        <f t="shared" ref="D64:D70" si="0">PERCENTILE($A$2:$A$1134,C64)</f>
        <v>1289760</v>
      </c>
    </row>
    <row r="65" spans="1:5" x14ac:dyDescent="0.2">
      <c r="A65" s="3">
        <v>1200000</v>
      </c>
      <c r="C65" s="17">
        <v>0.2</v>
      </c>
      <c r="D65" s="3">
        <f t="shared" si="0"/>
        <v>1600000</v>
      </c>
    </row>
    <row r="66" spans="1:5" x14ac:dyDescent="0.2">
      <c r="A66" s="3">
        <v>1500000</v>
      </c>
      <c r="C66" s="17">
        <v>0.25</v>
      </c>
      <c r="D66" s="3">
        <f t="shared" si="0"/>
        <v>1800000</v>
      </c>
    </row>
    <row r="67" spans="1:5" x14ac:dyDescent="0.2">
      <c r="A67" s="3">
        <v>2000000</v>
      </c>
      <c r="C67" s="17">
        <v>0.5</v>
      </c>
      <c r="D67" s="3">
        <f t="shared" si="0"/>
        <v>2500000</v>
      </c>
      <c r="E67" s="2" t="s">
        <v>17</v>
      </c>
    </row>
    <row r="68" spans="1:5" x14ac:dyDescent="0.2">
      <c r="A68" s="3">
        <v>2200000</v>
      </c>
      <c r="C68" s="17">
        <v>0.75</v>
      </c>
      <c r="D68" s="3">
        <f t="shared" si="0"/>
        <v>3800000</v>
      </c>
    </row>
    <row r="69" spans="1:5" x14ac:dyDescent="0.2">
      <c r="A69" s="3">
        <v>2000000</v>
      </c>
      <c r="C69" s="17">
        <v>0.9</v>
      </c>
      <c r="D69" s="3">
        <f t="shared" si="0"/>
        <v>4690870</v>
      </c>
    </row>
    <row r="70" spans="1:5" x14ac:dyDescent="0.2">
      <c r="A70" s="3">
        <v>1275000</v>
      </c>
      <c r="C70" s="17">
        <v>0.95</v>
      </c>
      <c r="D70" s="3">
        <f t="shared" si="0"/>
        <v>5000000</v>
      </c>
    </row>
    <row r="71" spans="1:5" x14ac:dyDescent="0.2">
      <c r="A71" s="3">
        <v>2000000</v>
      </c>
    </row>
    <row r="72" spans="1:5" x14ac:dyDescent="0.2">
      <c r="A72" s="3">
        <v>1200000</v>
      </c>
      <c r="C72" s="2" t="s">
        <v>24</v>
      </c>
      <c r="D72" s="3">
        <f>VAR(A2:A1134)</f>
        <v>1998503264727.5388</v>
      </c>
    </row>
    <row r="73" spans="1:5" x14ac:dyDescent="0.2">
      <c r="A73" s="3">
        <v>4800000</v>
      </c>
      <c r="C73" s="2" t="s">
        <v>25</v>
      </c>
      <c r="D73" s="3">
        <f>STDEV(A2:A1134)</f>
        <v>1413684.2875011163</v>
      </c>
    </row>
    <row r="74" spans="1:5" x14ac:dyDescent="0.2">
      <c r="A74" s="3">
        <v>3800000</v>
      </c>
      <c r="C74" s="2" t="s">
        <v>26</v>
      </c>
      <c r="D74" s="19">
        <f>D73/D54</f>
        <v>3046.7333782351643</v>
      </c>
    </row>
    <row r="75" spans="1:5" x14ac:dyDescent="0.2">
      <c r="A75" s="3">
        <v>4065100</v>
      </c>
      <c r="C75" s="2" t="s">
        <v>30</v>
      </c>
      <c r="D75" s="10">
        <f>SKEW(A2:A1134)</f>
        <v>1.1357725433343617</v>
      </c>
    </row>
    <row r="76" spans="1:5" x14ac:dyDescent="0.2">
      <c r="A76" s="3">
        <v>900000</v>
      </c>
      <c r="C76" s="2" t="s">
        <v>31</v>
      </c>
      <c r="D76" s="10">
        <f>KURT(A2:A1134)</f>
        <v>2.6403495528166916</v>
      </c>
    </row>
    <row r="77" spans="1:5" x14ac:dyDescent="0.2">
      <c r="A77" s="3">
        <v>4849800</v>
      </c>
    </row>
    <row r="78" spans="1:5" ht="15" thickBot="1" x14ac:dyDescent="0.25">
      <c r="A78" s="3">
        <v>1500000</v>
      </c>
    </row>
    <row r="79" spans="1:5" ht="15" x14ac:dyDescent="0.25">
      <c r="A79" s="3">
        <v>1000000</v>
      </c>
      <c r="C79" s="20" t="s">
        <v>0</v>
      </c>
      <c r="D79" s="20"/>
    </row>
    <row r="80" spans="1:5" ht="15" x14ac:dyDescent="0.25">
      <c r="A80" s="3">
        <v>3500000</v>
      </c>
      <c r="C80" s="4"/>
      <c r="D80" s="4"/>
    </row>
    <row r="81" spans="1:4" ht="15" x14ac:dyDescent="0.25">
      <c r="A81" s="3">
        <v>3500000</v>
      </c>
      <c r="C81" s="4" t="s">
        <v>59</v>
      </c>
      <c r="D81" s="4">
        <v>2808479.8384819063</v>
      </c>
    </row>
    <row r="82" spans="1:4" ht="15" x14ac:dyDescent="0.25">
      <c r="A82" s="3">
        <v>1800000</v>
      </c>
      <c r="C82" s="4" t="s">
        <v>60</v>
      </c>
      <c r="D82" s="4">
        <v>41998.857471194802</v>
      </c>
    </row>
    <row r="83" spans="1:4" ht="15" x14ac:dyDescent="0.25">
      <c r="A83" s="3">
        <v>1100000</v>
      </c>
      <c r="C83" s="4" t="s">
        <v>17</v>
      </c>
      <c r="D83" s="4">
        <v>2500000</v>
      </c>
    </row>
    <row r="84" spans="1:4" ht="15" x14ac:dyDescent="0.25">
      <c r="A84" s="3">
        <v>1500000</v>
      </c>
      <c r="C84" s="4" t="s">
        <v>18</v>
      </c>
      <c r="D84" s="4">
        <v>2000000</v>
      </c>
    </row>
    <row r="85" spans="1:4" ht="15" x14ac:dyDescent="0.25">
      <c r="A85" s="3">
        <v>2000000</v>
      </c>
      <c r="C85" s="4" t="s">
        <v>25</v>
      </c>
      <c r="D85" s="4">
        <v>1413684.2875011163</v>
      </c>
    </row>
    <row r="86" spans="1:4" ht="15" x14ac:dyDescent="0.25">
      <c r="A86" s="3">
        <v>2000000</v>
      </c>
      <c r="C86" s="4" t="s">
        <v>61</v>
      </c>
      <c r="D86" s="4">
        <v>1998503264727.5388</v>
      </c>
    </row>
    <row r="87" spans="1:4" ht="15" x14ac:dyDescent="0.25">
      <c r="A87" s="3">
        <v>2000000</v>
      </c>
      <c r="C87" s="4" t="s">
        <v>31</v>
      </c>
      <c r="D87" s="4">
        <v>2.6403495528166916</v>
      </c>
    </row>
    <row r="88" spans="1:4" ht="15" x14ac:dyDescent="0.25">
      <c r="A88" s="3">
        <v>2000000</v>
      </c>
      <c r="C88" s="4" t="s">
        <v>62</v>
      </c>
      <c r="D88" s="4">
        <v>1.1357725433343617</v>
      </c>
    </row>
    <row r="89" spans="1:4" ht="15" x14ac:dyDescent="0.25">
      <c r="A89" s="3">
        <v>1600000</v>
      </c>
      <c r="C89" s="4" t="s">
        <v>63</v>
      </c>
      <c r="D89" s="4">
        <v>11500000</v>
      </c>
    </row>
    <row r="90" spans="1:4" ht="15" x14ac:dyDescent="0.25">
      <c r="A90" s="3">
        <v>1500000</v>
      </c>
      <c r="C90" s="4" t="s">
        <v>64</v>
      </c>
      <c r="D90" s="4">
        <v>500000</v>
      </c>
    </row>
    <row r="91" spans="1:4" ht="15" x14ac:dyDescent="0.25">
      <c r="A91" s="3">
        <v>1400000</v>
      </c>
      <c r="C91" s="4" t="s">
        <v>65</v>
      </c>
      <c r="D91" s="4">
        <v>12000000</v>
      </c>
    </row>
    <row r="92" spans="1:4" ht="15" x14ac:dyDescent="0.25">
      <c r="A92" s="3">
        <v>1800000</v>
      </c>
      <c r="C92" s="4" t="s">
        <v>66</v>
      </c>
      <c r="D92" s="4">
        <v>3182007657</v>
      </c>
    </row>
    <row r="93" spans="1:4" ht="15" x14ac:dyDescent="0.25">
      <c r="A93" s="3">
        <v>1900000</v>
      </c>
      <c r="C93" s="4" t="s">
        <v>67</v>
      </c>
      <c r="D93" s="4">
        <v>1133</v>
      </c>
    </row>
    <row r="94" spans="1:4" ht="15" x14ac:dyDescent="0.25">
      <c r="A94" s="3">
        <v>2862250</v>
      </c>
      <c r="C94" s="4" t="s">
        <v>68</v>
      </c>
      <c r="D94" s="4">
        <v>6085454</v>
      </c>
    </row>
    <row r="95" spans="1:4" ht="15.75" thickBot="1" x14ac:dyDescent="0.3">
      <c r="A95" s="3">
        <v>4000000</v>
      </c>
      <c r="C95" s="6" t="s">
        <v>70</v>
      </c>
      <c r="D95" s="6">
        <v>689455</v>
      </c>
    </row>
    <row r="96" spans="1:4" x14ac:dyDescent="0.2">
      <c r="A96" s="3">
        <v>4500000</v>
      </c>
    </row>
    <row r="97" spans="1:1" x14ac:dyDescent="0.2">
      <c r="A97" s="3">
        <v>2500000</v>
      </c>
    </row>
    <row r="98" spans="1:1" x14ac:dyDescent="0.2">
      <c r="A98" s="3">
        <v>2048000</v>
      </c>
    </row>
    <row r="99" spans="1:1" x14ac:dyDescent="0.2">
      <c r="A99" s="3">
        <v>1900000</v>
      </c>
    </row>
    <row r="100" spans="1:1" x14ac:dyDescent="0.2">
      <c r="A100" s="3">
        <v>1875000</v>
      </c>
    </row>
    <row r="101" spans="1:1" x14ac:dyDescent="0.2">
      <c r="A101" s="3">
        <v>2171000</v>
      </c>
    </row>
    <row r="102" spans="1:1" x14ac:dyDescent="0.2">
      <c r="A102" s="3">
        <v>1200000</v>
      </c>
    </row>
    <row r="103" spans="1:1" x14ac:dyDescent="0.2">
      <c r="A103" s="3">
        <v>1600000</v>
      </c>
    </row>
    <row r="104" spans="1:1" x14ac:dyDescent="0.2">
      <c r="A104" s="3">
        <v>1800000</v>
      </c>
    </row>
    <row r="105" spans="1:1" x14ac:dyDescent="0.2">
      <c r="A105" s="3">
        <v>2500000</v>
      </c>
    </row>
    <row r="106" spans="1:1" x14ac:dyDescent="0.2">
      <c r="A106" s="3">
        <v>1953549</v>
      </c>
    </row>
    <row r="107" spans="1:1" x14ac:dyDescent="0.2">
      <c r="A107" s="3">
        <v>1953500</v>
      </c>
    </row>
    <row r="108" spans="1:1" x14ac:dyDescent="0.2">
      <c r="A108" s="3">
        <v>1960000</v>
      </c>
    </row>
    <row r="109" spans="1:1" x14ac:dyDescent="0.2">
      <c r="A109" s="3">
        <v>1200000</v>
      </c>
    </row>
    <row r="110" spans="1:1" x14ac:dyDescent="0.2">
      <c r="A110" s="3">
        <v>2800000</v>
      </c>
    </row>
    <row r="111" spans="1:1" x14ac:dyDescent="0.2">
      <c r="A111" s="3">
        <v>2800000</v>
      </c>
    </row>
    <row r="112" spans="1:1" x14ac:dyDescent="0.2">
      <c r="A112" s="3">
        <v>1848000</v>
      </c>
    </row>
    <row r="113" spans="1:1" x14ac:dyDescent="0.2">
      <c r="A113" s="3">
        <v>1848000</v>
      </c>
    </row>
    <row r="114" spans="1:1" x14ac:dyDescent="0.2">
      <c r="A114" s="3">
        <v>1500000</v>
      </c>
    </row>
    <row r="115" spans="1:1" x14ac:dyDescent="0.2">
      <c r="A115" s="3">
        <v>3000000</v>
      </c>
    </row>
    <row r="116" spans="1:1" x14ac:dyDescent="0.2">
      <c r="A116" s="3">
        <v>1000000</v>
      </c>
    </row>
    <row r="117" spans="1:1" x14ac:dyDescent="0.2">
      <c r="A117" s="3">
        <v>2359000</v>
      </c>
    </row>
    <row r="118" spans="1:1" x14ac:dyDescent="0.2">
      <c r="A118" s="3">
        <v>2500000</v>
      </c>
    </row>
    <row r="119" spans="1:1" x14ac:dyDescent="0.2">
      <c r="A119" s="3">
        <v>616000</v>
      </c>
    </row>
    <row r="120" spans="1:1" x14ac:dyDescent="0.2">
      <c r="A120" s="3">
        <v>900000</v>
      </c>
    </row>
    <row r="121" spans="1:1" x14ac:dyDescent="0.2">
      <c r="A121" s="3">
        <v>2464000</v>
      </c>
    </row>
    <row r="122" spans="1:1" x14ac:dyDescent="0.2">
      <c r="A122" s="3">
        <v>1290000</v>
      </c>
    </row>
    <row r="123" spans="1:1" x14ac:dyDescent="0.2">
      <c r="A123" s="3">
        <v>1627000</v>
      </c>
    </row>
    <row r="124" spans="1:1" x14ac:dyDescent="0.2">
      <c r="A124" s="3">
        <v>2000000</v>
      </c>
    </row>
    <row r="125" spans="1:1" x14ac:dyDescent="0.2">
      <c r="A125" s="3">
        <v>5266580</v>
      </c>
    </row>
    <row r="126" spans="1:1" x14ac:dyDescent="0.2">
      <c r="A126" s="3">
        <v>1935000</v>
      </c>
    </row>
    <row r="127" spans="1:1" x14ac:dyDescent="0.2">
      <c r="A127" s="3">
        <v>1935000</v>
      </c>
    </row>
    <row r="128" spans="1:1" x14ac:dyDescent="0.2">
      <c r="A128" s="3">
        <v>1935000</v>
      </c>
    </row>
    <row r="129" spans="1:1" x14ac:dyDescent="0.2">
      <c r="A129" s="3">
        <v>2000000</v>
      </c>
    </row>
    <row r="130" spans="1:1" x14ac:dyDescent="0.2">
      <c r="A130" s="3">
        <v>1900000</v>
      </c>
    </row>
    <row r="131" spans="1:1" x14ac:dyDescent="0.2">
      <c r="A131" s="3">
        <v>1900000</v>
      </c>
    </row>
    <row r="132" spans="1:1" x14ac:dyDescent="0.2">
      <c r="A132" s="3">
        <v>1000000</v>
      </c>
    </row>
    <row r="133" spans="1:1" x14ac:dyDescent="0.2">
      <c r="A133" s="3">
        <v>3500000</v>
      </c>
    </row>
    <row r="134" spans="1:1" x14ac:dyDescent="0.2">
      <c r="A134" s="3">
        <v>1700000</v>
      </c>
    </row>
    <row r="135" spans="1:1" x14ac:dyDescent="0.2">
      <c r="A135" s="3">
        <v>2500000</v>
      </c>
    </row>
    <row r="136" spans="1:1" x14ac:dyDescent="0.2">
      <c r="A136" s="3">
        <v>2450000</v>
      </c>
    </row>
    <row r="137" spans="1:1" x14ac:dyDescent="0.2">
      <c r="A137" s="3">
        <v>2490000</v>
      </c>
    </row>
    <row r="138" spans="1:1" x14ac:dyDescent="0.2">
      <c r="A138" s="3">
        <v>2000000</v>
      </c>
    </row>
    <row r="139" spans="1:1" x14ac:dyDescent="0.2">
      <c r="A139" s="3">
        <v>2000000</v>
      </c>
    </row>
    <row r="140" spans="1:1" x14ac:dyDescent="0.2">
      <c r="A140" s="3">
        <v>1625400</v>
      </c>
    </row>
    <row r="141" spans="1:1" x14ac:dyDescent="0.2">
      <c r="A141" s="3">
        <v>3733288</v>
      </c>
    </row>
    <row r="142" spans="1:1" x14ac:dyDescent="0.2">
      <c r="A142" s="3">
        <v>2464000</v>
      </c>
    </row>
    <row r="143" spans="1:1" x14ac:dyDescent="0.2">
      <c r="A143" s="3">
        <v>2500000</v>
      </c>
    </row>
    <row r="144" spans="1:1" x14ac:dyDescent="0.2">
      <c r="A144" s="3">
        <v>2200000</v>
      </c>
    </row>
    <row r="145" spans="1:1" x14ac:dyDescent="0.2">
      <c r="A145" s="3">
        <v>4032000</v>
      </c>
    </row>
    <row r="146" spans="1:1" x14ac:dyDescent="0.2">
      <c r="A146" s="3">
        <v>3000000</v>
      </c>
    </row>
    <row r="147" spans="1:1" x14ac:dyDescent="0.2">
      <c r="A147" s="3">
        <v>2500000</v>
      </c>
    </row>
    <row r="148" spans="1:1" x14ac:dyDescent="0.2">
      <c r="A148" s="3">
        <v>1289700</v>
      </c>
    </row>
    <row r="149" spans="1:1" x14ac:dyDescent="0.2">
      <c r="A149" s="3">
        <v>1379908</v>
      </c>
    </row>
    <row r="150" spans="1:1" x14ac:dyDescent="0.2">
      <c r="A150" s="3">
        <v>1379908</v>
      </c>
    </row>
    <row r="151" spans="1:1" x14ac:dyDescent="0.2">
      <c r="A151" s="3">
        <v>1379908</v>
      </c>
    </row>
    <row r="152" spans="1:1" x14ac:dyDescent="0.2">
      <c r="A152" s="3">
        <v>3500000</v>
      </c>
    </row>
    <row r="153" spans="1:1" x14ac:dyDescent="0.2">
      <c r="A153" s="3">
        <v>1700000</v>
      </c>
    </row>
    <row r="154" spans="1:1" x14ac:dyDescent="0.2">
      <c r="A154" s="3">
        <v>1350000</v>
      </c>
    </row>
    <row r="155" spans="1:1" x14ac:dyDescent="0.2">
      <c r="A155" s="3">
        <v>2200000</v>
      </c>
    </row>
    <row r="156" spans="1:1" x14ac:dyDescent="0.2">
      <c r="A156" s="3">
        <v>1072800</v>
      </c>
    </row>
    <row r="157" spans="1:1" x14ac:dyDescent="0.2">
      <c r="A157" s="3">
        <v>1600000</v>
      </c>
    </row>
    <row r="158" spans="1:1" x14ac:dyDescent="0.2">
      <c r="A158" s="3">
        <v>1600000</v>
      </c>
    </row>
    <row r="159" spans="1:1" x14ac:dyDescent="0.2">
      <c r="A159" s="3">
        <v>2500000</v>
      </c>
    </row>
    <row r="160" spans="1:1" x14ac:dyDescent="0.2">
      <c r="A160" s="3">
        <v>1000000</v>
      </c>
    </row>
    <row r="161" spans="1:1" x14ac:dyDescent="0.2">
      <c r="A161" s="3">
        <v>737717</v>
      </c>
    </row>
    <row r="162" spans="1:1" x14ac:dyDescent="0.2">
      <c r="A162" s="3">
        <v>2000000</v>
      </c>
    </row>
    <row r="163" spans="1:1" x14ac:dyDescent="0.2">
      <c r="A163" s="3">
        <v>1100000</v>
      </c>
    </row>
    <row r="164" spans="1:1" x14ac:dyDescent="0.2">
      <c r="A164" s="3">
        <v>4312000</v>
      </c>
    </row>
    <row r="165" spans="1:1" x14ac:dyDescent="0.2">
      <c r="A165" s="3">
        <v>3080000</v>
      </c>
    </row>
    <row r="166" spans="1:1" x14ac:dyDescent="0.2">
      <c r="A166" s="3">
        <v>3080000</v>
      </c>
    </row>
    <row r="167" spans="1:1" x14ac:dyDescent="0.2">
      <c r="A167" s="3">
        <v>3000000</v>
      </c>
    </row>
    <row r="168" spans="1:1" x14ac:dyDescent="0.2">
      <c r="A168" s="3">
        <v>3000000</v>
      </c>
    </row>
    <row r="169" spans="1:1" x14ac:dyDescent="0.2">
      <c r="A169" s="3">
        <v>3000000</v>
      </c>
    </row>
    <row r="170" spans="1:1" x14ac:dyDescent="0.2">
      <c r="A170" s="3">
        <v>3000000</v>
      </c>
    </row>
    <row r="171" spans="1:1" x14ac:dyDescent="0.2">
      <c r="A171" s="3">
        <v>1833333</v>
      </c>
    </row>
    <row r="172" spans="1:1" x14ac:dyDescent="0.2">
      <c r="A172" s="3">
        <v>2000000</v>
      </c>
    </row>
    <row r="173" spans="1:1" x14ac:dyDescent="0.2">
      <c r="A173" s="3">
        <v>1500000</v>
      </c>
    </row>
    <row r="174" spans="1:1" x14ac:dyDescent="0.2">
      <c r="A174" s="3">
        <v>1200000</v>
      </c>
    </row>
    <row r="175" spans="1:1" x14ac:dyDescent="0.2">
      <c r="A175" s="3">
        <v>2400000</v>
      </c>
    </row>
    <row r="176" spans="1:1" x14ac:dyDescent="0.2">
      <c r="A176" s="3">
        <v>2170000</v>
      </c>
    </row>
    <row r="177" spans="1:1" x14ac:dyDescent="0.2">
      <c r="A177" s="3">
        <v>3500000</v>
      </c>
    </row>
    <row r="178" spans="1:1" x14ac:dyDescent="0.2">
      <c r="A178" s="3">
        <v>2300000</v>
      </c>
    </row>
    <row r="179" spans="1:1" x14ac:dyDescent="0.2">
      <c r="A179" s="3">
        <v>2500000</v>
      </c>
    </row>
    <row r="180" spans="1:1" x14ac:dyDescent="0.2">
      <c r="A180" s="3">
        <v>3500000</v>
      </c>
    </row>
    <row r="181" spans="1:1" x14ac:dyDescent="0.2">
      <c r="A181" s="3">
        <v>1600000</v>
      </c>
    </row>
    <row r="182" spans="1:1" x14ac:dyDescent="0.2">
      <c r="A182" s="3">
        <v>1500000</v>
      </c>
    </row>
    <row r="183" spans="1:1" x14ac:dyDescent="0.2">
      <c r="A183" s="3">
        <v>1800000</v>
      </c>
    </row>
    <row r="184" spans="1:1" x14ac:dyDescent="0.2">
      <c r="A184" s="3">
        <v>4312000</v>
      </c>
    </row>
    <row r="185" spans="1:1" x14ac:dyDescent="0.2">
      <c r="A185" s="3">
        <v>1367700</v>
      </c>
    </row>
    <row r="186" spans="1:1" x14ac:dyDescent="0.2">
      <c r="A186" s="3">
        <v>1367700</v>
      </c>
    </row>
    <row r="187" spans="1:1" x14ac:dyDescent="0.2">
      <c r="A187" s="3">
        <v>1596300</v>
      </c>
    </row>
    <row r="188" spans="1:1" x14ac:dyDescent="0.2">
      <c r="A188" s="3">
        <v>1596300</v>
      </c>
    </row>
    <row r="189" spans="1:1" x14ac:dyDescent="0.2">
      <c r="A189" s="3">
        <v>1400000</v>
      </c>
    </row>
    <row r="190" spans="1:1" x14ac:dyDescent="0.2">
      <c r="A190" s="3">
        <v>1500000</v>
      </c>
    </row>
    <row r="191" spans="1:1" x14ac:dyDescent="0.2">
      <c r="A191" s="3">
        <v>828116</v>
      </c>
    </row>
    <row r="192" spans="1:1" x14ac:dyDescent="0.2">
      <c r="A192" s="3">
        <v>4500000</v>
      </c>
    </row>
    <row r="193" spans="1:1" x14ac:dyDescent="0.2">
      <c r="A193" s="3">
        <v>4500000</v>
      </c>
    </row>
    <row r="194" spans="1:1" x14ac:dyDescent="0.2">
      <c r="A194" s="3">
        <v>4500000</v>
      </c>
    </row>
    <row r="195" spans="1:1" x14ac:dyDescent="0.2">
      <c r="A195" s="3">
        <v>2700000</v>
      </c>
    </row>
    <row r="196" spans="1:1" x14ac:dyDescent="0.2">
      <c r="A196" s="3">
        <v>4500000</v>
      </c>
    </row>
    <row r="197" spans="1:1" x14ac:dyDescent="0.2">
      <c r="A197" s="3">
        <v>3000000</v>
      </c>
    </row>
    <row r="198" spans="1:1" x14ac:dyDescent="0.2">
      <c r="A198" s="3">
        <v>2000000</v>
      </c>
    </row>
    <row r="199" spans="1:1" x14ac:dyDescent="0.2">
      <c r="A199" s="3">
        <v>1800000</v>
      </c>
    </row>
    <row r="200" spans="1:1" x14ac:dyDescent="0.2">
      <c r="A200" s="3">
        <v>4000000</v>
      </c>
    </row>
    <row r="201" spans="1:1" x14ac:dyDescent="0.2">
      <c r="A201" s="3">
        <v>1400000</v>
      </c>
    </row>
    <row r="202" spans="1:1" x14ac:dyDescent="0.2">
      <c r="A202" s="3">
        <v>1680000</v>
      </c>
    </row>
    <row r="203" spans="1:1" x14ac:dyDescent="0.2">
      <c r="A203" s="3">
        <v>1848000</v>
      </c>
    </row>
    <row r="204" spans="1:1" x14ac:dyDescent="0.2">
      <c r="A204" s="3">
        <v>3000000</v>
      </c>
    </row>
    <row r="205" spans="1:1" x14ac:dyDescent="0.2">
      <c r="A205" s="3">
        <v>3000000</v>
      </c>
    </row>
    <row r="206" spans="1:1" x14ac:dyDescent="0.2">
      <c r="A206" s="3">
        <v>1725100</v>
      </c>
    </row>
    <row r="207" spans="1:1" x14ac:dyDescent="0.2">
      <c r="A207" s="3">
        <v>1725100</v>
      </c>
    </row>
    <row r="208" spans="1:1" x14ac:dyDescent="0.2">
      <c r="A208" s="3">
        <v>4066500</v>
      </c>
    </row>
    <row r="209" spans="1:1" x14ac:dyDescent="0.2">
      <c r="A209" s="3">
        <v>2300000</v>
      </c>
    </row>
    <row r="210" spans="1:1" x14ac:dyDescent="0.2">
      <c r="A210" s="3">
        <v>2240000</v>
      </c>
    </row>
    <row r="211" spans="1:1" x14ac:dyDescent="0.2">
      <c r="A211" s="3">
        <v>2700000</v>
      </c>
    </row>
    <row r="212" spans="1:1" x14ac:dyDescent="0.2">
      <c r="A212" s="3">
        <v>2500000</v>
      </c>
    </row>
    <row r="213" spans="1:1" x14ac:dyDescent="0.2">
      <c r="A213" s="3">
        <v>1600000</v>
      </c>
    </row>
    <row r="214" spans="1:1" x14ac:dyDescent="0.2">
      <c r="A214" s="3">
        <v>1600000</v>
      </c>
    </row>
    <row r="215" spans="1:1" x14ac:dyDescent="0.2">
      <c r="A215" s="3">
        <v>3800000</v>
      </c>
    </row>
    <row r="216" spans="1:1" x14ac:dyDescent="0.2">
      <c r="A216" s="3">
        <v>1600000</v>
      </c>
    </row>
    <row r="217" spans="1:1" x14ac:dyDescent="0.2">
      <c r="A217" s="3">
        <v>1600000</v>
      </c>
    </row>
    <row r="218" spans="1:1" x14ac:dyDescent="0.2">
      <c r="A218" s="3">
        <v>1300000</v>
      </c>
    </row>
    <row r="219" spans="1:1" x14ac:dyDescent="0.2">
      <c r="A219" s="3">
        <v>2500000</v>
      </c>
    </row>
    <row r="220" spans="1:1" x14ac:dyDescent="0.2">
      <c r="A220" s="3">
        <v>1900000</v>
      </c>
    </row>
    <row r="221" spans="1:1" x14ac:dyDescent="0.2">
      <c r="A221" s="3">
        <v>2615000</v>
      </c>
    </row>
    <row r="222" spans="1:1" x14ac:dyDescent="0.2">
      <c r="A222" s="3">
        <v>1850000</v>
      </c>
    </row>
    <row r="223" spans="1:1" x14ac:dyDescent="0.2">
      <c r="A223" s="3">
        <v>1677876</v>
      </c>
    </row>
    <row r="224" spans="1:1" x14ac:dyDescent="0.2">
      <c r="A224" s="3">
        <v>3000000</v>
      </c>
    </row>
    <row r="225" spans="1:1" x14ac:dyDescent="0.2">
      <c r="A225" s="3">
        <v>3500000</v>
      </c>
    </row>
    <row r="226" spans="1:1" x14ac:dyDescent="0.2">
      <c r="A226" s="3">
        <v>1359000</v>
      </c>
    </row>
    <row r="227" spans="1:1" x14ac:dyDescent="0.2">
      <c r="A227" s="3">
        <v>2600000</v>
      </c>
    </row>
    <row r="228" spans="1:1" x14ac:dyDescent="0.2">
      <c r="A228" s="3">
        <v>1850000</v>
      </c>
    </row>
    <row r="229" spans="1:1" x14ac:dyDescent="0.2">
      <c r="A229" s="3">
        <v>1850000</v>
      </c>
    </row>
    <row r="230" spans="1:1" x14ac:dyDescent="0.2">
      <c r="A230" s="3">
        <v>1000000</v>
      </c>
    </row>
    <row r="231" spans="1:1" x14ac:dyDescent="0.2">
      <c r="A231" s="3">
        <v>4574257</v>
      </c>
    </row>
    <row r="232" spans="1:1" x14ac:dyDescent="0.2">
      <c r="A232" s="3">
        <v>4574257</v>
      </c>
    </row>
    <row r="233" spans="1:1" x14ac:dyDescent="0.2">
      <c r="A233" s="3">
        <v>4574257</v>
      </c>
    </row>
    <row r="234" spans="1:1" x14ac:dyDescent="0.2">
      <c r="A234" s="3">
        <v>4574257</v>
      </c>
    </row>
    <row r="235" spans="1:1" x14ac:dyDescent="0.2">
      <c r="A235" s="3">
        <v>4574257</v>
      </c>
    </row>
    <row r="236" spans="1:1" x14ac:dyDescent="0.2">
      <c r="A236" s="3">
        <v>4574257</v>
      </c>
    </row>
    <row r="237" spans="1:1" x14ac:dyDescent="0.2">
      <c r="A237" s="3">
        <v>4574257</v>
      </c>
    </row>
    <row r="238" spans="1:1" x14ac:dyDescent="0.2">
      <c r="A238" s="3">
        <v>4574257</v>
      </c>
    </row>
    <row r="239" spans="1:1" x14ac:dyDescent="0.2">
      <c r="A239" s="3">
        <v>4574257</v>
      </c>
    </row>
    <row r="240" spans="1:1" x14ac:dyDescent="0.2">
      <c r="A240" s="3">
        <v>4574257</v>
      </c>
    </row>
    <row r="241" spans="1:1" x14ac:dyDescent="0.2">
      <c r="A241" s="3">
        <v>4690870</v>
      </c>
    </row>
    <row r="242" spans="1:1" x14ac:dyDescent="0.2">
      <c r="A242" s="3">
        <v>4690870</v>
      </c>
    </row>
    <row r="243" spans="1:1" x14ac:dyDescent="0.2">
      <c r="A243" s="3">
        <v>5356000</v>
      </c>
    </row>
    <row r="244" spans="1:1" x14ac:dyDescent="0.2">
      <c r="A244" s="3">
        <v>4690870</v>
      </c>
    </row>
    <row r="245" spans="1:1" x14ac:dyDescent="0.2">
      <c r="A245" s="3">
        <v>4690870</v>
      </c>
    </row>
    <row r="246" spans="1:1" x14ac:dyDescent="0.2">
      <c r="A246" s="3">
        <v>4690870</v>
      </c>
    </row>
    <row r="247" spans="1:1" x14ac:dyDescent="0.2">
      <c r="A247" s="3">
        <v>4690870</v>
      </c>
    </row>
    <row r="248" spans="1:1" x14ac:dyDescent="0.2">
      <c r="A248" s="3">
        <v>4690870</v>
      </c>
    </row>
    <row r="249" spans="1:1" x14ac:dyDescent="0.2">
      <c r="A249" s="3">
        <v>4690870</v>
      </c>
    </row>
    <row r="250" spans="1:1" x14ac:dyDescent="0.2">
      <c r="A250" s="3">
        <v>4690870</v>
      </c>
    </row>
    <row r="251" spans="1:1" x14ac:dyDescent="0.2">
      <c r="A251" s="3">
        <v>4690870</v>
      </c>
    </row>
    <row r="252" spans="1:1" x14ac:dyDescent="0.2">
      <c r="A252" s="3">
        <v>4690870</v>
      </c>
    </row>
    <row r="253" spans="1:1" x14ac:dyDescent="0.2">
      <c r="A253" s="3">
        <v>4690870</v>
      </c>
    </row>
    <row r="254" spans="1:1" x14ac:dyDescent="0.2">
      <c r="A254" s="3">
        <v>4690870</v>
      </c>
    </row>
    <row r="255" spans="1:1" x14ac:dyDescent="0.2">
      <c r="A255" s="3">
        <v>4690870</v>
      </c>
    </row>
    <row r="256" spans="1:1" x14ac:dyDescent="0.2">
      <c r="A256" s="3">
        <v>4690870</v>
      </c>
    </row>
    <row r="257" spans="1:1" x14ac:dyDescent="0.2">
      <c r="A257" s="3">
        <v>4690870</v>
      </c>
    </row>
    <row r="258" spans="1:1" x14ac:dyDescent="0.2">
      <c r="A258" s="3">
        <v>5356000</v>
      </c>
    </row>
    <row r="259" spans="1:1" x14ac:dyDescent="0.2">
      <c r="A259" s="3">
        <v>900000</v>
      </c>
    </row>
    <row r="260" spans="1:1" x14ac:dyDescent="0.2">
      <c r="A260" s="3">
        <v>1648142</v>
      </c>
    </row>
    <row r="261" spans="1:1" x14ac:dyDescent="0.2">
      <c r="A261" s="3">
        <v>4690870</v>
      </c>
    </row>
    <row r="262" spans="1:1" x14ac:dyDescent="0.2">
      <c r="A262" s="3">
        <v>4690870</v>
      </c>
    </row>
    <row r="263" spans="1:1" x14ac:dyDescent="0.2">
      <c r="A263" s="3">
        <v>2535605</v>
      </c>
    </row>
    <row r="264" spans="1:1" x14ac:dyDescent="0.2">
      <c r="A264" s="3">
        <v>6085454</v>
      </c>
    </row>
    <row r="265" spans="1:1" x14ac:dyDescent="0.2">
      <c r="A265" s="3">
        <v>6085454</v>
      </c>
    </row>
    <row r="266" spans="1:1" x14ac:dyDescent="0.2">
      <c r="A266" s="3">
        <v>4690870</v>
      </c>
    </row>
    <row r="267" spans="1:1" x14ac:dyDescent="0.2">
      <c r="A267" s="3">
        <v>4690870</v>
      </c>
    </row>
    <row r="268" spans="1:1" x14ac:dyDescent="0.2">
      <c r="A268" s="3">
        <v>4690870</v>
      </c>
    </row>
    <row r="269" spans="1:1" x14ac:dyDescent="0.2">
      <c r="A269" s="3">
        <v>4690870</v>
      </c>
    </row>
    <row r="270" spans="1:1" x14ac:dyDescent="0.2">
      <c r="A270" s="3">
        <v>4690870</v>
      </c>
    </row>
    <row r="271" spans="1:1" x14ac:dyDescent="0.2">
      <c r="A271" s="3">
        <v>4690870</v>
      </c>
    </row>
    <row r="272" spans="1:1" x14ac:dyDescent="0.2">
      <c r="A272" s="3">
        <v>4690870</v>
      </c>
    </row>
    <row r="273" spans="1:1" x14ac:dyDescent="0.2">
      <c r="A273" s="3">
        <v>4690870</v>
      </c>
    </row>
    <row r="274" spans="1:1" x14ac:dyDescent="0.2">
      <c r="A274" s="3">
        <v>4690870</v>
      </c>
    </row>
    <row r="275" spans="1:1" x14ac:dyDescent="0.2">
      <c r="A275" s="3">
        <v>4690870</v>
      </c>
    </row>
    <row r="276" spans="1:1" x14ac:dyDescent="0.2">
      <c r="A276" s="3">
        <v>4690870</v>
      </c>
    </row>
    <row r="277" spans="1:1" x14ac:dyDescent="0.2">
      <c r="A277" s="3">
        <v>4690870</v>
      </c>
    </row>
    <row r="278" spans="1:1" x14ac:dyDescent="0.2">
      <c r="A278" s="3">
        <v>4690870</v>
      </c>
    </row>
    <row r="279" spans="1:1" x14ac:dyDescent="0.2">
      <c r="A279" s="3">
        <v>4700000</v>
      </c>
    </row>
    <row r="280" spans="1:1" x14ac:dyDescent="0.2">
      <c r="A280" s="3">
        <v>2500000</v>
      </c>
    </row>
    <row r="281" spans="1:1" x14ac:dyDescent="0.2">
      <c r="A281" s="3">
        <v>3500000</v>
      </c>
    </row>
    <row r="282" spans="1:1" x14ac:dyDescent="0.2">
      <c r="A282" s="3">
        <v>2500000</v>
      </c>
    </row>
    <row r="283" spans="1:1" x14ac:dyDescent="0.2">
      <c r="A283" s="3">
        <v>7000000</v>
      </c>
    </row>
    <row r="284" spans="1:1" x14ac:dyDescent="0.2">
      <c r="A284" s="3">
        <v>2500000</v>
      </c>
    </row>
    <row r="285" spans="1:1" x14ac:dyDescent="0.2">
      <c r="A285" s="3">
        <v>2500000</v>
      </c>
    </row>
    <row r="286" spans="1:1" x14ac:dyDescent="0.2">
      <c r="A286" s="3">
        <v>3500000</v>
      </c>
    </row>
    <row r="287" spans="1:1" x14ac:dyDescent="0.2">
      <c r="A287" s="3">
        <v>900000</v>
      </c>
    </row>
    <row r="288" spans="1:1" x14ac:dyDescent="0.2">
      <c r="A288" s="3">
        <v>2000000</v>
      </c>
    </row>
    <row r="289" spans="1:1" x14ac:dyDescent="0.2">
      <c r="A289" s="3">
        <v>2500000</v>
      </c>
    </row>
    <row r="290" spans="1:1" x14ac:dyDescent="0.2">
      <c r="A290" s="3">
        <v>2500000</v>
      </c>
    </row>
    <row r="291" spans="1:1" x14ac:dyDescent="0.2">
      <c r="A291" s="3">
        <v>1200000</v>
      </c>
    </row>
    <row r="292" spans="1:1" x14ac:dyDescent="0.2">
      <c r="A292" s="3">
        <v>1000000</v>
      </c>
    </row>
    <row r="293" spans="1:1" x14ac:dyDescent="0.2">
      <c r="A293" s="3">
        <v>1500000</v>
      </c>
    </row>
    <row r="294" spans="1:1" x14ac:dyDescent="0.2">
      <c r="A294" s="3">
        <v>2800000</v>
      </c>
    </row>
    <row r="295" spans="1:1" x14ac:dyDescent="0.2">
      <c r="A295" s="3">
        <v>2000000</v>
      </c>
    </row>
    <row r="296" spans="1:1" x14ac:dyDescent="0.2">
      <c r="A296" s="3">
        <v>2500000</v>
      </c>
    </row>
    <row r="297" spans="1:1" x14ac:dyDescent="0.2">
      <c r="A297" s="3">
        <v>689455</v>
      </c>
    </row>
    <row r="298" spans="1:1" x14ac:dyDescent="0.2">
      <c r="A298" s="3">
        <v>4000000</v>
      </c>
    </row>
    <row r="299" spans="1:1" x14ac:dyDescent="0.2">
      <c r="A299" s="3">
        <v>3799497</v>
      </c>
    </row>
    <row r="300" spans="1:1" x14ac:dyDescent="0.2">
      <c r="A300" s="3">
        <v>3000000</v>
      </c>
    </row>
    <row r="301" spans="1:1" x14ac:dyDescent="0.2">
      <c r="A301" s="3">
        <v>2000000</v>
      </c>
    </row>
    <row r="302" spans="1:1" x14ac:dyDescent="0.2">
      <c r="A302" s="3">
        <v>4330000</v>
      </c>
    </row>
    <row r="303" spans="1:1" x14ac:dyDescent="0.2">
      <c r="A303" s="3">
        <v>737717</v>
      </c>
    </row>
    <row r="304" spans="1:1" x14ac:dyDescent="0.2">
      <c r="A304" s="3">
        <v>2000000</v>
      </c>
    </row>
    <row r="305" spans="1:1" x14ac:dyDescent="0.2">
      <c r="A305" s="3">
        <v>2000000</v>
      </c>
    </row>
    <row r="306" spans="1:1" x14ac:dyDescent="0.2">
      <c r="A306" s="3">
        <v>2464000</v>
      </c>
    </row>
    <row r="307" spans="1:1" x14ac:dyDescent="0.2">
      <c r="A307" s="3">
        <v>1232000</v>
      </c>
    </row>
    <row r="308" spans="1:1" x14ac:dyDescent="0.2">
      <c r="A308" s="3">
        <v>1000000</v>
      </c>
    </row>
    <row r="309" spans="1:1" x14ac:dyDescent="0.2">
      <c r="A309" s="3">
        <v>3230000</v>
      </c>
    </row>
    <row r="310" spans="1:1" x14ac:dyDescent="0.2">
      <c r="A310" s="3">
        <v>3230000</v>
      </c>
    </row>
    <row r="311" spans="1:1" x14ac:dyDescent="0.2">
      <c r="A311" s="3">
        <v>2000000</v>
      </c>
    </row>
    <row r="312" spans="1:1" x14ac:dyDescent="0.2">
      <c r="A312" s="3">
        <v>3080000</v>
      </c>
    </row>
    <row r="313" spans="1:1" x14ac:dyDescent="0.2">
      <c r="A313" s="3">
        <v>1000000</v>
      </c>
    </row>
    <row r="314" spans="1:1" x14ac:dyDescent="0.2">
      <c r="A314" s="3">
        <v>1000000</v>
      </c>
    </row>
    <row r="315" spans="1:1" x14ac:dyDescent="0.2">
      <c r="A315" s="3">
        <v>1600000</v>
      </c>
    </row>
    <row r="316" spans="1:1" x14ac:dyDescent="0.2">
      <c r="A316" s="3">
        <v>1800000</v>
      </c>
    </row>
    <row r="317" spans="1:1" x14ac:dyDescent="0.2">
      <c r="A317" s="3">
        <v>2000000</v>
      </c>
    </row>
    <row r="318" spans="1:1" x14ac:dyDescent="0.2">
      <c r="A318" s="3">
        <v>1848000</v>
      </c>
    </row>
    <row r="319" spans="1:1" x14ac:dyDescent="0.2">
      <c r="A319" s="3">
        <v>1848000</v>
      </c>
    </row>
    <row r="320" spans="1:1" x14ac:dyDescent="0.2">
      <c r="A320" s="3">
        <v>1848000</v>
      </c>
    </row>
    <row r="321" spans="1:1" x14ac:dyDescent="0.2">
      <c r="A321" s="3">
        <v>3080000</v>
      </c>
    </row>
    <row r="322" spans="1:1" x14ac:dyDescent="0.2">
      <c r="A322" s="3">
        <v>3080000</v>
      </c>
    </row>
    <row r="323" spans="1:1" x14ac:dyDescent="0.2">
      <c r="A323" s="3">
        <v>2464000</v>
      </c>
    </row>
    <row r="324" spans="1:1" x14ac:dyDescent="0.2">
      <c r="A324" s="3">
        <v>3500000</v>
      </c>
    </row>
    <row r="325" spans="1:1" x14ac:dyDescent="0.2">
      <c r="A325" s="3">
        <v>3500000</v>
      </c>
    </row>
    <row r="326" spans="1:1" x14ac:dyDescent="0.2">
      <c r="A326" s="3">
        <v>5500000</v>
      </c>
    </row>
    <row r="327" spans="1:1" x14ac:dyDescent="0.2">
      <c r="A327" s="3">
        <v>6500000</v>
      </c>
    </row>
    <row r="328" spans="1:1" x14ac:dyDescent="0.2">
      <c r="A328" s="3">
        <v>4928000</v>
      </c>
    </row>
    <row r="329" spans="1:1" x14ac:dyDescent="0.2">
      <c r="A329" s="3">
        <v>6500000</v>
      </c>
    </row>
    <row r="330" spans="1:1" x14ac:dyDescent="0.2">
      <c r="A330" s="3">
        <v>1500000</v>
      </c>
    </row>
    <row r="331" spans="1:1" x14ac:dyDescent="0.2">
      <c r="A331" s="3">
        <v>3500000</v>
      </c>
    </row>
    <row r="332" spans="1:1" x14ac:dyDescent="0.2">
      <c r="A332" s="3">
        <v>1500000</v>
      </c>
    </row>
    <row r="333" spans="1:1" x14ac:dyDescent="0.2">
      <c r="A333" s="3">
        <v>2500000</v>
      </c>
    </row>
    <row r="334" spans="1:1" x14ac:dyDescent="0.2">
      <c r="A334" s="3">
        <v>4500000</v>
      </c>
    </row>
    <row r="335" spans="1:1" x14ac:dyDescent="0.2">
      <c r="A335" s="3">
        <v>2800000</v>
      </c>
    </row>
    <row r="336" spans="1:1" x14ac:dyDescent="0.2">
      <c r="A336" s="3">
        <v>2500000</v>
      </c>
    </row>
    <row r="337" spans="1:1" x14ac:dyDescent="0.2">
      <c r="A337" s="3">
        <v>2000000</v>
      </c>
    </row>
    <row r="338" spans="1:1" x14ac:dyDescent="0.2">
      <c r="A338" s="3">
        <v>800000</v>
      </c>
    </row>
    <row r="339" spans="1:1" x14ac:dyDescent="0.2">
      <c r="A339" s="3">
        <v>3000000</v>
      </c>
    </row>
    <row r="340" spans="1:1" x14ac:dyDescent="0.2">
      <c r="A340" s="3">
        <v>3000000</v>
      </c>
    </row>
    <row r="341" spans="1:1" x14ac:dyDescent="0.2">
      <c r="A341" s="3">
        <v>3800000</v>
      </c>
    </row>
    <row r="342" spans="1:1" x14ac:dyDescent="0.2">
      <c r="A342" s="3">
        <v>1848000</v>
      </c>
    </row>
    <row r="343" spans="1:1" x14ac:dyDescent="0.2">
      <c r="A343" s="3">
        <v>1800000</v>
      </c>
    </row>
    <row r="344" spans="1:1" x14ac:dyDescent="0.2">
      <c r="A344" s="3">
        <v>3500000</v>
      </c>
    </row>
    <row r="345" spans="1:1" x14ac:dyDescent="0.2">
      <c r="A345" s="3">
        <v>2300000</v>
      </c>
    </row>
    <row r="346" spans="1:1" x14ac:dyDescent="0.2">
      <c r="A346" s="3">
        <v>2200000</v>
      </c>
    </row>
    <row r="347" spans="1:1" x14ac:dyDescent="0.2">
      <c r="A347" s="3">
        <v>2200000</v>
      </c>
    </row>
    <row r="348" spans="1:1" x14ac:dyDescent="0.2">
      <c r="A348" s="3">
        <v>2000000</v>
      </c>
    </row>
    <row r="349" spans="1:1" x14ac:dyDescent="0.2">
      <c r="A349" s="3">
        <v>2000000</v>
      </c>
    </row>
    <row r="350" spans="1:1" x14ac:dyDescent="0.2">
      <c r="A350" s="3">
        <v>1500000</v>
      </c>
    </row>
    <row r="351" spans="1:1" x14ac:dyDescent="0.2">
      <c r="A351" s="3">
        <v>3800000</v>
      </c>
    </row>
    <row r="352" spans="1:1" x14ac:dyDescent="0.2">
      <c r="A352" s="3">
        <v>2600000</v>
      </c>
    </row>
    <row r="353" spans="1:1" x14ac:dyDescent="0.2">
      <c r="A353" s="3">
        <v>1700000</v>
      </c>
    </row>
    <row r="354" spans="1:1" x14ac:dyDescent="0.2">
      <c r="A354" s="3">
        <v>1848000</v>
      </c>
    </row>
    <row r="355" spans="1:1" x14ac:dyDescent="0.2">
      <c r="A355" s="3">
        <v>1600000</v>
      </c>
    </row>
    <row r="356" spans="1:1" x14ac:dyDescent="0.2">
      <c r="A356" s="3">
        <v>1900000</v>
      </c>
    </row>
    <row r="357" spans="1:1" x14ac:dyDescent="0.2">
      <c r="A357" s="3">
        <v>2500000</v>
      </c>
    </row>
    <row r="358" spans="1:1" x14ac:dyDescent="0.2">
      <c r="A358" s="3">
        <v>2000000</v>
      </c>
    </row>
    <row r="359" spans="1:1" x14ac:dyDescent="0.2">
      <c r="A359" s="3">
        <v>3000000</v>
      </c>
    </row>
    <row r="360" spans="1:1" x14ac:dyDescent="0.2">
      <c r="A360" s="3">
        <v>3000000</v>
      </c>
    </row>
    <row r="361" spans="1:1" x14ac:dyDescent="0.2">
      <c r="A361" s="3">
        <v>1300000</v>
      </c>
    </row>
    <row r="362" spans="1:1" x14ac:dyDescent="0.2">
      <c r="A362" s="3">
        <v>1500000</v>
      </c>
    </row>
    <row r="363" spans="1:1" x14ac:dyDescent="0.2">
      <c r="A363" s="3">
        <v>1500000</v>
      </c>
    </row>
    <row r="364" spans="1:1" x14ac:dyDescent="0.2">
      <c r="A364" s="3">
        <v>1500000</v>
      </c>
    </row>
    <row r="365" spans="1:1" x14ac:dyDescent="0.2">
      <c r="A365" s="3">
        <v>5319702</v>
      </c>
    </row>
    <row r="366" spans="1:1" x14ac:dyDescent="0.2">
      <c r="A366" s="3">
        <v>6246523</v>
      </c>
    </row>
    <row r="367" spans="1:1" x14ac:dyDescent="0.2">
      <c r="A367" s="3">
        <v>6246523</v>
      </c>
    </row>
    <row r="368" spans="1:1" x14ac:dyDescent="0.2">
      <c r="A368" s="3">
        <v>1850000</v>
      </c>
    </row>
    <row r="369" spans="1:1" x14ac:dyDescent="0.2">
      <c r="A369" s="3">
        <v>3696000</v>
      </c>
    </row>
    <row r="370" spans="1:1" x14ac:dyDescent="0.2">
      <c r="A370" s="3">
        <v>2461000</v>
      </c>
    </row>
    <row r="371" spans="1:1" x14ac:dyDescent="0.2">
      <c r="A371" s="3">
        <v>900000</v>
      </c>
    </row>
    <row r="372" spans="1:1" x14ac:dyDescent="0.2">
      <c r="A372" s="3">
        <v>1200000</v>
      </c>
    </row>
    <row r="373" spans="1:1" x14ac:dyDescent="0.2">
      <c r="A373" s="3">
        <v>1500000</v>
      </c>
    </row>
    <row r="374" spans="1:1" x14ac:dyDescent="0.2">
      <c r="A374" s="3">
        <v>1200000</v>
      </c>
    </row>
    <row r="375" spans="1:1" x14ac:dyDescent="0.2">
      <c r="A375" s="3">
        <v>1200000</v>
      </c>
    </row>
    <row r="376" spans="1:1" x14ac:dyDescent="0.2">
      <c r="A376" s="3">
        <v>1800000</v>
      </c>
    </row>
    <row r="377" spans="1:1" x14ac:dyDescent="0.2">
      <c r="A377" s="3">
        <v>1848000</v>
      </c>
    </row>
    <row r="378" spans="1:1" x14ac:dyDescent="0.2">
      <c r="A378" s="3">
        <v>3000000</v>
      </c>
    </row>
    <row r="379" spans="1:1" x14ac:dyDescent="0.2">
      <c r="A379" s="3">
        <v>2100000</v>
      </c>
    </row>
    <row r="380" spans="1:1" x14ac:dyDescent="0.2">
      <c r="A380" s="3">
        <v>2100000</v>
      </c>
    </row>
    <row r="381" spans="1:1" x14ac:dyDescent="0.2">
      <c r="A381" s="3">
        <v>4000000</v>
      </c>
    </row>
    <row r="382" spans="1:1" x14ac:dyDescent="0.2">
      <c r="A382" s="3">
        <v>3000000</v>
      </c>
    </row>
    <row r="383" spans="1:1" x14ac:dyDescent="0.2">
      <c r="A383" s="3">
        <v>2100000</v>
      </c>
    </row>
    <row r="384" spans="1:1" x14ac:dyDescent="0.2">
      <c r="A384" s="3">
        <v>2100000</v>
      </c>
    </row>
    <row r="385" spans="1:1" x14ac:dyDescent="0.2">
      <c r="A385" s="3">
        <v>4000000</v>
      </c>
    </row>
    <row r="386" spans="1:1" x14ac:dyDescent="0.2">
      <c r="A386" s="3">
        <v>3080000</v>
      </c>
    </row>
    <row r="387" spans="1:1" x14ac:dyDescent="0.2">
      <c r="A387" s="3">
        <v>2500000</v>
      </c>
    </row>
    <row r="388" spans="1:1" x14ac:dyDescent="0.2">
      <c r="A388" s="3">
        <v>2400000</v>
      </c>
    </row>
    <row r="389" spans="1:1" x14ac:dyDescent="0.2">
      <c r="A389" s="3">
        <v>2464000</v>
      </c>
    </row>
    <row r="390" spans="1:1" x14ac:dyDescent="0.2">
      <c r="A390" s="3">
        <v>2464000</v>
      </c>
    </row>
    <row r="391" spans="1:1" x14ac:dyDescent="0.2">
      <c r="A391" s="3">
        <v>2464000</v>
      </c>
    </row>
    <row r="392" spans="1:1" x14ac:dyDescent="0.2">
      <c r="A392" s="3">
        <v>2464000</v>
      </c>
    </row>
    <row r="393" spans="1:1" x14ac:dyDescent="0.2">
      <c r="A393" s="3">
        <v>2464000</v>
      </c>
    </row>
    <row r="394" spans="1:1" x14ac:dyDescent="0.2">
      <c r="A394" s="3">
        <v>2400000</v>
      </c>
    </row>
    <row r="395" spans="1:1" x14ac:dyDescent="0.2">
      <c r="A395" s="3">
        <v>5200000</v>
      </c>
    </row>
    <row r="396" spans="1:1" x14ac:dyDescent="0.2">
      <c r="A396" s="3">
        <v>4500000</v>
      </c>
    </row>
    <row r="397" spans="1:1" x14ac:dyDescent="0.2">
      <c r="A397" s="3">
        <v>4500000</v>
      </c>
    </row>
    <row r="398" spans="1:1" x14ac:dyDescent="0.2">
      <c r="A398" s="3">
        <v>4200000</v>
      </c>
    </row>
    <row r="399" spans="1:1" x14ac:dyDescent="0.2">
      <c r="A399" s="3">
        <v>6800000</v>
      </c>
    </row>
    <row r="400" spans="1:1" x14ac:dyDescent="0.2">
      <c r="A400" s="3">
        <v>5500000</v>
      </c>
    </row>
    <row r="401" spans="1:1" x14ac:dyDescent="0.2">
      <c r="A401" s="3">
        <v>9000000</v>
      </c>
    </row>
    <row r="402" spans="1:1" x14ac:dyDescent="0.2">
      <c r="A402" s="3">
        <v>4500000</v>
      </c>
    </row>
    <row r="403" spans="1:1" x14ac:dyDescent="0.2">
      <c r="A403" s="3">
        <v>2400000</v>
      </c>
    </row>
    <row r="404" spans="1:1" x14ac:dyDescent="0.2">
      <c r="A404" s="3">
        <v>4200000</v>
      </c>
    </row>
    <row r="405" spans="1:1" x14ac:dyDescent="0.2">
      <c r="A405" s="3">
        <v>1171862</v>
      </c>
    </row>
    <row r="406" spans="1:1" x14ac:dyDescent="0.2">
      <c r="A406" s="3">
        <v>5200000</v>
      </c>
    </row>
    <row r="407" spans="1:1" x14ac:dyDescent="0.2">
      <c r="A407" s="3">
        <v>2800000</v>
      </c>
    </row>
    <row r="408" spans="1:1" x14ac:dyDescent="0.2">
      <c r="A408" s="3">
        <v>2000000</v>
      </c>
    </row>
    <row r="409" spans="1:1" x14ac:dyDescent="0.2">
      <c r="A409" s="3">
        <v>2000000</v>
      </c>
    </row>
    <row r="410" spans="1:1" x14ac:dyDescent="0.2">
      <c r="A410" s="3">
        <v>1000000</v>
      </c>
    </row>
    <row r="411" spans="1:1" x14ac:dyDescent="0.2">
      <c r="A411" s="3">
        <v>2500000</v>
      </c>
    </row>
    <row r="412" spans="1:1" x14ac:dyDescent="0.2">
      <c r="A412" s="3">
        <v>4200000</v>
      </c>
    </row>
    <row r="413" spans="1:1" x14ac:dyDescent="0.2">
      <c r="A413" s="3">
        <v>4700000</v>
      </c>
    </row>
    <row r="414" spans="1:1" x14ac:dyDescent="0.2">
      <c r="A414" s="3">
        <v>2000000</v>
      </c>
    </row>
    <row r="415" spans="1:1" x14ac:dyDescent="0.2">
      <c r="A415" s="3">
        <v>1500000</v>
      </c>
    </row>
    <row r="416" spans="1:1" x14ac:dyDescent="0.2">
      <c r="A416" s="3">
        <v>2500000</v>
      </c>
    </row>
    <row r="417" spans="1:1" x14ac:dyDescent="0.2">
      <c r="A417" s="3">
        <v>2000000</v>
      </c>
    </row>
    <row r="418" spans="1:1" x14ac:dyDescent="0.2">
      <c r="A418" s="3">
        <v>1370000</v>
      </c>
    </row>
    <row r="419" spans="1:1" x14ac:dyDescent="0.2">
      <c r="A419" s="3">
        <v>1800000</v>
      </c>
    </row>
    <row r="420" spans="1:1" x14ac:dyDescent="0.2">
      <c r="A420" s="3">
        <v>1000000</v>
      </c>
    </row>
    <row r="421" spans="1:1" x14ac:dyDescent="0.2">
      <c r="A421" s="3">
        <v>5934172</v>
      </c>
    </row>
    <row r="422" spans="1:1" x14ac:dyDescent="0.2">
      <c r="A422" s="3">
        <v>5934172</v>
      </c>
    </row>
    <row r="423" spans="1:1" x14ac:dyDescent="0.2">
      <c r="A423" s="3">
        <v>4574257</v>
      </c>
    </row>
    <row r="424" spans="1:1" x14ac:dyDescent="0.2">
      <c r="A424" s="3">
        <v>4574257</v>
      </c>
    </row>
    <row r="425" spans="1:1" x14ac:dyDescent="0.2">
      <c r="A425" s="3">
        <v>5934172</v>
      </c>
    </row>
    <row r="426" spans="1:1" x14ac:dyDescent="0.2">
      <c r="A426" s="3">
        <v>4574257</v>
      </c>
    </row>
    <row r="427" spans="1:1" x14ac:dyDescent="0.2">
      <c r="A427" s="3">
        <v>4574257</v>
      </c>
    </row>
    <row r="428" spans="1:1" x14ac:dyDescent="0.2">
      <c r="A428" s="3">
        <v>4574257</v>
      </c>
    </row>
    <row r="429" spans="1:1" x14ac:dyDescent="0.2">
      <c r="A429" s="3">
        <v>1200000</v>
      </c>
    </row>
    <row r="430" spans="1:1" x14ac:dyDescent="0.2">
      <c r="A430" s="3">
        <v>4000000</v>
      </c>
    </row>
    <row r="431" spans="1:1" x14ac:dyDescent="0.2">
      <c r="A431" s="3">
        <v>1300000</v>
      </c>
    </row>
    <row r="432" spans="1:1" x14ac:dyDescent="0.2">
      <c r="A432" s="3">
        <v>1200000</v>
      </c>
    </row>
    <row r="433" spans="1:1" x14ac:dyDescent="0.2">
      <c r="A433" s="3">
        <v>1000000</v>
      </c>
    </row>
    <row r="434" spans="1:1" x14ac:dyDescent="0.2">
      <c r="A434" s="3">
        <v>689455</v>
      </c>
    </row>
    <row r="435" spans="1:1" x14ac:dyDescent="0.2">
      <c r="A435" s="3">
        <v>1378908</v>
      </c>
    </row>
    <row r="436" spans="1:1" x14ac:dyDescent="0.2">
      <c r="A436" s="3">
        <v>2300000</v>
      </c>
    </row>
    <row r="437" spans="1:1" x14ac:dyDescent="0.2">
      <c r="A437" s="3">
        <v>3696000</v>
      </c>
    </row>
    <row r="438" spans="1:1" x14ac:dyDescent="0.2">
      <c r="A438" s="3">
        <v>2000000</v>
      </c>
    </row>
    <row r="439" spans="1:1" x14ac:dyDescent="0.2">
      <c r="A439" s="3">
        <v>2200000</v>
      </c>
    </row>
    <row r="440" spans="1:1" x14ac:dyDescent="0.2">
      <c r="A440" s="3">
        <v>2464000</v>
      </c>
    </row>
    <row r="441" spans="1:1" x14ac:dyDescent="0.2">
      <c r="A441" s="3">
        <v>2547000</v>
      </c>
    </row>
    <row r="442" spans="1:1" x14ac:dyDescent="0.2">
      <c r="A442" s="3">
        <v>2800000</v>
      </c>
    </row>
    <row r="443" spans="1:1" x14ac:dyDescent="0.2">
      <c r="A443" s="3">
        <v>3000000</v>
      </c>
    </row>
    <row r="444" spans="1:1" x14ac:dyDescent="0.2">
      <c r="A444" s="3">
        <v>3000000</v>
      </c>
    </row>
    <row r="445" spans="1:1" x14ac:dyDescent="0.2">
      <c r="A445" s="3">
        <v>3000000</v>
      </c>
    </row>
    <row r="446" spans="1:1" x14ac:dyDescent="0.2">
      <c r="A446" s="3">
        <v>4289220</v>
      </c>
    </row>
    <row r="447" spans="1:1" x14ac:dyDescent="0.2">
      <c r="A447" s="3">
        <v>3400000</v>
      </c>
    </row>
    <row r="448" spans="1:1" x14ac:dyDescent="0.2">
      <c r="A448" s="3">
        <v>3080000</v>
      </c>
    </row>
    <row r="449" spans="1:1" x14ac:dyDescent="0.2">
      <c r="A449" s="3">
        <v>4312000</v>
      </c>
    </row>
    <row r="450" spans="1:1" x14ac:dyDescent="0.2">
      <c r="A450" s="3">
        <v>4729140</v>
      </c>
    </row>
    <row r="451" spans="1:1" x14ac:dyDescent="0.2">
      <c r="A451" s="3">
        <v>4289220</v>
      </c>
    </row>
    <row r="452" spans="1:1" x14ac:dyDescent="0.2">
      <c r="A452" s="3">
        <v>3724377</v>
      </c>
    </row>
    <row r="453" spans="1:1" x14ac:dyDescent="0.2">
      <c r="A453" s="3">
        <v>2656250</v>
      </c>
    </row>
    <row r="454" spans="1:1" x14ac:dyDescent="0.2">
      <c r="A454" s="3">
        <v>4000000</v>
      </c>
    </row>
    <row r="455" spans="1:1" x14ac:dyDescent="0.2">
      <c r="A455" s="3">
        <v>4000000</v>
      </c>
    </row>
    <row r="456" spans="1:1" x14ac:dyDescent="0.2">
      <c r="A456" s="3">
        <v>4000000</v>
      </c>
    </row>
    <row r="457" spans="1:1" x14ac:dyDescent="0.2">
      <c r="A457" s="3">
        <v>1848000</v>
      </c>
    </row>
    <row r="458" spans="1:1" x14ac:dyDescent="0.2">
      <c r="A458" s="3">
        <v>2200000</v>
      </c>
    </row>
    <row r="459" spans="1:1" x14ac:dyDescent="0.2">
      <c r="A459" s="3">
        <v>2750000</v>
      </c>
    </row>
    <row r="460" spans="1:1" x14ac:dyDescent="0.2">
      <c r="A460" s="3">
        <v>2500000</v>
      </c>
    </row>
    <row r="461" spans="1:1" x14ac:dyDescent="0.2">
      <c r="A461" s="3">
        <v>1500000</v>
      </c>
    </row>
    <row r="462" spans="1:1" x14ac:dyDescent="0.2">
      <c r="A462" s="3">
        <v>1200000</v>
      </c>
    </row>
    <row r="463" spans="1:1" x14ac:dyDescent="0.2">
      <c r="A463" s="3">
        <v>644350</v>
      </c>
    </row>
    <row r="464" spans="1:1" x14ac:dyDescent="0.2">
      <c r="A464" s="3">
        <v>1000000</v>
      </c>
    </row>
    <row r="465" spans="1:1" x14ac:dyDescent="0.2">
      <c r="A465" s="3">
        <v>1800000</v>
      </c>
    </row>
    <row r="466" spans="1:1" x14ac:dyDescent="0.2">
      <c r="A466" s="3">
        <v>1000000</v>
      </c>
    </row>
    <row r="467" spans="1:1" x14ac:dyDescent="0.2">
      <c r="A467" s="3">
        <v>3600000</v>
      </c>
    </row>
    <row r="468" spans="1:1" x14ac:dyDescent="0.2">
      <c r="A468" s="3">
        <v>1500000</v>
      </c>
    </row>
    <row r="469" spans="1:1" x14ac:dyDescent="0.2">
      <c r="A469" s="3">
        <v>1500000</v>
      </c>
    </row>
    <row r="470" spans="1:1" x14ac:dyDescent="0.2">
      <c r="A470" s="3">
        <v>1500000</v>
      </c>
    </row>
    <row r="471" spans="1:1" x14ac:dyDescent="0.2">
      <c r="A471" s="3">
        <v>2464000</v>
      </c>
    </row>
    <row r="472" spans="1:1" x14ac:dyDescent="0.2">
      <c r="A472" s="3">
        <v>2464000</v>
      </c>
    </row>
    <row r="473" spans="1:1" x14ac:dyDescent="0.2">
      <c r="A473" s="3">
        <v>1848000</v>
      </c>
    </row>
    <row r="474" spans="1:1" x14ac:dyDescent="0.2">
      <c r="A474" s="3">
        <v>2550000</v>
      </c>
    </row>
    <row r="475" spans="1:1" x14ac:dyDescent="0.2">
      <c r="A475" s="3">
        <v>850000</v>
      </c>
    </row>
    <row r="476" spans="1:1" x14ac:dyDescent="0.2">
      <c r="A476" s="3">
        <v>1200000</v>
      </c>
    </row>
    <row r="477" spans="1:1" x14ac:dyDescent="0.2">
      <c r="A477" s="3">
        <v>2000000</v>
      </c>
    </row>
    <row r="478" spans="1:1" x14ac:dyDescent="0.2">
      <c r="A478" s="3">
        <v>1500000</v>
      </c>
    </row>
    <row r="479" spans="1:1" x14ac:dyDescent="0.2">
      <c r="A479" s="3">
        <v>3080000</v>
      </c>
    </row>
    <row r="480" spans="1:1" x14ac:dyDescent="0.2">
      <c r="A480" s="3">
        <v>1500000</v>
      </c>
    </row>
    <row r="481" spans="1:1" x14ac:dyDescent="0.2">
      <c r="A481" s="3">
        <v>2500000</v>
      </c>
    </row>
    <row r="482" spans="1:1" x14ac:dyDescent="0.2">
      <c r="A482" s="3">
        <v>1188666</v>
      </c>
    </row>
    <row r="483" spans="1:1" x14ac:dyDescent="0.2">
      <c r="A483" s="3">
        <v>2700000</v>
      </c>
    </row>
    <row r="484" spans="1:1" x14ac:dyDescent="0.2">
      <c r="A484" s="3">
        <v>1323754</v>
      </c>
    </row>
    <row r="485" spans="1:1" x14ac:dyDescent="0.2">
      <c r="A485" s="3">
        <v>1323754</v>
      </c>
    </row>
    <row r="486" spans="1:1" x14ac:dyDescent="0.2">
      <c r="A486" s="3">
        <v>1200000</v>
      </c>
    </row>
    <row r="487" spans="1:1" x14ac:dyDescent="0.2">
      <c r="A487" s="3">
        <v>2000000</v>
      </c>
    </row>
    <row r="488" spans="1:1" x14ac:dyDescent="0.2">
      <c r="A488" s="3">
        <v>1600000</v>
      </c>
    </row>
    <row r="489" spans="1:1" x14ac:dyDescent="0.2">
      <c r="A489" s="3">
        <v>800000</v>
      </c>
    </row>
    <row r="490" spans="1:1" x14ac:dyDescent="0.2">
      <c r="A490" s="3">
        <v>800000</v>
      </c>
    </row>
    <row r="491" spans="1:1" x14ac:dyDescent="0.2">
      <c r="A491" s="3">
        <v>3000000</v>
      </c>
    </row>
    <row r="492" spans="1:1" x14ac:dyDescent="0.2">
      <c r="A492" s="3">
        <v>3000000</v>
      </c>
    </row>
    <row r="493" spans="1:1" x14ac:dyDescent="0.2">
      <c r="A493" s="3">
        <v>4574256</v>
      </c>
    </row>
    <row r="494" spans="1:1" x14ac:dyDescent="0.2">
      <c r="A494" s="3">
        <v>4575256</v>
      </c>
    </row>
    <row r="495" spans="1:1" x14ac:dyDescent="0.2">
      <c r="A495" s="3">
        <v>4757256</v>
      </c>
    </row>
    <row r="496" spans="1:1" x14ac:dyDescent="0.2">
      <c r="A496" s="3">
        <v>4574256</v>
      </c>
    </row>
    <row r="497" spans="1:1" x14ac:dyDescent="0.2">
      <c r="A497" s="3">
        <v>1600000</v>
      </c>
    </row>
    <row r="498" spans="1:1" x14ac:dyDescent="0.2">
      <c r="A498" s="3">
        <v>1300000</v>
      </c>
    </row>
    <row r="499" spans="1:1" x14ac:dyDescent="0.2">
      <c r="A499" s="3">
        <v>1987990</v>
      </c>
    </row>
    <row r="500" spans="1:1" x14ac:dyDescent="0.2">
      <c r="A500" s="3">
        <v>3500000</v>
      </c>
    </row>
    <row r="501" spans="1:1" x14ac:dyDescent="0.2">
      <c r="A501" s="3">
        <v>2300000</v>
      </c>
    </row>
    <row r="502" spans="1:1" x14ac:dyDescent="0.2">
      <c r="A502" s="3">
        <v>2500000</v>
      </c>
    </row>
    <row r="503" spans="1:1" x14ac:dyDescent="0.2">
      <c r="A503" s="3">
        <v>5000000</v>
      </c>
    </row>
    <row r="504" spans="1:1" x14ac:dyDescent="0.2">
      <c r="A504" s="3">
        <v>2000000</v>
      </c>
    </row>
    <row r="505" spans="1:1" x14ac:dyDescent="0.2">
      <c r="A505" s="3">
        <v>2000000</v>
      </c>
    </row>
    <row r="506" spans="1:1" x14ac:dyDescent="0.2">
      <c r="A506" s="3">
        <v>2000000</v>
      </c>
    </row>
    <row r="507" spans="1:1" x14ac:dyDescent="0.2">
      <c r="A507" s="3">
        <v>2000000</v>
      </c>
    </row>
    <row r="508" spans="1:1" x14ac:dyDescent="0.2">
      <c r="A508" s="3">
        <v>2000000</v>
      </c>
    </row>
    <row r="509" spans="1:1" x14ac:dyDescent="0.2">
      <c r="A509" s="3">
        <v>3000000</v>
      </c>
    </row>
    <row r="510" spans="1:1" x14ac:dyDescent="0.2">
      <c r="A510" s="3">
        <v>3000000</v>
      </c>
    </row>
    <row r="511" spans="1:1" x14ac:dyDescent="0.2">
      <c r="A511" s="3">
        <v>2800000</v>
      </c>
    </row>
    <row r="512" spans="1:1" x14ac:dyDescent="0.2">
      <c r="A512" s="3">
        <v>3000000</v>
      </c>
    </row>
    <row r="513" spans="1:1" x14ac:dyDescent="0.2">
      <c r="A513" s="3">
        <v>3000000</v>
      </c>
    </row>
    <row r="514" spans="1:1" x14ac:dyDescent="0.2">
      <c r="A514" s="3">
        <v>3000000</v>
      </c>
    </row>
    <row r="515" spans="1:1" x14ac:dyDescent="0.2">
      <c r="A515" s="3">
        <v>3000000</v>
      </c>
    </row>
    <row r="516" spans="1:1" x14ac:dyDescent="0.2">
      <c r="A516" s="3">
        <v>3000000</v>
      </c>
    </row>
    <row r="517" spans="1:1" x14ac:dyDescent="0.2">
      <c r="A517" s="3">
        <v>3600000</v>
      </c>
    </row>
    <row r="518" spans="1:1" x14ac:dyDescent="0.2">
      <c r="A518" s="3">
        <v>2800000</v>
      </c>
    </row>
    <row r="519" spans="1:1" x14ac:dyDescent="0.2">
      <c r="A519" s="3">
        <v>4200000</v>
      </c>
    </row>
    <row r="520" spans="1:1" x14ac:dyDescent="0.2">
      <c r="A520" s="3">
        <v>3000000</v>
      </c>
    </row>
    <row r="521" spans="1:1" x14ac:dyDescent="0.2">
      <c r="A521" s="3">
        <v>3000000</v>
      </c>
    </row>
    <row r="522" spans="1:1" x14ac:dyDescent="0.2">
      <c r="A522" s="3">
        <v>3000000</v>
      </c>
    </row>
    <row r="523" spans="1:1" x14ac:dyDescent="0.2">
      <c r="A523" s="3">
        <v>6000000</v>
      </c>
    </row>
    <row r="524" spans="1:1" x14ac:dyDescent="0.2">
      <c r="A524" s="3">
        <v>3000000</v>
      </c>
    </row>
    <row r="525" spans="1:1" x14ac:dyDescent="0.2">
      <c r="A525" s="3">
        <v>3000000</v>
      </c>
    </row>
    <row r="526" spans="1:1" x14ac:dyDescent="0.2">
      <c r="A526" s="3">
        <v>3000000</v>
      </c>
    </row>
    <row r="527" spans="1:1" x14ac:dyDescent="0.2">
      <c r="A527" s="3">
        <v>3000000</v>
      </c>
    </row>
    <row r="528" spans="1:1" x14ac:dyDescent="0.2">
      <c r="A528" s="3">
        <v>3000000</v>
      </c>
    </row>
    <row r="529" spans="1:1" x14ac:dyDescent="0.2">
      <c r="A529" s="3">
        <v>3000000</v>
      </c>
    </row>
    <row r="530" spans="1:1" x14ac:dyDescent="0.2">
      <c r="A530" s="3">
        <v>1600000</v>
      </c>
    </row>
    <row r="531" spans="1:1" x14ac:dyDescent="0.2">
      <c r="A531" s="3">
        <v>4000000</v>
      </c>
    </row>
    <row r="532" spans="1:1" x14ac:dyDescent="0.2">
      <c r="A532" s="3">
        <v>4037965</v>
      </c>
    </row>
    <row r="533" spans="1:1" x14ac:dyDescent="0.2">
      <c r="A533" s="3">
        <v>3595200</v>
      </c>
    </row>
    <row r="534" spans="1:1" x14ac:dyDescent="0.2">
      <c r="A534" s="3">
        <v>3903700</v>
      </c>
    </row>
    <row r="535" spans="1:1" x14ac:dyDescent="0.2">
      <c r="A535" s="3">
        <v>12000000</v>
      </c>
    </row>
    <row r="536" spans="1:1" x14ac:dyDescent="0.2">
      <c r="A536" s="3">
        <v>3900000</v>
      </c>
    </row>
    <row r="537" spans="1:1" x14ac:dyDescent="0.2">
      <c r="A537" s="3">
        <v>3100000</v>
      </c>
    </row>
    <row r="538" spans="1:1" x14ac:dyDescent="0.2">
      <c r="A538" s="3">
        <v>3700000</v>
      </c>
    </row>
    <row r="539" spans="1:1" x14ac:dyDescent="0.2">
      <c r="A539" s="3">
        <v>6000000</v>
      </c>
    </row>
    <row r="540" spans="1:1" x14ac:dyDescent="0.2">
      <c r="A540" s="3">
        <v>2800000</v>
      </c>
    </row>
    <row r="541" spans="1:1" x14ac:dyDescent="0.2">
      <c r="A541" s="3">
        <v>2800000</v>
      </c>
    </row>
    <row r="542" spans="1:1" x14ac:dyDescent="0.2">
      <c r="A542" s="3">
        <v>1818190</v>
      </c>
    </row>
    <row r="543" spans="1:1" x14ac:dyDescent="0.2">
      <c r="A543" s="3">
        <v>900000</v>
      </c>
    </row>
    <row r="544" spans="1:1" x14ac:dyDescent="0.2">
      <c r="A544" s="3">
        <v>10500000</v>
      </c>
    </row>
    <row r="545" spans="1:1" x14ac:dyDescent="0.2">
      <c r="A545" s="3">
        <v>2960526</v>
      </c>
    </row>
    <row r="546" spans="1:1" x14ac:dyDescent="0.2">
      <c r="A546" s="3">
        <v>2000000</v>
      </c>
    </row>
    <row r="547" spans="1:1" x14ac:dyDescent="0.2">
      <c r="A547" s="3">
        <v>2000000</v>
      </c>
    </row>
    <row r="548" spans="1:1" x14ac:dyDescent="0.2">
      <c r="A548" s="3">
        <v>2960526</v>
      </c>
    </row>
    <row r="549" spans="1:1" x14ac:dyDescent="0.2">
      <c r="A549" s="3">
        <v>1500000</v>
      </c>
    </row>
    <row r="550" spans="1:1" x14ac:dyDescent="0.2">
      <c r="A550" s="3">
        <v>2500000</v>
      </c>
    </row>
    <row r="551" spans="1:1" x14ac:dyDescent="0.2">
      <c r="A551" s="3">
        <v>2150000</v>
      </c>
    </row>
    <row r="552" spans="1:1" x14ac:dyDescent="0.2">
      <c r="A552" s="3">
        <v>4050000</v>
      </c>
    </row>
    <row r="553" spans="1:1" x14ac:dyDescent="0.2">
      <c r="A553" s="3">
        <v>1500000</v>
      </c>
    </row>
    <row r="554" spans="1:1" x14ac:dyDescent="0.2">
      <c r="A554" s="3">
        <v>4500000</v>
      </c>
    </row>
    <row r="555" spans="1:1" x14ac:dyDescent="0.2">
      <c r="A555" s="3">
        <v>1000000</v>
      </c>
    </row>
    <row r="556" spans="1:1" x14ac:dyDescent="0.2">
      <c r="A556" s="3">
        <v>2566667</v>
      </c>
    </row>
    <row r="557" spans="1:1" x14ac:dyDescent="0.2">
      <c r="A557" s="3">
        <v>3000000</v>
      </c>
    </row>
    <row r="558" spans="1:1" x14ac:dyDescent="0.2">
      <c r="A558" s="3">
        <v>3000000</v>
      </c>
    </row>
    <row r="559" spans="1:1" x14ac:dyDescent="0.2">
      <c r="A559" s="3">
        <v>3000000</v>
      </c>
    </row>
    <row r="560" spans="1:1" x14ac:dyDescent="0.2">
      <c r="A560" s="3">
        <v>3000000</v>
      </c>
    </row>
    <row r="561" spans="1:1" x14ac:dyDescent="0.2">
      <c r="A561" s="3">
        <v>2250000</v>
      </c>
    </row>
    <row r="562" spans="1:1" x14ac:dyDescent="0.2">
      <c r="A562" s="3">
        <v>2832000</v>
      </c>
    </row>
    <row r="563" spans="1:1" x14ac:dyDescent="0.2">
      <c r="A563" s="3">
        <v>4312000</v>
      </c>
    </row>
    <row r="564" spans="1:1" x14ac:dyDescent="0.2">
      <c r="A564" s="3">
        <v>1200000</v>
      </c>
    </row>
    <row r="565" spans="1:1" x14ac:dyDescent="0.2">
      <c r="A565" s="3">
        <v>2000000</v>
      </c>
    </row>
    <row r="566" spans="1:1" x14ac:dyDescent="0.2">
      <c r="A566" s="3">
        <v>2000000</v>
      </c>
    </row>
    <row r="567" spans="1:1" x14ac:dyDescent="0.2">
      <c r="A567" s="3">
        <v>1500000</v>
      </c>
    </row>
    <row r="568" spans="1:1" x14ac:dyDescent="0.2">
      <c r="A568" s="3">
        <v>1600000</v>
      </c>
    </row>
    <row r="569" spans="1:1" x14ac:dyDescent="0.2">
      <c r="A569" s="3">
        <v>3000000</v>
      </c>
    </row>
    <row r="570" spans="1:1" x14ac:dyDescent="0.2">
      <c r="A570" s="3">
        <v>3000000</v>
      </c>
    </row>
    <row r="571" spans="1:1" x14ac:dyDescent="0.2">
      <c r="A571" s="3">
        <v>3200000</v>
      </c>
    </row>
    <row r="572" spans="1:1" x14ac:dyDescent="0.2">
      <c r="A572" s="3">
        <v>1800000</v>
      </c>
    </row>
    <row r="573" spans="1:1" x14ac:dyDescent="0.2">
      <c r="A573" s="3">
        <v>6160000</v>
      </c>
    </row>
    <row r="574" spans="1:1" x14ac:dyDescent="0.2">
      <c r="A574" s="3">
        <v>3500000</v>
      </c>
    </row>
    <row r="575" spans="1:1" x14ac:dyDescent="0.2">
      <c r="A575" s="3">
        <v>2500000</v>
      </c>
    </row>
    <row r="576" spans="1:1" x14ac:dyDescent="0.2">
      <c r="A576" s="3">
        <v>689655</v>
      </c>
    </row>
    <row r="577" spans="1:1" x14ac:dyDescent="0.2">
      <c r="A577" s="3">
        <v>1893235</v>
      </c>
    </row>
    <row r="578" spans="1:1" x14ac:dyDescent="0.2">
      <c r="A578" s="3">
        <v>2297618</v>
      </c>
    </row>
    <row r="579" spans="1:1" x14ac:dyDescent="0.2">
      <c r="A579" s="3">
        <v>2464000</v>
      </c>
    </row>
    <row r="580" spans="1:1" x14ac:dyDescent="0.2">
      <c r="A580" s="3">
        <v>1848000</v>
      </c>
    </row>
    <row r="581" spans="1:1" x14ac:dyDescent="0.2">
      <c r="A581" s="3">
        <v>2500000</v>
      </c>
    </row>
    <row r="582" spans="1:1" x14ac:dyDescent="0.2">
      <c r="A582" s="3">
        <v>2500000</v>
      </c>
    </row>
    <row r="583" spans="1:1" x14ac:dyDescent="0.2">
      <c r="A583" s="3">
        <v>2000000</v>
      </c>
    </row>
    <row r="584" spans="1:1" x14ac:dyDescent="0.2">
      <c r="A584" s="3">
        <v>1800000</v>
      </c>
    </row>
    <row r="585" spans="1:1" x14ac:dyDescent="0.2">
      <c r="A585" s="3">
        <v>1500000</v>
      </c>
    </row>
    <row r="586" spans="1:1" x14ac:dyDescent="0.2">
      <c r="A586" s="3">
        <v>3696000</v>
      </c>
    </row>
    <row r="587" spans="1:1" x14ac:dyDescent="0.2">
      <c r="A587" s="3">
        <v>4200000</v>
      </c>
    </row>
    <row r="588" spans="1:1" x14ac:dyDescent="0.2">
      <c r="A588" s="3">
        <v>5544000</v>
      </c>
    </row>
    <row r="589" spans="1:1" x14ac:dyDescent="0.2">
      <c r="A589" s="3">
        <v>4312000</v>
      </c>
    </row>
    <row r="590" spans="1:1" x14ac:dyDescent="0.2">
      <c r="A590" s="3">
        <v>5000000</v>
      </c>
    </row>
    <row r="591" spans="1:1" x14ac:dyDescent="0.2">
      <c r="A591" s="3">
        <v>3696000</v>
      </c>
    </row>
    <row r="592" spans="1:1" x14ac:dyDescent="0.2">
      <c r="A592" s="3">
        <v>3696000</v>
      </c>
    </row>
    <row r="593" spans="1:1" x14ac:dyDescent="0.2">
      <c r="A593" s="3">
        <v>4261000</v>
      </c>
    </row>
    <row r="594" spans="1:1" x14ac:dyDescent="0.2">
      <c r="A594" s="3">
        <v>737717</v>
      </c>
    </row>
    <row r="595" spans="1:1" x14ac:dyDescent="0.2">
      <c r="A595" s="3">
        <v>5000000</v>
      </c>
    </row>
    <row r="596" spans="1:1" x14ac:dyDescent="0.2">
      <c r="A596" s="3">
        <v>5500000</v>
      </c>
    </row>
    <row r="597" spans="1:1" x14ac:dyDescent="0.2">
      <c r="A597" s="3">
        <v>4500000</v>
      </c>
    </row>
    <row r="598" spans="1:1" x14ac:dyDescent="0.2">
      <c r="A598" s="3">
        <v>3500000</v>
      </c>
    </row>
    <row r="599" spans="1:1" x14ac:dyDescent="0.2">
      <c r="A599" s="3">
        <v>6575514</v>
      </c>
    </row>
    <row r="600" spans="1:1" x14ac:dyDescent="0.2">
      <c r="A600" s="3">
        <v>6575514</v>
      </c>
    </row>
    <row r="601" spans="1:1" x14ac:dyDescent="0.2">
      <c r="A601" s="3">
        <v>4000000</v>
      </c>
    </row>
    <row r="602" spans="1:1" x14ac:dyDescent="0.2">
      <c r="A602" s="3">
        <v>3000000</v>
      </c>
    </row>
    <row r="603" spans="1:1" x14ac:dyDescent="0.2">
      <c r="A603" s="3">
        <v>2000000</v>
      </c>
    </row>
    <row r="604" spans="1:1" x14ac:dyDescent="0.2">
      <c r="A604" s="3">
        <v>4261000</v>
      </c>
    </row>
    <row r="605" spans="1:1" x14ac:dyDescent="0.2">
      <c r="A605" s="3">
        <v>5000000</v>
      </c>
    </row>
    <row r="606" spans="1:1" x14ac:dyDescent="0.2">
      <c r="A606" s="3">
        <v>4312000</v>
      </c>
    </row>
    <row r="607" spans="1:1" x14ac:dyDescent="0.2">
      <c r="A607" s="3">
        <v>4312000</v>
      </c>
    </row>
    <row r="608" spans="1:1" x14ac:dyDescent="0.2">
      <c r="A608" s="3">
        <v>4312000</v>
      </c>
    </row>
    <row r="609" spans="1:1" x14ac:dyDescent="0.2">
      <c r="A609" s="3">
        <v>4312000</v>
      </c>
    </row>
    <row r="610" spans="1:1" x14ac:dyDescent="0.2">
      <c r="A610" s="3">
        <v>3000000</v>
      </c>
    </row>
    <row r="611" spans="1:1" x14ac:dyDescent="0.2">
      <c r="A611" s="3">
        <v>4312000</v>
      </c>
    </row>
    <row r="612" spans="1:1" x14ac:dyDescent="0.2">
      <c r="A612" s="3">
        <v>4312000</v>
      </c>
    </row>
    <row r="613" spans="1:1" x14ac:dyDescent="0.2">
      <c r="A613" s="3">
        <v>4261000</v>
      </c>
    </row>
    <row r="614" spans="1:1" x14ac:dyDescent="0.2">
      <c r="A614" s="3">
        <v>4500000</v>
      </c>
    </row>
    <row r="615" spans="1:1" x14ac:dyDescent="0.2">
      <c r="A615" s="3">
        <v>4700000</v>
      </c>
    </row>
    <row r="616" spans="1:1" x14ac:dyDescent="0.2">
      <c r="A616" s="3">
        <v>4700000</v>
      </c>
    </row>
    <row r="617" spans="1:1" x14ac:dyDescent="0.2">
      <c r="A617" s="3">
        <v>4700000</v>
      </c>
    </row>
    <row r="618" spans="1:1" x14ac:dyDescent="0.2">
      <c r="A618" s="3">
        <v>4700000</v>
      </c>
    </row>
    <row r="619" spans="1:1" x14ac:dyDescent="0.2">
      <c r="A619" s="3">
        <v>4312000</v>
      </c>
    </row>
    <row r="620" spans="1:1" x14ac:dyDescent="0.2">
      <c r="A620" s="3">
        <v>4000000</v>
      </c>
    </row>
    <row r="621" spans="1:1" x14ac:dyDescent="0.2">
      <c r="A621" s="3">
        <v>4700000</v>
      </c>
    </row>
    <row r="622" spans="1:1" x14ac:dyDescent="0.2">
      <c r="A622" s="3">
        <v>6000000</v>
      </c>
    </row>
    <row r="623" spans="1:1" x14ac:dyDescent="0.2">
      <c r="A623" s="3">
        <v>4700000</v>
      </c>
    </row>
    <row r="624" spans="1:1" x14ac:dyDescent="0.2">
      <c r="A624" s="3">
        <v>4700000</v>
      </c>
    </row>
    <row r="625" spans="1:1" x14ac:dyDescent="0.2">
      <c r="A625" s="3">
        <v>6000000</v>
      </c>
    </row>
    <row r="626" spans="1:1" x14ac:dyDescent="0.2">
      <c r="A626" s="3">
        <v>6000000</v>
      </c>
    </row>
    <row r="627" spans="1:1" x14ac:dyDescent="0.2">
      <c r="A627" s="3">
        <v>6000000</v>
      </c>
    </row>
    <row r="628" spans="1:1" x14ac:dyDescent="0.2">
      <c r="A628" s="3">
        <v>4700000</v>
      </c>
    </row>
    <row r="629" spans="1:1" x14ac:dyDescent="0.2">
      <c r="A629" s="3">
        <v>4700000</v>
      </c>
    </row>
    <row r="630" spans="1:1" x14ac:dyDescent="0.2">
      <c r="A630" s="3">
        <v>4700000</v>
      </c>
    </row>
    <row r="631" spans="1:1" x14ac:dyDescent="0.2">
      <c r="A631" s="3">
        <v>4700000</v>
      </c>
    </row>
    <row r="632" spans="1:1" x14ac:dyDescent="0.2">
      <c r="A632" s="3">
        <v>4700000</v>
      </c>
    </row>
    <row r="633" spans="1:1" x14ac:dyDescent="0.2">
      <c r="A633" s="3">
        <v>4700000</v>
      </c>
    </row>
    <row r="634" spans="1:1" x14ac:dyDescent="0.2">
      <c r="A634" s="3">
        <v>1933000</v>
      </c>
    </row>
    <row r="635" spans="1:1" x14ac:dyDescent="0.2">
      <c r="A635" s="3">
        <v>2464000</v>
      </c>
    </row>
    <row r="636" spans="1:1" x14ac:dyDescent="0.2">
      <c r="A636" s="3">
        <v>2343726</v>
      </c>
    </row>
    <row r="637" spans="1:1" x14ac:dyDescent="0.2">
      <c r="A637" s="3">
        <v>2000000</v>
      </c>
    </row>
    <row r="638" spans="1:1" x14ac:dyDescent="0.2">
      <c r="A638" s="3">
        <v>2500000</v>
      </c>
    </row>
    <row r="639" spans="1:1" x14ac:dyDescent="0.2">
      <c r="A639" s="3">
        <v>2464000</v>
      </c>
    </row>
    <row r="640" spans="1:1" x14ac:dyDescent="0.2">
      <c r="A640" s="3">
        <v>3000000</v>
      </c>
    </row>
    <row r="641" spans="1:1" x14ac:dyDescent="0.2">
      <c r="A641" s="3">
        <v>3080000</v>
      </c>
    </row>
    <row r="642" spans="1:1" x14ac:dyDescent="0.2">
      <c r="A642" s="3">
        <v>2883120</v>
      </c>
    </row>
    <row r="643" spans="1:1" x14ac:dyDescent="0.2">
      <c r="A643" s="3">
        <v>1600000</v>
      </c>
    </row>
    <row r="644" spans="1:1" x14ac:dyDescent="0.2">
      <c r="A644" s="3">
        <v>1600000</v>
      </c>
    </row>
    <row r="645" spans="1:1" x14ac:dyDescent="0.2">
      <c r="A645" s="3">
        <v>800000</v>
      </c>
    </row>
    <row r="646" spans="1:1" x14ac:dyDescent="0.2">
      <c r="A646" s="3">
        <v>1700000</v>
      </c>
    </row>
    <row r="647" spans="1:1" x14ac:dyDescent="0.2">
      <c r="A647" s="3">
        <v>1848000</v>
      </c>
    </row>
    <row r="648" spans="1:1" x14ac:dyDescent="0.2">
      <c r="A648" s="3">
        <v>1672000</v>
      </c>
    </row>
    <row r="649" spans="1:1" x14ac:dyDescent="0.2">
      <c r="A649" s="3">
        <v>2000000</v>
      </c>
    </row>
    <row r="650" spans="1:1" x14ac:dyDescent="0.2">
      <c r="A650" s="3">
        <v>3728442</v>
      </c>
    </row>
    <row r="651" spans="1:1" x14ac:dyDescent="0.2">
      <c r="A651" s="3">
        <v>3728442</v>
      </c>
    </row>
    <row r="652" spans="1:1" x14ac:dyDescent="0.2">
      <c r="A652" s="3">
        <v>3728442</v>
      </c>
    </row>
    <row r="653" spans="1:1" x14ac:dyDescent="0.2">
      <c r="A653" s="3">
        <v>4312023</v>
      </c>
    </row>
    <row r="654" spans="1:1" x14ac:dyDescent="0.2">
      <c r="A654" s="3">
        <v>4312023</v>
      </c>
    </row>
    <row r="655" spans="1:1" x14ac:dyDescent="0.2">
      <c r="A655" s="3">
        <v>4312023</v>
      </c>
    </row>
    <row r="656" spans="1:1" x14ac:dyDescent="0.2">
      <c r="A656" s="3">
        <v>4312023</v>
      </c>
    </row>
    <row r="657" spans="1:1" x14ac:dyDescent="0.2">
      <c r="A657" s="3">
        <v>4312023</v>
      </c>
    </row>
    <row r="658" spans="1:1" x14ac:dyDescent="0.2">
      <c r="A658" s="3">
        <v>4312023</v>
      </c>
    </row>
    <row r="659" spans="1:1" x14ac:dyDescent="0.2">
      <c r="A659" s="3">
        <v>4312023</v>
      </c>
    </row>
    <row r="660" spans="1:1" x14ac:dyDescent="0.2">
      <c r="A660" s="3">
        <v>4312023</v>
      </c>
    </row>
    <row r="661" spans="1:1" x14ac:dyDescent="0.2">
      <c r="A661" s="3">
        <v>4312023</v>
      </c>
    </row>
    <row r="662" spans="1:1" x14ac:dyDescent="0.2">
      <c r="A662" s="3">
        <v>4312023</v>
      </c>
    </row>
    <row r="663" spans="1:1" x14ac:dyDescent="0.2">
      <c r="A663" s="3">
        <v>4312023</v>
      </c>
    </row>
    <row r="664" spans="1:1" x14ac:dyDescent="0.2">
      <c r="A664" s="3">
        <v>4312023</v>
      </c>
    </row>
    <row r="665" spans="1:1" x14ac:dyDescent="0.2">
      <c r="A665" s="3">
        <v>5324195</v>
      </c>
    </row>
    <row r="666" spans="1:1" x14ac:dyDescent="0.2">
      <c r="A666" s="3">
        <v>5324195</v>
      </c>
    </row>
    <row r="667" spans="1:1" x14ac:dyDescent="0.2">
      <c r="A667" s="3">
        <v>5324195</v>
      </c>
    </row>
    <row r="668" spans="1:1" x14ac:dyDescent="0.2">
      <c r="A668" s="3">
        <v>5324195</v>
      </c>
    </row>
    <row r="669" spans="1:1" x14ac:dyDescent="0.2">
      <c r="A669" s="3">
        <v>3391457</v>
      </c>
    </row>
    <row r="670" spans="1:1" x14ac:dyDescent="0.2">
      <c r="A670" s="3">
        <v>3391457</v>
      </c>
    </row>
    <row r="671" spans="1:1" x14ac:dyDescent="0.2">
      <c r="A671" s="3">
        <v>3391457</v>
      </c>
    </row>
    <row r="672" spans="1:1" x14ac:dyDescent="0.2">
      <c r="A672" s="3">
        <v>3391457</v>
      </c>
    </row>
    <row r="673" spans="1:1" x14ac:dyDescent="0.2">
      <c r="A673" s="3">
        <v>3391457</v>
      </c>
    </row>
    <row r="674" spans="1:1" x14ac:dyDescent="0.2">
      <c r="A674" s="3">
        <v>5324195</v>
      </c>
    </row>
    <row r="675" spans="1:1" x14ac:dyDescent="0.2">
      <c r="A675" s="3">
        <v>5324195</v>
      </c>
    </row>
    <row r="676" spans="1:1" x14ac:dyDescent="0.2">
      <c r="A676" s="3">
        <v>5324195</v>
      </c>
    </row>
    <row r="677" spans="1:1" x14ac:dyDescent="0.2">
      <c r="A677" s="3">
        <v>3723872</v>
      </c>
    </row>
    <row r="678" spans="1:1" x14ac:dyDescent="0.2">
      <c r="A678" s="3">
        <v>3723872</v>
      </c>
    </row>
    <row r="679" spans="1:1" x14ac:dyDescent="0.2">
      <c r="A679" s="3">
        <v>3723872</v>
      </c>
    </row>
    <row r="680" spans="1:1" x14ac:dyDescent="0.2">
      <c r="A680" s="3">
        <v>5846047</v>
      </c>
    </row>
    <row r="681" spans="1:1" x14ac:dyDescent="0.2">
      <c r="A681" s="3">
        <v>5846047</v>
      </c>
    </row>
    <row r="682" spans="1:1" x14ac:dyDescent="0.2">
      <c r="A682" s="3">
        <v>1848000</v>
      </c>
    </row>
    <row r="683" spans="1:1" x14ac:dyDescent="0.2">
      <c r="A683" s="3">
        <v>1848000</v>
      </c>
    </row>
    <row r="684" spans="1:1" x14ac:dyDescent="0.2">
      <c r="A684" s="3">
        <v>1500000</v>
      </c>
    </row>
    <row r="685" spans="1:1" x14ac:dyDescent="0.2">
      <c r="A685" s="3">
        <v>1600000</v>
      </c>
    </row>
    <row r="686" spans="1:1" x14ac:dyDescent="0.2">
      <c r="A686" s="3">
        <v>2000000</v>
      </c>
    </row>
    <row r="687" spans="1:1" x14ac:dyDescent="0.2">
      <c r="A687" s="3">
        <v>2464000</v>
      </c>
    </row>
    <row r="688" spans="1:1" x14ac:dyDescent="0.2">
      <c r="A688" s="3">
        <v>1700000</v>
      </c>
    </row>
    <row r="689" spans="1:1" x14ac:dyDescent="0.2">
      <c r="A689" s="3">
        <v>1800000</v>
      </c>
    </row>
    <row r="690" spans="1:1" x14ac:dyDescent="0.2">
      <c r="A690" s="3">
        <v>2200000</v>
      </c>
    </row>
    <row r="691" spans="1:1" x14ac:dyDescent="0.2">
      <c r="A691" s="3">
        <v>2200000</v>
      </c>
    </row>
    <row r="692" spans="1:1" x14ac:dyDescent="0.2">
      <c r="A692" s="3">
        <v>2200000</v>
      </c>
    </row>
    <row r="693" spans="1:1" x14ac:dyDescent="0.2">
      <c r="A693" s="3">
        <v>2600000</v>
      </c>
    </row>
    <row r="694" spans="1:1" x14ac:dyDescent="0.2">
      <c r="A694" s="3">
        <v>3200000</v>
      </c>
    </row>
    <row r="695" spans="1:1" x14ac:dyDescent="0.2">
      <c r="A695" s="3">
        <v>2200000</v>
      </c>
    </row>
    <row r="696" spans="1:1" x14ac:dyDescent="0.2">
      <c r="A696" s="3">
        <v>2200000</v>
      </c>
    </row>
    <row r="697" spans="1:1" x14ac:dyDescent="0.2">
      <c r="A697" s="3">
        <v>3157000</v>
      </c>
    </row>
    <row r="698" spans="1:1" x14ac:dyDescent="0.2">
      <c r="A698" s="3">
        <v>2380000</v>
      </c>
    </row>
    <row r="699" spans="1:1" x14ac:dyDescent="0.2">
      <c r="A699" s="3">
        <v>2549000</v>
      </c>
    </row>
    <row r="700" spans="1:1" x14ac:dyDescent="0.2">
      <c r="A700" s="3">
        <v>3000000</v>
      </c>
    </row>
    <row r="701" spans="1:1" x14ac:dyDescent="0.2">
      <c r="A701" s="3">
        <v>781242</v>
      </c>
    </row>
    <row r="702" spans="1:1" x14ac:dyDescent="0.2">
      <c r="A702" s="3">
        <v>2100000</v>
      </c>
    </row>
    <row r="703" spans="1:1" x14ac:dyDescent="0.2">
      <c r="A703" s="3">
        <v>2800000</v>
      </c>
    </row>
    <row r="704" spans="1:1" x14ac:dyDescent="0.2">
      <c r="A704" s="3">
        <v>1848000</v>
      </c>
    </row>
    <row r="705" spans="1:1" x14ac:dyDescent="0.2">
      <c r="A705" s="3">
        <v>1300000</v>
      </c>
    </row>
    <row r="706" spans="1:1" x14ac:dyDescent="0.2">
      <c r="A706" s="3">
        <v>2700000</v>
      </c>
    </row>
    <row r="707" spans="1:1" x14ac:dyDescent="0.2">
      <c r="A707" s="3">
        <v>1700000</v>
      </c>
    </row>
    <row r="708" spans="1:1" x14ac:dyDescent="0.2">
      <c r="A708" s="3">
        <v>1800000</v>
      </c>
    </row>
    <row r="709" spans="1:1" x14ac:dyDescent="0.2">
      <c r="A709" s="3">
        <v>1844000</v>
      </c>
    </row>
    <row r="710" spans="1:1" x14ac:dyDescent="0.2">
      <c r="A710" s="3">
        <v>2300000</v>
      </c>
    </row>
    <row r="711" spans="1:1" x14ac:dyDescent="0.2">
      <c r="A711" s="3">
        <v>3080000</v>
      </c>
    </row>
    <row r="712" spans="1:1" x14ac:dyDescent="0.2">
      <c r="A712" s="3">
        <v>1500000</v>
      </c>
    </row>
    <row r="713" spans="1:1" x14ac:dyDescent="0.2">
      <c r="A713" s="3">
        <v>1800000</v>
      </c>
    </row>
    <row r="714" spans="1:1" x14ac:dyDescent="0.2">
      <c r="A714" s="3">
        <v>1700000</v>
      </c>
    </row>
    <row r="715" spans="1:1" x14ac:dyDescent="0.2">
      <c r="A715" s="3">
        <v>3900000</v>
      </c>
    </row>
    <row r="716" spans="1:1" x14ac:dyDescent="0.2">
      <c r="A716" s="3">
        <v>1968000</v>
      </c>
    </row>
    <row r="717" spans="1:1" x14ac:dyDescent="0.2">
      <c r="A717" s="3">
        <v>1400000</v>
      </c>
    </row>
    <row r="718" spans="1:1" x14ac:dyDescent="0.2">
      <c r="A718" s="3">
        <v>1500000</v>
      </c>
    </row>
    <row r="719" spans="1:1" x14ac:dyDescent="0.2">
      <c r="A719" s="3">
        <v>1800000</v>
      </c>
    </row>
    <row r="720" spans="1:1" x14ac:dyDescent="0.2">
      <c r="A720" s="3">
        <v>900000</v>
      </c>
    </row>
    <row r="721" spans="1:1" x14ac:dyDescent="0.2">
      <c r="A721" s="3">
        <v>1289700</v>
      </c>
    </row>
    <row r="722" spans="1:1" x14ac:dyDescent="0.2">
      <c r="A722" s="3">
        <v>963000</v>
      </c>
    </row>
    <row r="723" spans="1:1" x14ac:dyDescent="0.2">
      <c r="A723" s="3">
        <v>1950000</v>
      </c>
    </row>
    <row r="724" spans="1:1" x14ac:dyDescent="0.2">
      <c r="A724" s="3">
        <v>1191388</v>
      </c>
    </row>
    <row r="725" spans="1:1" x14ac:dyDescent="0.2">
      <c r="A725" s="3">
        <v>2500000</v>
      </c>
    </row>
    <row r="726" spans="1:1" x14ac:dyDescent="0.2">
      <c r="A726" s="3">
        <v>520000</v>
      </c>
    </row>
    <row r="727" spans="1:1" x14ac:dyDescent="0.2">
      <c r="A727" s="3">
        <v>4030000</v>
      </c>
    </row>
    <row r="728" spans="1:1" x14ac:dyDescent="0.2">
      <c r="A728" s="3">
        <v>3667000</v>
      </c>
    </row>
    <row r="729" spans="1:1" x14ac:dyDescent="0.2">
      <c r="A729" s="3">
        <v>4321000</v>
      </c>
    </row>
    <row r="730" spans="1:1" x14ac:dyDescent="0.2">
      <c r="A730" s="3">
        <v>2636000</v>
      </c>
    </row>
    <row r="731" spans="1:1" x14ac:dyDescent="0.2">
      <c r="A731" s="3">
        <v>3000000</v>
      </c>
    </row>
    <row r="732" spans="1:1" x14ac:dyDescent="0.2">
      <c r="A732" s="3">
        <v>4164000</v>
      </c>
    </row>
    <row r="733" spans="1:1" x14ac:dyDescent="0.2">
      <c r="A733" s="3">
        <v>3000000</v>
      </c>
    </row>
    <row r="734" spans="1:1" x14ac:dyDescent="0.2">
      <c r="A734" s="3">
        <v>2960000</v>
      </c>
    </row>
    <row r="735" spans="1:1" x14ac:dyDescent="0.2">
      <c r="A735" s="3">
        <v>2960000</v>
      </c>
    </row>
    <row r="736" spans="1:1" x14ac:dyDescent="0.2">
      <c r="A736" s="3">
        <v>2960000</v>
      </c>
    </row>
    <row r="737" spans="1:1" x14ac:dyDescent="0.2">
      <c r="A737" s="3">
        <v>4200000</v>
      </c>
    </row>
    <row r="738" spans="1:1" x14ac:dyDescent="0.2">
      <c r="A738" s="3">
        <v>5108851</v>
      </c>
    </row>
    <row r="739" spans="1:1" x14ac:dyDescent="0.2">
      <c r="A739" s="3">
        <v>689454</v>
      </c>
    </row>
    <row r="740" spans="1:1" x14ac:dyDescent="0.2">
      <c r="A740" s="3">
        <v>2000000</v>
      </c>
    </row>
    <row r="741" spans="1:1" x14ac:dyDescent="0.2">
      <c r="A741" s="3">
        <v>2200000</v>
      </c>
    </row>
    <row r="742" spans="1:1" x14ac:dyDescent="0.2">
      <c r="A742" s="3">
        <v>2200000</v>
      </c>
    </row>
    <row r="743" spans="1:1" x14ac:dyDescent="0.2">
      <c r="A743" s="3">
        <v>1848000</v>
      </c>
    </row>
    <row r="744" spans="1:1" x14ac:dyDescent="0.2">
      <c r="A744" s="3">
        <v>1848000</v>
      </c>
    </row>
    <row r="745" spans="1:1" x14ac:dyDescent="0.2">
      <c r="A745" s="3">
        <v>1800000</v>
      </c>
    </row>
    <row r="746" spans="1:1" x14ac:dyDescent="0.2">
      <c r="A746" s="3">
        <v>1890000</v>
      </c>
    </row>
    <row r="747" spans="1:1" x14ac:dyDescent="0.2">
      <c r="A747" s="3">
        <v>2000000</v>
      </c>
    </row>
    <row r="748" spans="1:1" x14ac:dyDescent="0.2">
      <c r="A748" s="3">
        <v>3000000</v>
      </c>
    </row>
    <row r="749" spans="1:1" x14ac:dyDescent="0.2">
      <c r="A749" s="3">
        <v>3500000</v>
      </c>
    </row>
    <row r="750" spans="1:1" x14ac:dyDescent="0.2">
      <c r="A750" s="3">
        <v>1200000</v>
      </c>
    </row>
    <row r="751" spans="1:1" x14ac:dyDescent="0.2">
      <c r="A751" s="3">
        <v>2500000</v>
      </c>
    </row>
    <row r="752" spans="1:1" x14ac:dyDescent="0.2">
      <c r="A752" s="3">
        <v>1700000</v>
      </c>
    </row>
    <row r="753" spans="1:1" x14ac:dyDescent="0.2">
      <c r="A753" s="3">
        <v>1000000</v>
      </c>
    </row>
    <row r="754" spans="1:1" x14ac:dyDescent="0.2">
      <c r="A754" s="3">
        <v>1400000</v>
      </c>
    </row>
    <row r="755" spans="1:1" x14ac:dyDescent="0.2">
      <c r="A755" s="3">
        <v>1232000</v>
      </c>
    </row>
    <row r="756" spans="1:1" x14ac:dyDescent="0.2">
      <c r="A756" s="3">
        <v>1232000</v>
      </c>
    </row>
    <row r="757" spans="1:1" x14ac:dyDescent="0.2">
      <c r="A757" s="3">
        <v>1232000</v>
      </c>
    </row>
    <row r="758" spans="1:1" x14ac:dyDescent="0.2">
      <c r="A758" s="3">
        <v>1232000</v>
      </c>
    </row>
    <row r="759" spans="1:1" x14ac:dyDescent="0.2">
      <c r="A759" s="3">
        <v>1232000</v>
      </c>
    </row>
    <row r="760" spans="1:1" x14ac:dyDescent="0.2">
      <c r="A760" s="3">
        <v>644350</v>
      </c>
    </row>
    <row r="761" spans="1:1" x14ac:dyDescent="0.2">
      <c r="A761" s="3">
        <v>2459000</v>
      </c>
    </row>
    <row r="762" spans="1:1" x14ac:dyDescent="0.2">
      <c r="A762" s="3">
        <v>5200000</v>
      </c>
    </row>
    <row r="763" spans="1:1" x14ac:dyDescent="0.2">
      <c r="A763" s="3">
        <v>1000000</v>
      </c>
    </row>
    <row r="764" spans="1:1" x14ac:dyDescent="0.2">
      <c r="A764" s="3">
        <v>737717</v>
      </c>
    </row>
    <row r="765" spans="1:1" x14ac:dyDescent="0.2">
      <c r="A765" s="3">
        <v>1800000</v>
      </c>
    </row>
    <row r="766" spans="1:1" x14ac:dyDescent="0.2">
      <c r="A766" s="3">
        <v>2000000</v>
      </c>
    </row>
    <row r="767" spans="1:1" x14ac:dyDescent="0.2">
      <c r="A767" s="3">
        <v>3000000</v>
      </c>
    </row>
    <row r="768" spans="1:1" x14ac:dyDescent="0.2">
      <c r="A768" s="3">
        <v>2500000</v>
      </c>
    </row>
    <row r="769" spans="1:1" x14ac:dyDescent="0.2">
      <c r="A769" s="3">
        <v>3400000</v>
      </c>
    </row>
    <row r="770" spans="1:1" x14ac:dyDescent="0.2">
      <c r="A770" s="3">
        <v>804000</v>
      </c>
    </row>
    <row r="771" spans="1:1" x14ac:dyDescent="0.2">
      <c r="A771" s="3">
        <v>2205000</v>
      </c>
    </row>
    <row r="772" spans="1:1" x14ac:dyDescent="0.2">
      <c r="A772" s="3">
        <v>1470000</v>
      </c>
    </row>
    <row r="773" spans="1:1" x14ac:dyDescent="0.2">
      <c r="A773" s="3">
        <v>2354000</v>
      </c>
    </row>
    <row r="774" spans="1:1" x14ac:dyDescent="0.2">
      <c r="A774" s="3">
        <v>2900000</v>
      </c>
    </row>
    <row r="775" spans="1:1" x14ac:dyDescent="0.2">
      <c r="A775" s="3">
        <v>3000000</v>
      </c>
    </row>
    <row r="776" spans="1:1" x14ac:dyDescent="0.2">
      <c r="A776" s="3">
        <v>3000000</v>
      </c>
    </row>
    <row r="777" spans="1:1" x14ac:dyDescent="0.2">
      <c r="A777" s="3">
        <v>1800000</v>
      </c>
    </row>
    <row r="778" spans="1:1" x14ac:dyDescent="0.2">
      <c r="A778" s="3">
        <v>5000000</v>
      </c>
    </row>
    <row r="779" spans="1:1" x14ac:dyDescent="0.2">
      <c r="A779" s="3">
        <v>2464000</v>
      </c>
    </row>
    <row r="780" spans="1:1" x14ac:dyDescent="0.2">
      <c r="A780" s="3">
        <v>1500000</v>
      </c>
    </row>
    <row r="781" spans="1:1" x14ac:dyDescent="0.2">
      <c r="A781" s="3">
        <v>644350</v>
      </c>
    </row>
    <row r="782" spans="1:1" x14ac:dyDescent="0.2">
      <c r="A782" s="3">
        <v>644350</v>
      </c>
    </row>
    <row r="783" spans="1:1" x14ac:dyDescent="0.2">
      <c r="A783" s="3">
        <v>1500000</v>
      </c>
    </row>
    <row r="784" spans="1:1" x14ac:dyDescent="0.2">
      <c r="A784" s="3">
        <v>1500000</v>
      </c>
    </row>
    <row r="785" spans="1:1" x14ac:dyDescent="0.2">
      <c r="A785" s="3">
        <v>2000000</v>
      </c>
    </row>
    <row r="786" spans="1:1" x14ac:dyDescent="0.2">
      <c r="A786" s="3">
        <v>3500000</v>
      </c>
    </row>
    <row r="787" spans="1:1" x14ac:dyDescent="0.2">
      <c r="A787" s="3">
        <v>2800000</v>
      </c>
    </row>
    <row r="788" spans="1:1" x14ac:dyDescent="0.2">
      <c r="A788" s="3">
        <v>1500000</v>
      </c>
    </row>
    <row r="789" spans="1:1" x14ac:dyDescent="0.2">
      <c r="A789" s="3">
        <v>1800000</v>
      </c>
    </row>
    <row r="790" spans="1:1" x14ac:dyDescent="0.2">
      <c r="A790" s="3">
        <v>2000000</v>
      </c>
    </row>
    <row r="791" spans="1:1" x14ac:dyDescent="0.2">
      <c r="A791" s="3">
        <v>1600000</v>
      </c>
    </row>
    <row r="792" spans="1:1" x14ac:dyDescent="0.2">
      <c r="A792" s="3">
        <v>1500000</v>
      </c>
    </row>
    <row r="793" spans="1:1" x14ac:dyDescent="0.2">
      <c r="A793" s="3">
        <v>1800000</v>
      </c>
    </row>
    <row r="794" spans="1:1" x14ac:dyDescent="0.2">
      <c r="A794" s="3">
        <v>2100000</v>
      </c>
    </row>
    <row r="795" spans="1:1" x14ac:dyDescent="0.2">
      <c r="A795" s="3">
        <v>2750000</v>
      </c>
    </row>
    <row r="796" spans="1:1" x14ac:dyDescent="0.2">
      <c r="A796" s="3">
        <v>3864000</v>
      </c>
    </row>
    <row r="797" spans="1:1" x14ac:dyDescent="0.2">
      <c r="A797" s="3">
        <v>4600000</v>
      </c>
    </row>
    <row r="798" spans="1:1" x14ac:dyDescent="0.2">
      <c r="A798" s="3">
        <v>4600000</v>
      </c>
    </row>
    <row r="799" spans="1:1" x14ac:dyDescent="0.2">
      <c r="A799" s="3">
        <v>4600000</v>
      </c>
    </row>
    <row r="800" spans="1:1" x14ac:dyDescent="0.2">
      <c r="A800" s="3">
        <v>4600000</v>
      </c>
    </row>
    <row r="801" spans="1:1" x14ac:dyDescent="0.2">
      <c r="A801" s="3">
        <v>4600000</v>
      </c>
    </row>
    <row r="802" spans="1:1" x14ac:dyDescent="0.2">
      <c r="A802" s="3">
        <v>4600000</v>
      </c>
    </row>
    <row r="803" spans="1:1" x14ac:dyDescent="0.2">
      <c r="A803" s="3">
        <v>4600000</v>
      </c>
    </row>
    <row r="804" spans="1:1" x14ac:dyDescent="0.2">
      <c r="A804" s="3">
        <v>4600000</v>
      </c>
    </row>
    <row r="805" spans="1:1" x14ac:dyDescent="0.2">
      <c r="A805" s="3">
        <v>4600000</v>
      </c>
    </row>
    <row r="806" spans="1:1" x14ac:dyDescent="0.2">
      <c r="A806" s="3">
        <v>4600000</v>
      </c>
    </row>
    <row r="807" spans="1:1" x14ac:dyDescent="0.2">
      <c r="A807" s="3">
        <v>4600000</v>
      </c>
    </row>
    <row r="808" spans="1:1" x14ac:dyDescent="0.2">
      <c r="A808" s="3">
        <v>4600000</v>
      </c>
    </row>
    <row r="809" spans="1:1" x14ac:dyDescent="0.2">
      <c r="A809" s="3">
        <v>1848000</v>
      </c>
    </row>
    <row r="810" spans="1:1" x14ac:dyDescent="0.2">
      <c r="A810" s="3">
        <v>4928000</v>
      </c>
    </row>
    <row r="811" spans="1:1" x14ac:dyDescent="0.2">
      <c r="A811" s="3">
        <v>4928000</v>
      </c>
    </row>
    <row r="812" spans="1:1" x14ac:dyDescent="0.2">
      <c r="A812" s="3">
        <v>4928000</v>
      </c>
    </row>
    <row r="813" spans="1:1" x14ac:dyDescent="0.2">
      <c r="A813" s="3">
        <v>4928000</v>
      </c>
    </row>
    <row r="814" spans="1:1" x14ac:dyDescent="0.2">
      <c r="A814" s="3">
        <v>2000000</v>
      </c>
    </row>
    <row r="815" spans="1:1" x14ac:dyDescent="0.2">
      <c r="A815" s="3">
        <v>2445760</v>
      </c>
    </row>
    <row r="816" spans="1:1" x14ac:dyDescent="0.2">
      <c r="A816" s="3">
        <v>2463610</v>
      </c>
    </row>
    <row r="817" spans="1:1" x14ac:dyDescent="0.2">
      <c r="A817" s="3">
        <v>2450000</v>
      </c>
    </row>
    <row r="818" spans="1:1" x14ac:dyDescent="0.2">
      <c r="A818" s="3">
        <v>2000000</v>
      </c>
    </row>
    <row r="819" spans="1:1" x14ac:dyDescent="0.2">
      <c r="A819" s="3">
        <v>2900000</v>
      </c>
    </row>
    <row r="820" spans="1:1" x14ac:dyDescent="0.2">
      <c r="A820" s="3">
        <v>2815178</v>
      </c>
    </row>
    <row r="821" spans="1:1" x14ac:dyDescent="0.2">
      <c r="A821" s="3">
        <v>2000000</v>
      </c>
    </row>
    <row r="822" spans="1:1" x14ac:dyDescent="0.2">
      <c r="A822" s="3">
        <v>1400000</v>
      </c>
    </row>
    <row r="823" spans="1:1" x14ac:dyDescent="0.2">
      <c r="A823" s="3">
        <v>4928000</v>
      </c>
    </row>
    <row r="824" spans="1:1" x14ac:dyDescent="0.2">
      <c r="A824" s="3">
        <v>2559731</v>
      </c>
    </row>
    <row r="825" spans="1:1" x14ac:dyDescent="0.2">
      <c r="A825" s="3">
        <v>1926386</v>
      </c>
    </row>
    <row r="826" spans="1:1" x14ac:dyDescent="0.2">
      <c r="A826" s="3">
        <v>3500000</v>
      </c>
    </row>
    <row r="827" spans="1:1" x14ac:dyDescent="0.2">
      <c r="A827" s="3">
        <v>1800000</v>
      </c>
    </row>
    <row r="828" spans="1:1" x14ac:dyDescent="0.2">
      <c r="A828" s="3">
        <v>3000000</v>
      </c>
    </row>
    <row r="829" spans="1:1" x14ac:dyDescent="0.2">
      <c r="A829" s="3">
        <v>1900000</v>
      </c>
    </row>
    <row r="830" spans="1:1" x14ac:dyDescent="0.2">
      <c r="A830" s="3">
        <v>2300000</v>
      </c>
    </row>
    <row r="831" spans="1:1" x14ac:dyDescent="0.2">
      <c r="A831" s="3">
        <v>1900000</v>
      </c>
    </row>
    <row r="832" spans="1:1" x14ac:dyDescent="0.2">
      <c r="A832" s="3">
        <v>1800000</v>
      </c>
    </row>
    <row r="833" spans="1:1" x14ac:dyDescent="0.2">
      <c r="A833" s="3">
        <v>1900000</v>
      </c>
    </row>
    <row r="834" spans="1:1" x14ac:dyDescent="0.2">
      <c r="A834" s="3">
        <v>1800000</v>
      </c>
    </row>
    <row r="835" spans="1:1" x14ac:dyDescent="0.2">
      <c r="A835" s="3">
        <v>2000000</v>
      </c>
    </row>
    <row r="836" spans="1:1" x14ac:dyDescent="0.2">
      <c r="A836" s="3">
        <v>1000000</v>
      </c>
    </row>
    <row r="837" spans="1:1" x14ac:dyDescent="0.2">
      <c r="A837" s="3">
        <v>1750000</v>
      </c>
    </row>
    <row r="838" spans="1:1" x14ac:dyDescent="0.2">
      <c r="A838" s="3">
        <v>1810911</v>
      </c>
    </row>
    <row r="839" spans="1:1" x14ac:dyDescent="0.2">
      <c r="A839" s="3">
        <v>3621822</v>
      </c>
    </row>
    <row r="840" spans="1:1" x14ac:dyDescent="0.2">
      <c r="A840" s="3">
        <v>900000</v>
      </c>
    </row>
    <row r="841" spans="1:1" x14ac:dyDescent="0.2">
      <c r="A841" s="3">
        <v>4312000</v>
      </c>
    </row>
    <row r="842" spans="1:1" x14ac:dyDescent="0.2">
      <c r="A842" s="3">
        <v>3696000</v>
      </c>
    </row>
    <row r="843" spans="1:1" x14ac:dyDescent="0.2">
      <c r="A843" s="3">
        <v>1800000</v>
      </c>
    </row>
    <row r="844" spans="1:1" x14ac:dyDescent="0.2">
      <c r="A844" s="3">
        <v>2500000</v>
      </c>
    </row>
    <row r="845" spans="1:1" x14ac:dyDescent="0.2">
      <c r="A845" s="3">
        <v>3706000</v>
      </c>
    </row>
    <row r="846" spans="1:1" x14ac:dyDescent="0.2">
      <c r="A846" s="3">
        <v>4000000</v>
      </c>
    </row>
    <row r="847" spans="1:1" x14ac:dyDescent="0.2">
      <c r="A847" s="3">
        <v>1800000</v>
      </c>
    </row>
    <row r="848" spans="1:1" x14ac:dyDescent="0.2">
      <c r="A848" s="3">
        <v>1848000</v>
      </c>
    </row>
    <row r="849" spans="1:1" x14ac:dyDescent="0.2">
      <c r="A849" s="3">
        <v>2200000</v>
      </c>
    </row>
    <row r="850" spans="1:1" x14ac:dyDescent="0.2">
      <c r="A850" s="3">
        <v>3080000</v>
      </c>
    </row>
    <row r="851" spans="1:1" x14ac:dyDescent="0.2">
      <c r="A851" s="3">
        <v>1566000</v>
      </c>
    </row>
    <row r="852" spans="1:1" x14ac:dyDescent="0.2">
      <c r="A852" s="3">
        <v>2327400</v>
      </c>
    </row>
    <row r="853" spans="1:1" x14ac:dyDescent="0.2">
      <c r="A853" s="3">
        <v>2500000</v>
      </c>
    </row>
    <row r="854" spans="1:1" x14ac:dyDescent="0.2">
      <c r="A854" s="3">
        <v>2000000</v>
      </c>
    </row>
    <row r="855" spans="1:1" x14ac:dyDescent="0.2">
      <c r="A855" s="3">
        <v>3080000</v>
      </c>
    </row>
    <row r="856" spans="1:1" x14ac:dyDescent="0.2">
      <c r="A856" s="3">
        <v>1848000</v>
      </c>
    </row>
    <row r="857" spans="1:1" x14ac:dyDescent="0.2">
      <c r="A857" s="3">
        <v>4398799</v>
      </c>
    </row>
    <row r="858" spans="1:1" x14ac:dyDescent="0.2">
      <c r="A858" s="3">
        <v>2801783</v>
      </c>
    </row>
    <row r="859" spans="1:1" x14ac:dyDescent="0.2">
      <c r="A859" s="3">
        <v>3930670</v>
      </c>
    </row>
    <row r="860" spans="1:1" x14ac:dyDescent="0.2">
      <c r="A860" s="3">
        <v>2807621</v>
      </c>
    </row>
    <row r="861" spans="1:1" x14ac:dyDescent="0.2">
      <c r="A861" s="3">
        <v>1971003</v>
      </c>
    </row>
    <row r="862" spans="1:1" x14ac:dyDescent="0.2">
      <c r="A862" s="3">
        <v>2801783</v>
      </c>
    </row>
    <row r="863" spans="1:1" x14ac:dyDescent="0.2">
      <c r="A863" s="3">
        <v>2851000</v>
      </c>
    </row>
    <row r="864" spans="1:1" x14ac:dyDescent="0.2">
      <c r="A864" s="3">
        <v>1800000</v>
      </c>
    </row>
    <row r="865" spans="1:1" x14ac:dyDescent="0.2">
      <c r="A865" s="3">
        <v>1500000</v>
      </c>
    </row>
    <row r="866" spans="1:1" x14ac:dyDescent="0.2">
      <c r="A866" s="3">
        <v>3500000</v>
      </c>
    </row>
    <row r="867" spans="1:1" x14ac:dyDescent="0.2">
      <c r="A867" s="3">
        <v>1500000</v>
      </c>
    </row>
    <row r="868" spans="1:1" x14ac:dyDescent="0.2">
      <c r="A868" s="3">
        <v>1500000</v>
      </c>
    </row>
    <row r="869" spans="1:1" x14ac:dyDescent="0.2">
      <c r="A869" s="3">
        <v>2464000</v>
      </c>
    </row>
    <row r="870" spans="1:1" x14ac:dyDescent="0.2">
      <c r="A870" s="3">
        <v>1400000</v>
      </c>
    </row>
    <row r="871" spans="1:1" x14ac:dyDescent="0.2">
      <c r="A871" s="3">
        <v>2800000</v>
      </c>
    </row>
    <row r="872" spans="1:1" x14ac:dyDescent="0.2">
      <c r="A872" s="3">
        <v>1800000</v>
      </c>
    </row>
    <row r="873" spans="1:1" x14ac:dyDescent="0.2">
      <c r="A873" s="3">
        <v>2464000</v>
      </c>
    </row>
    <row r="874" spans="1:1" x14ac:dyDescent="0.2">
      <c r="A874" s="3">
        <v>2800000</v>
      </c>
    </row>
    <row r="875" spans="1:1" x14ac:dyDescent="0.2">
      <c r="A875" s="3">
        <v>1113000</v>
      </c>
    </row>
    <row r="876" spans="1:1" x14ac:dyDescent="0.2">
      <c r="A876" s="3">
        <v>1800000</v>
      </c>
    </row>
    <row r="877" spans="1:1" x14ac:dyDescent="0.2">
      <c r="A877" s="3">
        <v>1800000</v>
      </c>
    </row>
    <row r="878" spans="1:1" x14ac:dyDescent="0.2">
      <c r="A878" s="3">
        <v>1800000</v>
      </c>
    </row>
    <row r="879" spans="1:1" x14ac:dyDescent="0.2">
      <c r="A879" s="3">
        <v>2000000</v>
      </c>
    </row>
    <row r="880" spans="1:1" x14ac:dyDescent="0.2">
      <c r="A880" s="3">
        <v>1500000</v>
      </c>
    </row>
    <row r="881" spans="1:1" x14ac:dyDescent="0.2">
      <c r="A881" s="3">
        <v>4000000</v>
      </c>
    </row>
    <row r="882" spans="1:1" x14ac:dyDescent="0.2">
      <c r="A882" s="3">
        <v>1950000</v>
      </c>
    </row>
    <row r="883" spans="1:1" x14ac:dyDescent="0.2">
      <c r="A883" s="3">
        <v>5500000</v>
      </c>
    </row>
    <row r="884" spans="1:1" x14ac:dyDescent="0.2">
      <c r="A884" s="3">
        <v>4000000</v>
      </c>
    </row>
    <row r="885" spans="1:1" x14ac:dyDescent="0.2">
      <c r="A885" s="3">
        <v>3500000</v>
      </c>
    </row>
    <row r="886" spans="1:1" x14ac:dyDescent="0.2">
      <c r="A886" s="3">
        <v>5000000</v>
      </c>
    </row>
    <row r="887" spans="1:1" x14ac:dyDescent="0.2">
      <c r="A887" s="3">
        <v>3312464</v>
      </c>
    </row>
    <row r="888" spans="1:1" x14ac:dyDescent="0.2">
      <c r="A888" s="3">
        <v>900000</v>
      </c>
    </row>
    <row r="889" spans="1:1" x14ac:dyDescent="0.2">
      <c r="A889" s="3">
        <v>2000000</v>
      </c>
    </row>
    <row r="890" spans="1:1" x14ac:dyDescent="0.2">
      <c r="A890" s="3">
        <v>3000000</v>
      </c>
    </row>
    <row r="891" spans="1:1" x14ac:dyDescent="0.2">
      <c r="A891" s="3">
        <v>1848000</v>
      </c>
    </row>
    <row r="892" spans="1:1" x14ac:dyDescent="0.2">
      <c r="A892" s="3">
        <v>1800000</v>
      </c>
    </row>
    <row r="893" spans="1:1" x14ac:dyDescent="0.2">
      <c r="A893" s="3">
        <v>900000</v>
      </c>
    </row>
    <row r="894" spans="1:1" x14ac:dyDescent="0.2">
      <c r="A894" s="3">
        <v>3080000</v>
      </c>
    </row>
    <row r="895" spans="1:1" x14ac:dyDescent="0.2">
      <c r="A895" s="3">
        <v>2000000</v>
      </c>
    </row>
    <row r="896" spans="1:1" x14ac:dyDescent="0.2">
      <c r="A896" s="3">
        <v>1500000</v>
      </c>
    </row>
    <row r="897" spans="1:1" x14ac:dyDescent="0.2">
      <c r="A897" s="3">
        <v>3080000</v>
      </c>
    </row>
    <row r="898" spans="1:1" x14ac:dyDescent="0.2">
      <c r="A898" s="3">
        <v>2464000</v>
      </c>
    </row>
    <row r="899" spans="1:1" x14ac:dyDescent="0.2">
      <c r="A899" s="3">
        <v>2464000</v>
      </c>
    </row>
    <row r="900" spans="1:1" x14ac:dyDescent="0.2">
      <c r="A900" s="3">
        <v>2500000</v>
      </c>
    </row>
    <row r="901" spans="1:1" x14ac:dyDescent="0.2">
      <c r="A901" s="3">
        <v>1500000</v>
      </c>
    </row>
    <row r="902" spans="1:1" x14ac:dyDescent="0.2">
      <c r="A902" s="3">
        <v>2343726</v>
      </c>
    </row>
    <row r="903" spans="1:1" x14ac:dyDescent="0.2">
      <c r="A903" s="3">
        <v>1350000</v>
      </c>
    </row>
    <row r="904" spans="1:1" x14ac:dyDescent="0.2">
      <c r="A904" s="3">
        <v>1360000</v>
      </c>
    </row>
    <row r="905" spans="1:1" x14ac:dyDescent="0.2">
      <c r="A905" s="3">
        <v>1400000</v>
      </c>
    </row>
    <row r="906" spans="1:1" x14ac:dyDescent="0.2">
      <c r="A906" s="3">
        <v>3696000</v>
      </c>
    </row>
    <row r="907" spans="1:1" x14ac:dyDescent="0.2">
      <c r="A907" s="3">
        <v>3500000</v>
      </c>
    </row>
    <row r="908" spans="1:1" x14ac:dyDescent="0.2">
      <c r="A908" s="3">
        <v>3500000</v>
      </c>
    </row>
    <row r="909" spans="1:1" x14ac:dyDescent="0.2">
      <c r="A909" s="3">
        <v>4000000</v>
      </c>
    </row>
    <row r="910" spans="1:1" x14ac:dyDescent="0.2">
      <c r="A910" s="3">
        <v>3500000</v>
      </c>
    </row>
    <row r="911" spans="1:1" x14ac:dyDescent="0.2">
      <c r="A911" s="3">
        <v>3500000</v>
      </c>
    </row>
    <row r="912" spans="1:1" x14ac:dyDescent="0.2">
      <c r="A912" s="3">
        <v>3500000</v>
      </c>
    </row>
    <row r="913" spans="1:1" x14ac:dyDescent="0.2">
      <c r="A913" s="3">
        <v>3500000</v>
      </c>
    </row>
    <row r="914" spans="1:1" x14ac:dyDescent="0.2">
      <c r="A914" s="3">
        <v>3500000</v>
      </c>
    </row>
    <row r="915" spans="1:1" x14ac:dyDescent="0.2">
      <c r="A915" s="3">
        <v>3500000</v>
      </c>
    </row>
    <row r="916" spans="1:1" x14ac:dyDescent="0.2">
      <c r="A916" s="3">
        <v>4500000</v>
      </c>
    </row>
    <row r="917" spans="1:1" x14ac:dyDescent="0.2">
      <c r="A917" s="3">
        <v>3500000</v>
      </c>
    </row>
    <row r="918" spans="1:1" x14ac:dyDescent="0.2">
      <c r="A918" s="3">
        <v>3500000</v>
      </c>
    </row>
    <row r="919" spans="1:1" x14ac:dyDescent="0.2">
      <c r="A919" s="3">
        <v>4500000</v>
      </c>
    </row>
    <row r="920" spans="1:1" x14ac:dyDescent="0.2">
      <c r="A920" s="3">
        <v>4000000</v>
      </c>
    </row>
    <row r="921" spans="1:1" x14ac:dyDescent="0.2">
      <c r="A921" s="3">
        <v>2000000</v>
      </c>
    </row>
    <row r="922" spans="1:1" x14ac:dyDescent="0.2">
      <c r="A922" s="3">
        <v>1900000</v>
      </c>
    </row>
    <row r="923" spans="1:1" x14ac:dyDescent="0.2">
      <c r="A923" s="3">
        <v>1900000</v>
      </c>
    </row>
    <row r="924" spans="1:1" x14ac:dyDescent="0.2">
      <c r="A924" s="3">
        <v>1000000</v>
      </c>
    </row>
    <row r="925" spans="1:1" x14ac:dyDescent="0.2">
      <c r="A925" s="3">
        <v>1000000</v>
      </c>
    </row>
    <row r="926" spans="1:1" x14ac:dyDescent="0.2">
      <c r="A926" s="3">
        <v>1000000</v>
      </c>
    </row>
    <row r="927" spans="1:1" x14ac:dyDescent="0.2">
      <c r="A927" s="3">
        <v>1000000</v>
      </c>
    </row>
    <row r="928" spans="1:1" x14ac:dyDescent="0.2">
      <c r="A928" s="3">
        <v>1562484</v>
      </c>
    </row>
    <row r="929" spans="1:1" x14ac:dyDescent="0.2">
      <c r="A929" s="3">
        <v>1562484</v>
      </c>
    </row>
    <row r="930" spans="1:1" x14ac:dyDescent="0.2">
      <c r="A930" s="3">
        <v>2346726</v>
      </c>
    </row>
    <row r="931" spans="1:1" x14ac:dyDescent="0.2">
      <c r="A931" s="3">
        <v>1800000</v>
      </c>
    </row>
    <row r="932" spans="1:1" x14ac:dyDescent="0.2">
      <c r="A932" s="3">
        <v>1750000</v>
      </c>
    </row>
    <row r="933" spans="1:1" x14ac:dyDescent="0.2">
      <c r="A933" s="3">
        <v>1188666</v>
      </c>
    </row>
    <row r="934" spans="1:1" x14ac:dyDescent="0.2">
      <c r="A934" s="3">
        <v>4000000</v>
      </c>
    </row>
    <row r="935" spans="1:1" x14ac:dyDescent="0.2">
      <c r="A935" s="3">
        <v>2800000</v>
      </c>
    </row>
    <row r="936" spans="1:1" x14ac:dyDescent="0.2">
      <c r="A936" s="3">
        <v>2450000</v>
      </c>
    </row>
    <row r="937" spans="1:1" x14ac:dyDescent="0.2">
      <c r="A937" s="3">
        <v>1789000</v>
      </c>
    </row>
    <row r="938" spans="1:1" x14ac:dyDescent="0.2">
      <c r="A938" s="3">
        <v>2600000</v>
      </c>
    </row>
    <row r="939" spans="1:1" x14ac:dyDescent="0.2">
      <c r="A939" s="3">
        <v>1485000</v>
      </c>
    </row>
    <row r="940" spans="1:1" x14ac:dyDescent="0.2">
      <c r="A940" s="3">
        <v>2600000</v>
      </c>
    </row>
    <row r="941" spans="1:1" x14ac:dyDescent="0.2">
      <c r="A941" s="3">
        <v>1716000</v>
      </c>
    </row>
    <row r="942" spans="1:1" x14ac:dyDescent="0.2">
      <c r="A942" s="3">
        <v>2600000</v>
      </c>
    </row>
    <row r="943" spans="1:1" x14ac:dyDescent="0.2">
      <c r="A943" s="3">
        <v>1428000</v>
      </c>
    </row>
    <row r="944" spans="1:1" x14ac:dyDescent="0.2">
      <c r="A944" s="3">
        <v>3440000</v>
      </c>
    </row>
    <row r="945" spans="1:1" x14ac:dyDescent="0.2">
      <c r="A945" s="3">
        <v>2000000</v>
      </c>
    </row>
    <row r="946" spans="1:1" x14ac:dyDescent="0.2">
      <c r="A946" s="3">
        <v>1800000</v>
      </c>
    </row>
    <row r="947" spans="1:1" x14ac:dyDescent="0.2">
      <c r="A947" s="3">
        <v>1800000</v>
      </c>
    </row>
    <row r="948" spans="1:1" x14ac:dyDescent="0.2">
      <c r="A948" s="3">
        <v>2000000</v>
      </c>
    </row>
    <row r="949" spans="1:1" x14ac:dyDescent="0.2">
      <c r="A949" s="3">
        <v>2000000</v>
      </c>
    </row>
    <row r="950" spans="1:1" x14ac:dyDescent="0.2">
      <c r="A950" s="3">
        <v>1500000</v>
      </c>
    </row>
    <row r="951" spans="1:1" x14ac:dyDescent="0.2">
      <c r="A951" s="3">
        <v>500000</v>
      </c>
    </row>
    <row r="952" spans="1:1" x14ac:dyDescent="0.2">
      <c r="A952" s="3">
        <v>2566667</v>
      </c>
    </row>
    <row r="953" spans="1:1" x14ac:dyDescent="0.2">
      <c r="A953" s="3">
        <v>3906210</v>
      </c>
    </row>
    <row r="954" spans="1:1" x14ac:dyDescent="0.2">
      <c r="A954" s="3">
        <v>4500000</v>
      </c>
    </row>
    <row r="955" spans="1:1" x14ac:dyDescent="0.2">
      <c r="A955" s="3">
        <v>1500000</v>
      </c>
    </row>
    <row r="956" spans="1:1" x14ac:dyDescent="0.2">
      <c r="A956" s="3">
        <v>4000000</v>
      </c>
    </row>
    <row r="957" spans="1:1" x14ac:dyDescent="0.2">
      <c r="A957" s="3">
        <v>3000000</v>
      </c>
    </row>
    <row r="958" spans="1:1" x14ac:dyDescent="0.2">
      <c r="A958" s="3">
        <v>2464000</v>
      </c>
    </row>
    <row r="959" spans="1:1" x14ac:dyDescent="0.2">
      <c r="A959" s="3">
        <v>1600000</v>
      </c>
    </row>
    <row r="960" spans="1:1" x14ac:dyDescent="0.2">
      <c r="A960" s="3">
        <v>3500000</v>
      </c>
    </row>
    <row r="961" spans="1:1" x14ac:dyDescent="0.2">
      <c r="A961" s="3">
        <v>3500000</v>
      </c>
    </row>
    <row r="962" spans="1:1" x14ac:dyDescent="0.2">
      <c r="A962" s="3">
        <v>4312000</v>
      </c>
    </row>
    <row r="963" spans="1:1" x14ac:dyDescent="0.2">
      <c r="A963" s="3">
        <v>4769415</v>
      </c>
    </row>
    <row r="964" spans="1:1" x14ac:dyDescent="0.2">
      <c r="A964" s="3">
        <v>4000000</v>
      </c>
    </row>
    <row r="965" spans="1:1" x14ac:dyDescent="0.2">
      <c r="A965" s="3">
        <v>3696000</v>
      </c>
    </row>
    <row r="966" spans="1:1" x14ac:dyDescent="0.2">
      <c r="A966" s="3">
        <v>6000000</v>
      </c>
    </row>
    <row r="967" spans="1:1" x14ac:dyDescent="0.2">
      <c r="A967" s="3">
        <v>3000000</v>
      </c>
    </row>
    <row r="968" spans="1:1" x14ac:dyDescent="0.2">
      <c r="A968" s="3">
        <v>8000000</v>
      </c>
    </row>
    <row r="969" spans="1:1" x14ac:dyDescent="0.2">
      <c r="A969" s="3">
        <v>5000000</v>
      </c>
    </row>
    <row r="970" spans="1:1" x14ac:dyDescent="0.2">
      <c r="A970" s="3">
        <v>2000000</v>
      </c>
    </row>
    <row r="971" spans="1:1" x14ac:dyDescent="0.2">
      <c r="A971" s="3">
        <v>4000000</v>
      </c>
    </row>
    <row r="972" spans="1:1" x14ac:dyDescent="0.2">
      <c r="A972" s="3">
        <v>4000000</v>
      </c>
    </row>
    <row r="973" spans="1:1" x14ac:dyDescent="0.2">
      <c r="A973" s="3">
        <v>3500000</v>
      </c>
    </row>
    <row r="974" spans="1:1" x14ac:dyDescent="0.2">
      <c r="A974" s="3">
        <v>1600000</v>
      </c>
    </row>
    <row r="975" spans="1:1" x14ac:dyDescent="0.2">
      <c r="A975" s="3">
        <v>4000000</v>
      </c>
    </row>
    <row r="976" spans="1:1" x14ac:dyDescent="0.2">
      <c r="A976" s="3">
        <v>1529904</v>
      </c>
    </row>
    <row r="977" spans="1:1" x14ac:dyDescent="0.2">
      <c r="A977" s="3">
        <v>3500000</v>
      </c>
    </row>
    <row r="978" spans="1:1" x14ac:dyDescent="0.2">
      <c r="A978" s="3">
        <v>4000000</v>
      </c>
    </row>
    <row r="979" spans="1:1" x14ac:dyDescent="0.2">
      <c r="A979" s="3">
        <v>4000000</v>
      </c>
    </row>
    <row r="980" spans="1:1" x14ac:dyDescent="0.2">
      <c r="A980" s="3">
        <v>3200000</v>
      </c>
    </row>
    <row r="981" spans="1:1" x14ac:dyDescent="0.2">
      <c r="A981" s="3">
        <v>2820000</v>
      </c>
    </row>
    <row r="982" spans="1:1" x14ac:dyDescent="0.2">
      <c r="A982" s="3">
        <v>3555200</v>
      </c>
    </row>
    <row r="983" spans="1:1" x14ac:dyDescent="0.2">
      <c r="A983" s="3">
        <v>6500000</v>
      </c>
    </row>
    <row r="984" spans="1:1" x14ac:dyDescent="0.2">
      <c r="A984" s="3">
        <v>1062000</v>
      </c>
    </row>
    <row r="985" spans="1:1" x14ac:dyDescent="0.2">
      <c r="A985" s="3">
        <v>8000000</v>
      </c>
    </row>
    <row r="986" spans="1:1" x14ac:dyDescent="0.2">
      <c r="A986" s="3">
        <v>4175000</v>
      </c>
    </row>
    <row r="987" spans="1:1" x14ac:dyDescent="0.2">
      <c r="A987" s="3">
        <v>7000000</v>
      </c>
    </row>
    <row r="988" spans="1:1" x14ac:dyDescent="0.2">
      <c r="A988" s="3">
        <v>3200000</v>
      </c>
    </row>
    <row r="989" spans="1:1" x14ac:dyDescent="0.2">
      <c r="A989" s="3">
        <v>7000000</v>
      </c>
    </row>
    <row r="990" spans="1:1" x14ac:dyDescent="0.2">
      <c r="A990" s="3">
        <v>7000000</v>
      </c>
    </row>
    <row r="991" spans="1:1" x14ac:dyDescent="0.2">
      <c r="A991" s="3">
        <v>3200000</v>
      </c>
    </row>
    <row r="992" spans="1:1" x14ac:dyDescent="0.2">
      <c r="A992" s="3">
        <v>1289700</v>
      </c>
    </row>
    <row r="993" spans="1:1" x14ac:dyDescent="0.2">
      <c r="A993" s="3">
        <v>1100000</v>
      </c>
    </row>
    <row r="994" spans="1:1" x14ac:dyDescent="0.2">
      <c r="A994" s="3">
        <v>1100000</v>
      </c>
    </row>
    <row r="995" spans="1:1" x14ac:dyDescent="0.2">
      <c r="A995" s="3">
        <v>1500000</v>
      </c>
    </row>
    <row r="996" spans="1:1" x14ac:dyDescent="0.2">
      <c r="A996" s="3">
        <v>1500000</v>
      </c>
    </row>
    <row r="997" spans="1:1" x14ac:dyDescent="0.2">
      <c r="A997" s="3">
        <v>1500000</v>
      </c>
    </row>
    <row r="998" spans="1:1" x14ac:dyDescent="0.2">
      <c r="A998" s="3">
        <v>2300000</v>
      </c>
    </row>
    <row r="999" spans="1:1" x14ac:dyDescent="0.2">
      <c r="A999" s="3">
        <v>2000000</v>
      </c>
    </row>
    <row r="1000" spans="1:1" x14ac:dyDescent="0.2">
      <c r="A1000" s="3">
        <v>2500000</v>
      </c>
    </row>
    <row r="1001" spans="1:1" x14ac:dyDescent="0.2">
      <c r="A1001" s="3">
        <v>5500000</v>
      </c>
    </row>
    <row r="1002" spans="1:1" x14ac:dyDescent="0.2">
      <c r="A1002" s="3">
        <v>1700000</v>
      </c>
    </row>
    <row r="1003" spans="1:1" x14ac:dyDescent="0.2">
      <c r="A1003" s="3">
        <v>1500000</v>
      </c>
    </row>
    <row r="1004" spans="1:1" x14ac:dyDescent="0.2">
      <c r="A1004" s="3">
        <v>2800000</v>
      </c>
    </row>
    <row r="1005" spans="1:1" x14ac:dyDescent="0.2">
      <c r="A1005" s="3">
        <v>3000000</v>
      </c>
    </row>
    <row r="1006" spans="1:1" x14ac:dyDescent="0.2">
      <c r="A1006" s="3">
        <v>2000000</v>
      </c>
    </row>
    <row r="1007" spans="1:1" x14ac:dyDescent="0.2">
      <c r="A1007" s="3">
        <v>3000000</v>
      </c>
    </row>
    <row r="1008" spans="1:1" x14ac:dyDescent="0.2">
      <c r="A1008" s="3">
        <v>1200000</v>
      </c>
    </row>
    <row r="1009" spans="1:1" x14ac:dyDescent="0.2">
      <c r="A1009" s="3">
        <v>1500000</v>
      </c>
    </row>
    <row r="1010" spans="1:1" x14ac:dyDescent="0.2">
      <c r="A1010" s="3">
        <v>2000000</v>
      </c>
    </row>
    <row r="1011" spans="1:1" x14ac:dyDescent="0.2">
      <c r="A1011" s="3">
        <v>1712000</v>
      </c>
    </row>
    <row r="1012" spans="1:1" x14ac:dyDescent="0.2">
      <c r="A1012" s="3">
        <v>1550000</v>
      </c>
    </row>
    <row r="1013" spans="1:1" x14ac:dyDescent="0.2">
      <c r="A1013" s="3">
        <v>3000000</v>
      </c>
    </row>
    <row r="1014" spans="1:1" x14ac:dyDescent="0.2">
      <c r="A1014" s="3">
        <v>4090617</v>
      </c>
    </row>
    <row r="1015" spans="1:1" x14ac:dyDescent="0.2">
      <c r="A1015" s="3">
        <v>4090617</v>
      </c>
    </row>
    <row r="1016" spans="1:1" x14ac:dyDescent="0.2">
      <c r="A1016" s="3">
        <v>1489000</v>
      </c>
    </row>
    <row r="1017" spans="1:1" x14ac:dyDescent="0.2">
      <c r="A1017" s="3">
        <v>1596290</v>
      </c>
    </row>
    <row r="1018" spans="1:1" x14ac:dyDescent="0.2">
      <c r="A1018" s="3">
        <v>1596290</v>
      </c>
    </row>
    <row r="1019" spans="1:1" x14ac:dyDescent="0.2">
      <c r="A1019" s="3">
        <v>2000000</v>
      </c>
    </row>
    <row r="1020" spans="1:1" x14ac:dyDescent="0.2">
      <c r="A1020" s="3">
        <v>2000000</v>
      </c>
    </row>
    <row r="1021" spans="1:1" x14ac:dyDescent="0.2">
      <c r="A1021" s="3">
        <v>2700000</v>
      </c>
    </row>
    <row r="1022" spans="1:1" x14ac:dyDescent="0.2">
      <c r="A1022" s="3">
        <v>3000000</v>
      </c>
    </row>
    <row r="1023" spans="1:1" x14ac:dyDescent="0.2">
      <c r="A1023" s="3">
        <v>2900000</v>
      </c>
    </row>
    <row r="1024" spans="1:1" x14ac:dyDescent="0.2">
      <c r="A1024" s="3">
        <v>2600000</v>
      </c>
    </row>
    <row r="1025" spans="1:1" x14ac:dyDescent="0.2">
      <c r="A1025" s="3">
        <v>4500000</v>
      </c>
    </row>
    <row r="1026" spans="1:1" x14ac:dyDescent="0.2">
      <c r="A1026" s="3">
        <v>2000000</v>
      </c>
    </row>
    <row r="1027" spans="1:1" x14ac:dyDescent="0.2">
      <c r="A1027" s="3">
        <v>4000000</v>
      </c>
    </row>
    <row r="1028" spans="1:1" x14ac:dyDescent="0.2">
      <c r="A1028" s="3">
        <v>4000000</v>
      </c>
    </row>
    <row r="1029" spans="1:1" x14ac:dyDescent="0.2">
      <c r="A1029" s="3">
        <v>4547611</v>
      </c>
    </row>
    <row r="1030" spans="1:1" x14ac:dyDescent="0.2">
      <c r="A1030" s="3">
        <v>4371593</v>
      </c>
    </row>
    <row r="1031" spans="1:1" x14ac:dyDescent="0.2">
      <c r="A1031" s="3">
        <v>1848000</v>
      </c>
    </row>
    <row r="1032" spans="1:1" x14ac:dyDescent="0.2">
      <c r="A1032" s="3">
        <v>1500000</v>
      </c>
    </row>
    <row r="1033" spans="1:1" x14ac:dyDescent="0.2">
      <c r="A1033" s="3">
        <v>2700000</v>
      </c>
    </row>
    <row r="1034" spans="1:1" x14ac:dyDescent="0.2">
      <c r="A1034" s="3">
        <v>3080000</v>
      </c>
    </row>
    <row r="1035" spans="1:1" x14ac:dyDescent="0.2">
      <c r="A1035" s="3">
        <v>10000000</v>
      </c>
    </row>
    <row r="1036" spans="1:1" x14ac:dyDescent="0.2">
      <c r="A1036" s="3">
        <v>2300000</v>
      </c>
    </row>
    <row r="1037" spans="1:1" x14ac:dyDescent="0.2">
      <c r="A1037" s="3">
        <v>1848000</v>
      </c>
    </row>
    <row r="1038" spans="1:1" x14ac:dyDescent="0.2">
      <c r="A1038" s="3">
        <v>3600000</v>
      </c>
    </row>
    <row r="1039" spans="1:1" x14ac:dyDescent="0.2">
      <c r="A1039" s="3">
        <v>3800000</v>
      </c>
    </row>
    <row r="1040" spans="1:1" x14ac:dyDescent="0.2">
      <c r="A1040" s="3">
        <v>1000000</v>
      </c>
    </row>
    <row r="1041" spans="1:1" x14ac:dyDescent="0.2">
      <c r="A1041" s="3">
        <v>3200000</v>
      </c>
    </row>
    <row r="1042" spans="1:1" x14ac:dyDescent="0.2">
      <c r="A1042" s="3">
        <v>3200000</v>
      </c>
    </row>
    <row r="1043" spans="1:1" x14ac:dyDescent="0.2">
      <c r="A1043" s="3">
        <v>3696000</v>
      </c>
    </row>
    <row r="1044" spans="1:1" x14ac:dyDescent="0.2">
      <c r="A1044" s="3">
        <v>4690870</v>
      </c>
    </row>
    <row r="1045" spans="1:1" x14ac:dyDescent="0.2">
      <c r="A1045" s="3">
        <v>4690870</v>
      </c>
    </row>
    <row r="1046" spans="1:1" x14ac:dyDescent="0.2">
      <c r="A1046" s="3">
        <v>4690870</v>
      </c>
    </row>
    <row r="1047" spans="1:1" x14ac:dyDescent="0.2">
      <c r="A1047" s="3">
        <v>4690870</v>
      </c>
    </row>
    <row r="1048" spans="1:1" x14ac:dyDescent="0.2">
      <c r="A1048" s="3">
        <v>1886000</v>
      </c>
    </row>
    <row r="1049" spans="1:1" x14ac:dyDescent="0.2">
      <c r="A1049" s="3">
        <v>1550000</v>
      </c>
    </row>
    <row r="1050" spans="1:1" x14ac:dyDescent="0.2">
      <c r="A1050" s="3">
        <v>2660000</v>
      </c>
    </row>
    <row r="1051" spans="1:1" x14ac:dyDescent="0.2">
      <c r="A1051" s="3">
        <v>1600000</v>
      </c>
    </row>
    <row r="1052" spans="1:1" x14ac:dyDescent="0.2">
      <c r="A1052" s="3">
        <v>1600000</v>
      </c>
    </row>
    <row r="1053" spans="1:1" x14ac:dyDescent="0.2">
      <c r="A1053" s="3">
        <v>3696000</v>
      </c>
    </row>
    <row r="1054" spans="1:1" x14ac:dyDescent="0.2">
      <c r="A1054" s="3">
        <v>2800000</v>
      </c>
    </row>
    <row r="1055" spans="1:1" x14ac:dyDescent="0.2">
      <c r="A1055" s="3">
        <v>2800000</v>
      </c>
    </row>
    <row r="1056" spans="1:1" x14ac:dyDescent="0.2">
      <c r="A1056" s="3">
        <v>2000000</v>
      </c>
    </row>
    <row r="1057" spans="1:1" x14ac:dyDescent="0.2">
      <c r="A1057" s="3">
        <v>1050000</v>
      </c>
    </row>
    <row r="1058" spans="1:1" x14ac:dyDescent="0.2">
      <c r="A1058" s="3">
        <v>1100000</v>
      </c>
    </row>
    <row r="1059" spans="1:1" x14ac:dyDescent="0.2">
      <c r="A1059" s="3">
        <v>1100000</v>
      </c>
    </row>
    <row r="1060" spans="1:1" x14ac:dyDescent="0.2">
      <c r="A1060" s="3">
        <v>2500000</v>
      </c>
    </row>
    <row r="1061" spans="1:1" x14ac:dyDescent="0.2">
      <c r="A1061" s="3">
        <v>2000000</v>
      </c>
    </row>
    <row r="1062" spans="1:1" x14ac:dyDescent="0.2">
      <c r="A1062" s="3">
        <v>1500000</v>
      </c>
    </row>
    <row r="1063" spans="1:1" x14ac:dyDescent="0.2">
      <c r="A1063" s="3">
        <v>737717</v>
      </c>
    </row>
    <row r="1064" spans="1:1" x14ac:dyDescent="0.2">
      <c r="A1064" s="3">
        <v>1200000</v>
      </c>
    </row>
    <row r="1065" spans="1:1" x14ac:dyDescent="0.2">
      <c r="A1065" s="3">
        <v>3080000</v>
      </c>
    </row>
    <row r="1066" spans="1:1" x14ac:dyDescent="0.2">
      <c r="A1066" s="3">
        <v>3080000</v>
      </c>
    </row>
    <row r="1067" spans="1:1" x14ac:dyDescent="0.2">
      <c r="A1067" s="3">
        <v>1500000</v>
      </c>
    </row>
    <row r="1068" spans="1:1" x14ac:dyDescent="0.2">
      <c r="A1068" s="3">
        <v>2464000</v>
      </c>
    </row>
    <row r="1069" spans="1:1" x14ac:dyDescent="0.2">
      <c r="A1069" s="3">
        <v>2500000</v>
      </c>
    </row>
    <row r="1070" spans="1:1" x14ac:dyDescent="0.2">
      <c r="A1070" s="3">
        <v>1800000</v>
      </c>
    </row>
    <row r="1071" spans="1:1" x14ac:dyDescent="0.2">
      <c r="A1071" s="3">
        <v>3000000</v>
      </c>
    </row>
    <row r="1072" spans="1:1" x14ac:dyDescent="0.2">
      <c r="A1072" s="3">
        <v>4200000</v>
      </c>
    </row>
    <row r="1073" spans="1:1" x14ac:dyDescent="0.2">
      <c r="A1073" s="3">
        <v>2400000</v>
      </c>
    </row>
    <row r="1074" spans="1:1" x14ac:dyDescent="0.2">
      <c r="A1074" s="3">
        <v>1500000</v>
      </c>
    </row>
    <row r="1075" spans="1:1" x14ac:dyDescent="0.2">
      <c r="A1075" s="3">
        <v>2000000</v>
      </c>
    </row>
    <row r="1076" spans="1:1" x14ac:dyDescent="0.2">
      <c r="A1076" s="3">
        <v>1200000</v>
      </c>
    </row>
    <row r="1077" spans="1:1" x14ac:dyDescent="0.2">
      <c r="A1077" s="3">
        <v>3500000</v>
      </c>
    </row>
    <row r="1078" spans="1:1" x14ac:dyDescent="0.2">
      <c r="A1078" s="3">
        <v>828116</v>
      </c>
    </row>
    <row r="1079" spans="1:1" x14ac:dyDescent="0.2">
      <c r="A1079" s="3">
        <v>2500000</v>
      </c>
    </row>
    <row r="1080" spans="1:1" x14ac:dyDescent="0.2">
      <c r="A1080" s="3">
        <v>900000</v>
      </c>
    </row>
    <row r="1081" spans="1:1" x14ac:dyDescent="0.2">
      <c r="A1081" s="3">
        <v>1200000</v>
      </c>
    </row>
    <row r="1082" spans="1:1" x14ac:dyDescent="0.2">
      <c r="A1082" s="3">
        <v>4312000</v>
      </c>
    </row>
    <row r="1083" spans="1:1" x14ac:dyDescent="0.2">
      <c r="A1083" s="3">
        <v>2000000</v>
      </c>
    </row>
    <row r="1084" spans="1:1" x14ac:dyDescent="0.2">
      <c r="A1084" s="3">
        <v>2000000</v>
      </c>
    </row>
    <row r="1085" spans="1:1" x14ac:dyDescent="0.2">
      <c r="A1085" s="3">
        <v>1800000</v>
      </c>
    </row>
    <row r="1086" spans="1:1" x14ac:dyDescent="0.2">
      <c r="A1086" s="3">
        <v>1800000</v>
      </c>
    </row>
    <row r="1087" spans="1:1" x14ac:dyDescent="0.2">
      <c r="A1087" s="3">
        <v>1500000</v>
      </c>
    </row>
    <row r="1088" spans="1:1" x14ac:dyDescent="0.2">
      <c r="A1088" s="3">
        <v>4631285</v>
      </c>
    </row>
    <row r="1089" spans="1:1" x14ac:dyDescent="0.2">
      <c r="A1089" s="3">
        <v>1560000</v>
      </c>
    </row>
    <row r="1090" spans="1:1" x14ac:dyDescent="0.2">
      <c r="A1090" s="3">
        <v>1500000</v>
      </c>
    </row>
    <row r="1091" spans="1:1" x14ac:dyDescent="0.2">
      <c r="A1091" s="3">
        <v>2900000</v>
      </c>
    </row>
    <row r="1092" spans="1:1" x14ac:dyDescent="0.2">
      <c r="A1092" s="3">
        <v>2000000</v>
      </c>
    </row>
    <row r="1093" spans="1:1" x14ac:dyDescent="0.2">
      <c r="A1093" s="3">
        <v>2000000</v>
      </c>
    </row>
    <row r="1094" spans="1:1" x14ac:dyDescent="0.2">
      <c r="A1094" s="3">
        <v>2000000</v>
      </c>
    </row>
    <row r="1095" spans="1:1" x14ac:dyDescent="0.2">
      <c r="A1095" s="3">
        <v>2000000</v>
      </c>
    </row>
    <row r="1096" spans="1:1" x14ac:dyDescent="0.2">
      <c r="A1096" s="3">
        <v>2000000</v>
      </c>
    </row>
    <row r="1097" spans="1:1" x14ac:dyDescent="0.2">
      <c r="A1097" s="3">
        <v>2000000</v>
      </c>
    </row>
    <row r="1098" spans="1:1" x14ac:dyDescent="0.2">
      <c r="A1098" s="3">
        <v>2200000</v>
      </c>
    </row>
    <row r="1099" spans="1:1" x14ac:dyDescent="0.2">
      <c r="A1099" s="3">
        <v>1800000</v>
      </c>
    </row>
    <row r="1100" spans="1:1" x14ac:dyDescent="0.2">
      <c r="A1100" s="3">
        <v>2000000</v>
      </c>
    </row>
    <row r="1101" spans="1:1" x14ac:dyDescent="0.2">
      <c r="A1101" s="3">
        <v>2500000</v>
      </c>
    </row>
    <row r="1102" spans="1:1" x14ac:dyDescent="0.2">
      <c r="A1102" s="3">
        <v>2200000</v>
      </c>
    </row>
    <row r="1103" spans="1:1" x14ac:dyDescent="0.2">
      <c r="A1103" s="3">
        <v>1000000</v>
      </c>
    </row>
    <row r="1104" spans="1:1" x14ac:dyDescent="0.2">
      <c r="A1104" s="3">
        <v>2464000</v>
      </c>
    </row>
    <row r="1105" spans="1:1" x14ac:dyDescent="0.2">
      <c r="A1105" s="3">
        <v>4000000</v>
      </c>
    </row>
    <row r="1106" spans="1:1" x14ac:dyDescent="0.2">
      <c r="A1106" s="3">
        <v>4000000</v>
      </c>
    </row>
    <row r="1107" spans="1:1" x14ac:dyDescent="0.2">
      <c r="A1107" s="3">
        <v>4000000</v>
      </c>
    </row>
    <row r="1108" spans="1:1" x14ac:dyDescent="0.2">
      <c r="A1108" s="3">
        <v>4000000</v>
      </c>
    </row>
    <row r="1109" spans="1:1" x14ac:dyDescent="0.2">
      <c r="A1109" s="3">
        <v>6000000</v>
      </c>
    </row>
    <row r="1110" spans="1:1" x14ac:dyDescent="0.2">
      <c r="A1110" s="3">
        <v>4000000</v>
      </c>
    </row>
    <row r="1111" spans="1:1" x14ac:dyDescent="0.2">
      <c r="A1111" s="3">
        <v>4000000</v>
      </c>
    </row>
    <row r="1112" spans="1:1" x14ac:dyDescent="0.2">
      <c r="A1112" s="3">
        <v>6000000</v>
      </c>
    </row>
    <row r="1113" spans="1:1" x14ac:dyDescent="0.2">
      <c r="A1113" s="3">
        <v>2600000</v>
      </c>
    </row>
    <row r="1114" spans="1:1" x14ac:dyDescent="0.2">
      <c r="A1114" s="3">
        <v>4000000</v>
      </c>
    </row>
    <row r="1115" spans="1:1" x14ac:dyDescent="0.2">
      <c r="A1115" s="3">
        <v>4928000</v>
      </c>
    </row>
    <row r="1116" spans="1:1" x14ac:dyDescent="0.2">
      <c r="A1116" s="3">
        <v>1300000</v>
      </c>
    </row>
    <row r="1117" spans="1:1" x14ac:dyDescent="0.2">
      <c r="A1117" s="3">
        <v>1800000</v>
      </c>
    </row>
    <row r="1118" spans="1:1" x14ac:dyDescent="0.2">
      <c r="A1118" s="3">
        <v>4000000</v>
      </c>
    </row>
    <row r="1119" spans="1:1" x14ac:dyDescent="0.2">
      <c r="A1119" s="3">
        <v>1000000</v>
      </c>
    </row>
    <row r="1120" spans="1:1" x14ac:dyDescent="0.2">
      <c r="A1120" s="3">
        <v>2000000</v>
      </c>
    </row>
    <row r="1121" spans="1:1" x14ac:dyDescent="0.2">
      <c r="A1121" s="3">
        <v>4312000</v>
      </c>
    </row>
    <row r="1122" spans="1:1" x14ac:dyDescent="0.2">
      <c r="A1122" s="3">
        <v>3000000</v>
      </c>
    </row>
    <row r="1123" spans="1:1" x14ac:dyDescent="0.2">
      <c r="A1123" s="3">
        <v>4312000</v>
      </c>
    </row>
    <row r="1124" spans="1:1" x14ac:dyDescent="0.2">
      <c r="A1124" s="3">
        <v>4500000</v>
      </c>
    </row>
    <row r="1125" spans="1:1" x14ac:dyDescent="0.2">
      <c r="A1125" s="3">
        <v>4312000</v>
      </c>
    </row>
    <row r="1126" spans="1:1" x14ac:dyDescent="0.2">
      <c r="A1126" s="3">
        <v>2400000</v>
      </c>
    </row>
    <row r="1127" spans="1:1" x14ac:dyDescent="0.2">
      <c r="A1127" s="3">
        <v>2400000</v>
      </c>
    </row>
    <row r="1128" spans="1:1" x14ac:dyDescent="0.2">
      <c r="A1128" s="3">
        <v>2800000</v>
      </c>
    </row>
    <row r="1129" spans="1:1" x14ac:dyDescent="0.2">
      <c r="A1129" s="3">
        <v>1400000</v>
      </c>
    </row>
    <row r="1130" spans="1:1" x14ac:dyDescent="0.2">
      <c r="A1130" s="3">
        <v>3362000</v>
      </c>
    </row>
    <row r="1131" spans="1:1" x14ac:dyDescent="0.2">
      <c r="A1131" s="3">
        <v>2700000</v>
      </c>
    </row>
    <row r="1132" spans="1:1" x14ac:dyDescent="0.2">
      <c r="A1132" s="3">
        <v>5000000</v>
      </c>
    </row>
    <row r="1133" spans="1:1" x14ac:dyDescent="0.2">
      <c r="A1133" s="3">
        <v>4631285</v>
      </c>
    </row>
    <row r="1134" spans="1:1" x14ac:dyDescent="0.2">
      <c r="A1134" s="3">
        <v>4631285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699F-4B66-4389-A9CF-58CD265CE5BC}">
  <dimension ref="A1:G104"/>
  <sheetViews>
    <sheetView showGridLines="0" tabSelected="1" zoomScale="160" zoomScaleNormal="160" workbookViewId="0">
      <selection sqref="A1:G1"/>
    </sheetView>
  </sheetViews>
  <sheetFormatPr baseColWidth="10" defaultRowHeight="14.25" x14ac:dyDescent="0.2"/>
  <cols>
    <col min="1" max="1" width="20" style="2" bestFit="1" customWidth="1"/>
    <col min="2" max="2" width="14.85546875" style="2" customWidth="1"/>
    <col min="3" max="3" width="22.28515625" style="2" customWidth="1"/>
    <col min="4" max="4" width="18.28515625" style="2" customWidth="1"/>
    <col min="5" max="16384" width="11.42578125" style="2"/>
  </cols>
  <sheetData>
    <row r="1" spans="1:7" ht="15" thickBot="1" x14ac:dyDescent="0.25">
      <c r="A1" s="29" t="s">
        <v>80</v>
      </c>
      <c r="B1" s="29"/>
      <c r="C1" s="29"/>
      <c r="D1" s="29"/>
      <c r="E1" s="29"/>
      <c r="F1" s="29"/>
      <c r="G1" s="29"/>
    </row>
    <row r="2" spans="1:7" ht="15" thickTop="1" x14ac:dyDescent="0.2">
      <c r="A2" s="28" t="s">
        <v>88</v>
      </c>
      <c r="B2" s="28"/>
      <c r="C2" s="28"/>
      <c r="D2" s="28"/>
      <c r="E2" s="25"/>
      <c r="F2" s="25"/>
      <c r="G2" s="25"/>
    </row>
    <row r="3" spans="1:7" x14ac:dyDescent="0.2">
      <c r="A3" s="2" t="s">
        <v>59</v>
      </c>
      <c r="B3" s="21" t="s">
        <v>71</v>
      </c>
      <c r="C3" s="3">
        <f>+AVERAGE(Especialistas!A2:A81)</f>
        <v>4731496.2750000004</v>
      </c>
      <c r="D3" s="2" t="s">
        <v>74</v>
      </c>
    </row>
    <row r="4" spans="1:7" x14ac:dyDescent="0.2">
      <c r="A4" s="2" t="s">
        <v>25</v>
      </c>
      <c r="B4" s="21" t="s">
        <v>72</v>
      </c>
      <c r="C4" s="3">
        <f>+STDEV(Especialistas!A2:A81)</f>
        <v>1573953.2666096587</v>
      </c>
      <c r="D4" s="2" t="s">
        <v>75</v>
      </c>
    </row>
    <row r="6" spans="1:7" x14ac:dyDescent="0.2">
      <c r="B6" s="1" t="s">
        <v>73</v>
      </c>
      <c r="C6" s="1" t="s">
        <v>102</v>
      </c>
    </row>
    <row r="7" spans="1:7" x14ac:dyDescent="0.2">
      <c r="A7" s="2" t="s">
        <v>42</v>
      </c>
      <c r="B7" s="3">
        <v>4000000</v>
      </c>
      <c r="C7" s="31">
        <f>+NORMDIST(B7,C3,C4,0)</f>
        <v>2.2751804742259855E-7</v>
      </c>
      <c r="D7" s="2" t="s">
        <v>76</v>
      </c>
      <c r="E7" s="2" t="s">
        <v>78</v>
      </c>
      <c r="F7" s="2" t="s">
        <v>111</v>
      </c>
    </row>
    <row r="8" spans="1:7" x14ac:dyDescent="0.2">
      <c r="A8" s="2" t="s">
        <v>104</v>
      </c>
      <c r="B8" s="3">
        <v>4000000</v>
      </c>
      <c r="C8" s="32">
        <f>+NORMDIST(B8,C3,C4,1)</f>
        <v>0.32105490883838306</v>
      </c>
      <c r="D8" s="2" t="s">
        <v>77</v>
      </c>
      <c r="E8" s="2" t="s">
        <v>79</v>
      </c>
      <c r="F8" s="2" t="s">
        <v>112</v>
      </c>
    </row>
    <row r="9" spans="1:7" x14ac:dyDescent="0.2">
      <c r="A9" s="2" t="s">
        <v>83</v>
      </c>
      <c r="B9" s="3">
        <f>+C3</f>
        <v>4731496.2750000004</v>
      </c>
      <c r="C9" s="31">
        <f>+NORMDIST(B9,C3,C4,0)</f>
        <v>2.5346513703088912E-7</v>
      </c>
      <c r="D9" s="2" t="s">
        <v>76</v>
      </c>
      <c r="E9" s="2" t="s">
        <v>78</v>
      </c>
    </row>
    <row r="10" spans="1:7" x14ac:dyDescent="0.2">
      <c r="A10" s="2" t="s">
        <v>105</v>
      </c>
      <c r="B10" s="3">
        <f>+C3</f>
        <v>4731496.2750000004</v>
      </c>
      <c r="C10" s="32">
        <f>+NORMDIST(B10,C3,C4,1)</f>
        <v>0.5</v>
      </c>
      <c r="D10" s="2" t="s">
        <v>77</v>
      </c>
      <c r="E10" s="2" t="s">
        <v>79</v>
      </c>
    </row>
    <row r="11" spans="1:7" x14ac:dyDescent="0.2">
      <c r="A11" s="2" t="s">
        <v>84</v>
      </c>
      <c r="B11" s="3">
        <v>1000000</v>
      </c>
      <c r="C11" s="31">
        <f>+NORMDIST(B11,C3,C4,0)</f>
        <v>1.5255321035535096E-8</v>
      </c>
    </row>
    <row r="12" spans="1:7" x14ac:dyDescent="0.2">
      <c r="A12" s="2" t="s">
        <v>106</v>
      </c>
      <c r="B12" s="3">
        <v>1000000</v>
      </c>
      <c r="C12" s="32">
        <f>+NORMDIST(B12,C3,C4,1)</f>
        <v>8.8753065388817928E-3</v>
      </c>
    </row>
    <row r="13" spans="1:7" x14ac:dyDescent="0.2">
      <c r="A13" s="2" t="s">
        <v>85</v>
      </c>
      <c r="B13" s="3">
        <v>500000</v>
      </c>
      <c r="C13" s="31">
        <f>+NORMDIST(B13,C3,C4,0)</f>
        <v>6.8301171561241813E-9</v>
      </c>
    </row>
    <row r="14" spans="1:7" x14ac:dyDescent="0.2">
      <c r="A14" s="2" t="s">
        <v>107</v>
      </c>
      <c r="B14" s="3">
        <v>500000</v>
      </c>
      <c r="C14" s="32">
        <f>+NORMDIST(B14,C3,C4,1)</f>
        <v>3.5892182305537704E-3</v>
      </c>
    </row>
    <row r="15" spans="1:7" x14ac:dyDescent="0.2">
      <c r="A15" s="2" t="s">
        <v>86</v>
      </c>
      <c r="B15" s="3">
        <v>-100000</v>
      </c>
      <c r="C15" s="33">
        <f>+NORMDIST(B15,C3,C4,0)</f>
        <v>2.279212512429407E-9</v>
      </c>
    </row>
    <row r="16" spans="1:7" x14ac:dyDescent="0.2">
      <c r="A16" s="2" t="s">
        <v>108</v>
      </c>
      <c r="B16" s="3">
        <v>-100000</v>
      </c>
      <c r="C16" s="32">
        <f>+NORMDIST(B16,C3,C4,1)</f>
        <v>1.0715245586945105E-3</v>
      </c>
    </row>
    <row r="17" spans="1:7" x14ac:dyDescent="0.2">
      <c r="B17" s="3"/>
      <c r="C17" s="19"/>
    </row>
    <row r="18" spans="1:7" x14ac:dyDescent="0.2">
      <c r="A18" s="1" t="s">
        <v>109</v>
      </c>
      <c r="B18" s="1" t="s">
        <v>73</v>
      </c>
    </row>
    <row r="19" spans="1:7" x14ac:dyDescent="0.2">
      <c r="A19" s="24">
        <v>9.9999999999999995E-7</v>
      </c>
      <c r="B19" s="34">
        <f>+NORMINV(A19,C3,C4)</f>
        <v>-2750171.4434535606</v>
      </c>
      <c r="C19" s="2" t="s">
        <v>103</v>
      </c>
    </row>
    <row r="20" spans="1:7" x14ac:dyDescent="0.2">
      <c r="A20" s="22">
        <v>0.1</v>
      </c>
      <c r="B20" s="34">
        <f>+NORMINV(A20,C3,C4)</f>
        <v>2714394.0020823544</v>
      </c>
      <c r="C20" s="30"/>
    </row>
    <row r="21" spans="1:7" x14ac:dyDescent="0.2">
      <c r="A21" s="22">
        <v>0.32</v>
      </c>
      <c r="B21" s="34">
        <f>+NORMINV(A21,C3,C4)</f>
        <v>3995360.2223443054</v>
      </c>
      <c r="C21" s="30"/>
    </row>
    <row r="22" spans="1:7" x14ac:dyDescent="0.2">
      <c r="A22" s="22">
        <v>0.4</v>
      </c>
      <c r="B22" s="34">
        <f>+NORMINV(A22,C3,C4)</f>
        <v>4332739.7744333139</v>
      </c>
      <c r="C22" s="19"/>
    </row>
    <row r="23" spans="1:7" x14ac:dyDescent="0.2">
      <c r="A23" s="22">
        <v>0.5</v>
      </c>
      <c r="B23" s="34">
        <f>+NORMINV(A23,C3,C4)</f>
        <v>4731496.2750000004</v>
      </c>
      <c r="C23" s="19"/>
    </row>
    <row r="24" spans="1:7" x14ac:dyDescent="0.2">
      <c r="A24" s="22">
        <v>0.7</v>
      </c>
      <c r="B24" s="34">
        <f>+NORMINV(A24,C3,C4)</f>
        <v>5556878.1749886014</v>
      </c>
      <c r="C24" s="19"/>
    </row>
    <row r="25" spans="1:7" x14ac:dyDescent="0.2">
      <c r="A25" s="23">
        <v>0.99999000000000005</v>
      </c>
      <c r="B25" s="34">
        <f>+NORMINV(A25,C3,C4)</f>
        <v>11444235.071829889</v>
      </c>
      <c r="C25" s="19"/>
    </row>
    <row r="26" spans="1:7" x14ac:dyDescent="0.2">
      <c r="B26" s="3"/>
      <c r="C26" s="19"/>
    </row>
    <row r="28" spans="1:7" ht="15" thickBot="1" x14ac:dyDescent="0.25">
      <c r="A28" s="29" t="s">
        <v>81</v>
      </c>
      <c r="B28" s="29"/>
      <c r="C28" s="29"/>
      <c r="D28" s="29"/>
      <c r="E28" s="29"/>
      <c r="F28" s="29"/>
      <c r="G28" s="29"/>
    </row>
    <row r="29" spans="1:7" ht="15" thickTop="1" x14ac:dyDescent="0.2">
      <c r="B29" s="1" t="s">
        <v>73</v>
      </c>
      <c r="C29" s="1" t="s">
        <v>82</v>
      </c>
      <c r="D29" s="1" t="s">
        <v>102</v>
      </c>
    </row>
    <row r="30" spans="1:7" x14ac:dyDescent="0.2">
      <c r="A30" s="2" t="s">
        <v>104</v>
      </c>
      <c r="B30" s="3">
        <v>4000000</v>
      </c>
      <c r="C30" s="26">
        <f>+(B30-C3)/C4</f>
        <v>-0.46475094942028661</v>
      </c>
      <c r="D30" s="32">
        <f>+_xlfn.NORM.S.DIST(C30,1)</f>
        <v>0.32105490883838306</v>
      </c>
      <c r="E30" s="2" t="s">
        <v>77</v>
      </c>
      <c r="F30" s="2" t="s">
        <v>79</v>
      </c>
      <c r="G30" s="2" t="s">
        <v>113</v>
      </c>
    </row>
    <row r="32" spans="1:7" x14ac:dyDescent="0.2">
      <c r="A32" s="1" t="s">
        <v>109</v>
      </c>
      <c r="B32" s="1" t="s">
        <v>82</v>
      </c>
      <c r="C32" s="1" t="s">
        <v>73</v>
      </c>
    </row>
    <row r="33" spans="1:7" x14ac:dyDescent="0.2">
      <c r="A33" s="24">
        <v>9.9999999999999995E-7</v>
      </c>
      <c r="B33" s="35">
        <f>+_xlfn.NORM.S.INV(A33)</f>
        <v>-4.7534243088228987</v>
      </c>
      <c r="C33" s="34">
        <f>B33*C4+C3</f>
        <v>-2750171.4434535606</v>
      </c>
    </row>
    <row r="34" spans="1:7" x14ac:dyDescent="0.2">
      <c r="A34" s="22">
        <v>0.1</v>
      </c>
      <c r="B34" s="35">
        <f t="shared" ref="B34:B39" si="0">+_xlfn.NORM.S.INV(A34)</f>
        <v>-1.2815515655446006</v>
      </c>
      <c r="C34" s="34">
        <f>B34*$C$4+$C$3</f>
        <v>2714394.0020823544</v>
      </c>
    </row>
    <row r="35" spans="1:7" x14ac:dyDescent="0.2">
      <c r="A35" s="22">
        <v>0.32</v>
      </c>
      <c r="B35" s="35">
        <f t="shared" si="0"/>
        <v>-0.46769879911450829</v>
      </c>
      <c r="C35" s="34">
        <f t="shared" ref="C35:C39" si="1">B35*$C$4+$C$3</f>
        <v>3995360.2223443054</v>
      </c>
    </row>
    <row r="36" spans="1:7" x14ac:dyDescent="0.2">
      <c r="A36" s="22">
        <v>0.4</v>
      </c>
      <c r="B36" s="35">
        <f t="shared" si="0"/>
        <v>-0.25334710313579978</v>
      </c>
      <c r="C36" s="34">
        <f t="shared" si="1"/>
        <v>4332739.7744333139</v>
      </c>
    </row>
    <row r="37" spans="1:7" x14ac:dyDescent="0.2">
      <c r="A37" s="22">
        <v>0.5</v>
      </c>
      <c r="B37" s="35">
        <f t="shared" si="0"/>
        <v>0</v>
      </c>
      <c r="C37" s="34">
        <f t="shared" si="1"/>
        <v>4731496.2750000004</v>
      </c>
    </row>
    <row r="38" spans="1:7" x14ac:dyDescent="0.2">
      <c r="A38" s="22">
        <v>0.7</v>
      </c>
      <c r="B38" s="35">
        <f t="shared" si="0"/>
        <v>0.52440051270804078</v>
      </c>
      <c r="C38" s="34">
        <f t="shared" si="1"/>
        <v>5556878.1749886014</v>
      </c>
    </row>
    <row r="39" spans="1:7" x14ac:dyDescent="0.2">
      <c r="A39" s="23">
        <v>0.99999000000000005</v>
      </c>
      <c r="B39" s="35">
        <f t="shared" si="0"/>
        <v>4.2648907939238399</v>
      </c>
      <c r="C39" s="34">
        <f t="shared" si="1"/>
        <v>11444235.071829889</v>
      </c>
    </row>
    <row r="42" spans="1:7" ht="15" thickBot="1" x14ac:dyDescent="0.25">
      <c r="A42" s="29" t="s">
        <v>87</v>
      </c>
      <c r="B42" s="29"/>
      <c r="C42" s="29"/>
      <c r="D42" s="29"/>
      <c r="E42" s="29"/>
      <c r="F42" s="29"/>
      <c r="G42" s="29"/>
    </row>
    <row r="43" spans="1:7" ht="15" thickTop="1" x14ac:dyDescent="0.2">
      <c r="A43" s="27" t="s">
        <v>88</v>
      </c>
      <c r="B43" s="27"/>
      <c r="C43" s="27"/>
      <c r="D43" s="27"/>
    </row>
    <row r="44" spans="1:7" x14ac:dyDescent="0.2">
      <c r="A44" s="2" t="s">
        <v>64</v>
      </c>
      <c r="B44" s="21" t="s">
        <v>90</v>
      </c>
      <c r="C44" s="3">
        <f>+MIN(Especialistas!A2:A81)</f>
        <v>900000</v>
      </c>
      <c r="D44" s="2" t="s">
        <v>94</v>
      </c>
    </row>
    <row r="45" spans="1:7" x14ac:dyDescent="0.2">
      <c r="A45" s="2" t="s">
        <v>89</v>
      </c>
      <c r="B45" s="21" t="s">
        <v>91</v>
      </c>
      <c r="C45" s="3">
        <f>+MODE(Especialistas!A2:A81)</f>
        <v>6085454</v>
      </c>
      <c r="D45" s="2" t="s">
        <v>95</v>
      </c>
    </row>
    <row r="46" spans="1:7" x14ac:dyDescent="0.2">
      <c r="A46" s="2" t="s">
        <v>65</v>
      </c>
      <c r="B46" s="21" t="s">
        <v>92</v>
      </c>
      <c r="C46" s="3">
        <f>+MAX(Especialistas!A2:A81)</f>
        <v>7500000</v>
      </c>
      <c r="D46" s="2" t="s">
        <v>96</v>
      </c>
    </row>
    <row r="48" spans="1:7" x14ac:dyDescent="0.2">
      <c r="B48" s="1" t="s">
        <v>73</v>
      </c>
      <c r="C48" s="1" t="s">
        <v>102</v>
      </c>
    </row>
    <row r="49" spans="1:7" x14ac:dyDescent="0.2">
      <c r="A49" s="2" t="s">
        <v>42</v>
      </c>
      <c r="B49" s="3">
        <v>4000000</v>
      </c>
      <c r="C49" s="31">
        <f>+IF(B49&lt;=C45,2*(B49-C44)/((C45-C44)*(C46-C44)),2*(C46-B49)/((C46-C45)*(C46-C44)))</f>
        <v>1.8115943934589707E-7</v>
      </c>
      <c r="D49" s="2" t="s">
        <v>76</v>
      </c>
      <c r="E49" s="2" t="s">
        <v>78</v>
      </c>
      <c r="F49" s="2" t="s">
        <v>114</v>
      </c>
    </row>
    <row r="50" spans="1:7" x14ac:dyDescent="0.2">
      <c r="A50" s="2" t="s">
        <v>104</v>
      </c>
      <c r="B50" s="3">
        <v>4000000</v>
      </c>
      <c r="C50" s="32">
        <f>+IF(B50&lt;=C45,(B50-C44)^2/((C45-C44)*(C46-C44)),1-(C46-B50)^2/((C46-C45)*(C46-C44)))</f>
        <v>0.28079713098614045</v>
      </c>
      <c r="D50" s="2" t="s">
        <v>77</v>
      </c>
      <c r="E50" s="2" t="s">
        <v>79</v>
      </c>
      <c r="F50" s="2" t="s">
        <v>115</v>
      </c>
    </row>
    <row r="52" spans="1:7" x14ac:dyDescent="0.2">
      <c r="A52" s="1" t="s">
        <v>109</v>
      </c>
      <c r="B52" s="1" t="s">
        <v>73</v>
      </c>
    </row>
    <row r="53" spans="1:7" x14ac:dyDescent="0.2">
      <c r="A53" s="24">
        <v>9.9999999999999995E-7</v>
      </c>
      <c r="B53" s="34">
        <f>+IF(A53&lt;=(C45-C44)/(C46-C44),C44+SQRT(A53*C45*(C46-C44)),C46+SQRT((1-A53)*(C45-C44)*(C46-C44)))</f>
        <v>906337.50711242203</v>
      </c>
      <c r="C53" s="2" t="s">
        <v>116</v>
      </c>
    </row>
    <row r="54" spans="1:7" x14ac:dyDescent="0.2">
      <c r="A54" s="22">
        <v>0.1</v>
      </c>
      <c r="B54" s="34">
        <f>+IF(A54&lt;=($C$45-$C$44)/($C$46-$C$44),$C$44+SQRT(A54*$C$45*($C$46-$C$44)),$C$46+SQRT((1-A54)*($C$45-$C$44)*($C$46-$C$44)))</f>
        <v>2904095.7162770443</v>
      </c>
    </row>
    <row r="55" spans="1:7" x14ac:dyDescent="0.2">
      <c r="A55" s="22">
        <v>0.32</v>
      </c>
      <c r="B55" s="34">
        <f t="shared" ref="B55:B59" si="2">+IF(A55&lt;=($C$45-$C$44)/($C$46-$C$44),$C$44+SQRT(A55*$C$45*($C$46-$C$44)),$C$46+SQRT((1-A55)*($C$45-$C$44)*($C$46-$C$44)))</f>
        <v>4485035.4040092826</v>
      </c>
    </row>
    <row r="56" spans="1:7" x14ac:dyDescent="0.2">
      <c r="A56" s="22">
        <v>0.4</v>
      </c>
      <c r="B56" s="34">
        <f t="shared" si="2"/>
        <v>4908191.4325540885</v>
      </c>
    </row>
    <row r="57" spans="1:7" x14ac:dyDescent="0.2">
      <c r="A57" s="22">
        <v>0.5</v>
      </c>
      <c r="B57" s="34">
        <f t="shared" si="2"/>
        <v>5381294.2550116032</v>
      </c>
    </row>
    <row r="58" spans="1:7" x14ac:dyDescent="0.2">
      <c r="A58" s="22">
        <v>0.7</v>
      </c>
      <c r="B58" s="34">
        <f t="shared" si="2"/>
        <v>6202338.8688389203</v>
      </c>
    </row>
    <row r="59" spans="1:7" x14ac:dyDescent="0.2">
      <c r="A59" s="23">
        <v>0.99999000000000005</v>
      </c>
      <c r="B59" s="34">
        <f t="shared" si="2"/>
        <v>7518499.7287547262</v>
      </c>
    </row>
    <row r="61" spans="1:7" ht="15" thickBot="1" x14ac:dyDescent="0.25">
      <c r="A61" s="29" t="s">
        <v>93</v>
      </c>
      <c r="B61" s="29"/>
      <c r="C61" s="29"/>
      <c r="D61" s="29"/>
      <c r="E61" s="29"/>
      <c r="F61" s="29"/>
      <c r="G61" s="29"/>
    </row>
    <row r="62" spans="1:7" ht="15" thickTop="1" x14ac:dyDescent="0.2">
      <c r="A62" s="27" t="s">
        <v>88</v>
      </c>
      <c r="B62" s="27"/>
      <c r="C62" s="27"/>
      <c r="D62" s="27"/>
    </row>
    <row r="63" spans="1:7" x14ac:dyDescent="0.2">
      <c r="A63" s="2" t="s">
        <v>64</v>
      </c>
      <c r="B63" s="3">
        <f>+MIN(Especialistas!A2:A81)</f>
        <v>900000</v>
      </c>
      <c r="C63" s="2" t="s">
        <v>94</v>
      </c>
    </row>
    <row r="64" spans="1:7" x14ac:dyDescent="0.2">
      <c r="A64" s="2" t="s">
        <v>65</v>
      </c>
      <c r="B64" s="3">
        <f>+MAX(Especialistas!A2:A81)</f>
        <v>7500000</v>
      </c>
      <c r="C64" s="2" t="s">
        <v>96</v>
      </c>
    </row>
    <row r="66" spans="1:7" x14ac:dyDescent="0.2">
      <c r="B66" s="1" t="s">
        <v>73</v>
      </c>
      <c r="C66" s="1" t="s">
        <v>102</v>
      </c>
    </row>
    <row r="67" spans="1:7" x14ac:dyDescent="0.2">
      <c r="A67" s="2" t="s">
        <v>42</v>
      </c>
      <c r="B67" s="3">
        <v>4000000</v>
      </c>
      <c r="C67" s="31">
        <f>1/(B64-B63)</f>
        <v>1.5151515151515152E-7</v>
      </c>
      <c r="D67" s="2" t="s">
        <v>76</v>
      </c>
      <c r="E67" s="2" t="s">
        <v>78</v>
      </c>
      <c r="F67" s="2" t="s">
        <v>117</v>
      </c>
    </row>
    <row r="68" spans="1:7" x14ac:dyDescent="0.2">
      <c r="A68" s="2" t="s">
        <v>104</v>
      </c>
      <c r="B68" s="3">
        <v>4000000</v>
      </c>
      <c r="C68" s="32">
        <f>+(B68-B63)/(B64-B63)</f>
        <v>0.46969696969696972</v>
      </c>
      <c r="D68" s="2" t="s">
        <v>77</v>
      </c>
      <c r="E68" s="2" t="s">
        <v>79</v>
      </c>
      <c r="F68" s="2" t="s">
        <v>118</v>
      </c>
    </row>
    <row r="70" spans="1:7" x14ac:dyDescent="0.2">
      <c r="A70" s="1" t="s">
        <v>109</v>
      </c>
      <c r="B70" s="1" t="s">
        <v>73</v>
      </c>
    </row>
    <row r="71" spans="1:7" x14ac:dyDescent="0.2">
      <c r="A71" s="24">
        <v>9.9999999999999995E-7</v>
      </c>
      <c r="B71" s="34">
        <f>+B63+A71*(B64-B63)</f>
        <v>900006.6</v>
      </c>
      <c r="C71" s="2" t="s">
        <v>119</v>
      </c>
    </row>
    <row r="72" spans="1:7" x14ac:dyDescent="0.2">
      <c r="A72" s="22">
        <v>0.1</v>
      </c>
      <c r="B72" s="34">
        <f>+$B$63+A72*($B$64-$B$63)</f>
        <v>1560000</v>
      </c>
    </row>
    <row r="73" spans="1:7" x14ac:dyDescent="0.2">
      <c r="A73" s="22">
        <v>0.32</v>
      </c>
      <c r="B73" s="34">
        <f t="shared" ref="B73:B77" si="3">+$B$63+A73*($B$64-$B$63)</f>
        <v>3012000</v>
      </c>
    </row>
    <row r="74" spans="1:7" x14ac:dyDescent="0.2">
      <c r="A74" s="22">
        <v>0.4</v>
      </c>
      <c r="B74" s="34">
        <f t="shared" si="3"/>
        <v>3540000</v>
      </c>
    </row>
    <row r="75" spans="1:7" x14ac:dyDescent="0.2">
      <c r="A75" s="22">
        <v>0.5</v>
      </c>
      <c r="B75" s="34">
        <f t="shared" si="3"/>
        <v>4200000</v>
      </c>
    </row>
    <row r="76" spans="1:7" x14ac:dyDescent="0.2">
      <c r="A76" s="22">
        <v>0.7</v>
      </c>
      <c r="B76" s="34">
        <f t="shared" si="3"/>
        <v>5520000</v>
      </c>
    </row>
    <row r="77" spans="1:7" x14ac:dyDescent="0.2">
      <c r="A77" s="23">
        <v>0.99999000000000005</v>
      </c>
      <c r="B77" s="34">
        <f t="shared" si="3"/>
        <v>7499934</v>
      </c>
    </row>
    <row r="80" spans="1:7" ht="15" thickBot="1" x14ac:dyDescent="0.25">
      <c r="A80" s="29" t="s">
        <v>97</v>
      </c>
      <c r="B80" s="29"/>
      <c r="C80" s="29"/>
      <c r="D80" s="29"/>
      <c r="E80" s="29"/>
      <c r="F80" s="29"/>
      <c r="G80" s="29"/>
    </row>
    <row r="81" spans="1:6" ht="15" thickTop="1" x14ac:dyDescent="0.2">
      <c r="A81" s="28" t="s">
        <v>88</v>
      </c>
      <c r="B81" s="28"/>
      <c r="C81" s="28"/>
      <c r="D81" s="28"/>
    </row>
    <row r="82" spans="1:6" x14ac:dyDescent="0.2">
      <c r="A82" s="2" t="s">
        <v>59</v>
      </c>
      <c r="B82" s="21" t="s">
        <v>71</v>
      </c>
      <c r="C82" s="26" cm="1">
        <f t="array" ref="C82">AVERAGE(LN(Especialistas!A2:A81))</f>
        <v>15.285848294331739</v>
      </c>
      <c r="D82" s="2" t="s">
        <v>98</v>
      </c>
    </row>
    <row r="83" spans="1:6" x14ac:dyDescent="0.2">
      <c r="A83" s="2" t="s">
        <v>25</v>
      </c>
      <c r="B83" s="21" t="s">
        <v>72</v>
      </c>
      <c r="C83" s="26" cm="1">
        <f t="array" ref="C83">+STDEV(LN(Especialistas!A2:A81))</f>
        <v>0.47017173885784769</v>
      </c>
      <c r="D83" s="2" t="s">
        <v>99</v>
      </c>
    </row>
    <row r="85" spans="1:6" x14ac:dyDescent="0.2">
      <c r="B85" s="1" t="s">
        <v>73</v>
      </c>
      <c r="C85" s="1" t="s">
        <v>102</v>
      </c>
    </row>
    <row r="86" spans="1:6" x14ac:dyDescent="0.2">
      <c r="A86" s="2" t="s">
        <v>100</v>
      </c>
      <c r="B86" s="3">
        <v>4000000</v>
      </c>
      <c r="C86" s="33">
        <f>+_xlfn.LOGNORM.DIST(B86,C82,C83,0)</f>
        <v>2.0876386597122864E-7</v>
      </c>
      <c r="D86" s="2" t="s">
        <v>76</v>
      </c>
      <c r="E86" s="2" t="s">
        <v>78</v>
      </c>
      <c r="F86" s="2" t="s">
        <v>120</v>
      </c>
    </row>
    <row r="87" spans="1:6" x14ac:dyDescent="0.2">
      <c r="A87" s="2" t="s">
        <v>104</v>
      </c>
      <c r="B87" s="3">
        <v>4000000</v>
      </c>
      <c r="C87" s="32">
        <f>+_xlfn.LOGNORM.DIST(B87,C82,C83,1)</f>
        <v>0.4290668557854399</v>
      </c>
      <c r="D87" s="2" t="s">
        <v>77</v>
      </c>
      <c r="E87" s="2" t="s">
        <v>79</v>
      </c>
      <c r="F87" s="2" t="s">
        <v>121</v>
      </c>
    </row>
    <row r="88" spans="1:6" x14ac:dyDescent="0.2">
      <c r="A88" s="2" t="s">
        <v>83</v>
      </c>
      <c r="B88" s="3">
        <f>+C3</f>
        <v>4731496.2750000004</v>
      </c>
      <c r="C88" s="33">
        <f>+_xlfn.LOGNORM.DIST(B88,C82,C83,0)</f>
        <v>1.7649802637250393E-7</v>
      </c>
      <c r="D88" s="2" t="s">
        <v>76</v>
      </c>
      <c r="E88" s="2" t="s">
        <v>78</v>
      </c>
    </row>
    <row r="89" spans="1:6" x14ac:dyDescent="0.2">
      <c r="A89" s="2" t="s">
        <v>105</v>
      </c>
      <c r="B89" s="3">
        <f>+B88</f>
        <v>4731496.2750000004</v>
      </c>
      <c r="C89" s="32">
        <f>+_xlfn.LOGNORM.DIST(B89,C82,C83,1)</f>
        <v>0.57081654906962087</v>
      </c>
      <c r="D89" s="2" t="s">
        <v>77</v>
      </c>
      <c r="E89" s="2" t="s">
        <v>79</v>
      </c>
    </row>
    <row r="90" spans="1:6" x14ac:dyDescent="0.2">
      <c r="A90" s="2" t="s">
        <v>84</v>
      </c>
      <c r="B90" s="3">
        <v>1000000</v>
      </c>
      <c r="C90" s="33">
        <f>+_xlfn.LOGNORM.DIST(B90,C82,C83,0)</f>
        <v>6.3832231671053696E-9</v>
      </c>
    </row>
    <row r="91" spans="1:6" x14ac:dyDescent="0.2">
      <c r="A91" s="2" t="s">
        <v>106</v>
      </c>
      <c r="B91" s="3">
        <v>1000000</v>
      </c>
      <c r="C91" s="32">
        <f>+_xlfn.LOGNORM.DIST(B91,C82,C83,1)</f>
        <v>8.822926966381724E-4</v>
      </c>
    </row>
    <row r="92" spans="1:6" x14ac:dyDescent="0.2">
      <c r="A92" s="2" t="s">
        <v>101</v>
      </c>
      <c r="B92" s="3">
        <v>8000000</v>
      </c>
      <c r="C92" s="33">
        <f>+_xlfn.LOGNORM.DIST(B92,C82,C83,0)</f>
        <v>4.5827414164616569E-8</v>
      </c>
    </row>
    <row r="93" spans="1:6" x14ac:dyDescent="0.2">
      <c r="A93" s="2" t="s">
        <v>110</v>
      </c>
      <c r="B93" s="3">
        <f>+B92</f>
        <v>8000000</v>
      </c>
      <c r="C93" s="32">
        <f>+_xlfn.LOGNORM.DIST(B93,C82,C83,1)</f>
        <v>0.90242474929620942</v>
      </c>
    </row>
    <row r="94" spans="1:6" x14ac:dyDescent="0.2">
      <c r="A94" s="2" t="s">
        <v>86</v>
      </c>
      <c r="B94" s="3">
        <v>-100000</v>
      </c>
      <c r="C94" s="33" t="e">
        <f>+_xlfn.LOGNORM.DIST(B94,C82,C83,0)</f>
        <v>#NUM!</v>
      </c>
    </row>
    <row r="95" spans="1:6" x14ac:dyDescent="0.2">
      <c r="A95" s="2" t="s">
        <v>108</v>
      </c>
      <c r="B95" s="3">
        <v>-100000</v>
      </c>
      <c r="C95" s="33" t="e">
        <f>+_xlfn.LOGNORM.DIST(B95,C82,C83,1)</f>
        <v>#NUM!</v>
      </c>
    </row>
    <row r="97" spans="1:3" x14ac:dyDescent="0.2">
      <c r="A97" s="1" t="s">
        <v>109</v>
      </c>
      <c r="B97" s="1" t="s">
        <v>73</v>
      </c>
    </row>
    <row r="98" spans="1:3" x14ac:dyDescent="0.2">
      <c r="A98" s="24">
        <v>9.9999999999999995E-7</v>
      </c>
      <c r="B98" s="34">
        <f>+LOGINV(A98,C82,C83)</f>
        <v>465525.6710889184</v>
      </c>
      <c r="C98" s="2" t="s">
        <v>122</v>
      </c>
    </row>
    <row r="99" spans="1:3" x14ac:dyDescent="0.2">
      <c r="A99" s="22">
        <v>0.1</v>
      </c>
      <c r="B99" s="34">
        <f>+LOGINV(A99,$C$82,$C$83)</f>
        <v>2381637.8144874666</v>
      </c>
    </row>
    <row r="100" spans="1:3" x14ac:dyDescent="0.2">
      <c r="A100" s="22">
        <v>0.32</v>
      </c>
      <c r="B100" s="34">
        <f t="shared" ref="B100:B104" si="4">+LOGINV(A100,$C$82,$C$83)</f>
        <v>3491875.4801146644</v>
      </c>
    </row>
    <row r="101" spans="1:3" x14ac:dyDescent="0.2">
      <c r="A101" s="22">
        <v>0.4</v>
      </c>
      <c r="B101" s="34">
        <f t="shared" si="4"/>
        <v>3862138.6650704285</v>
      </c>
    </row>
    <row r="102" spans="1:3" x14ac:dyDescent="0.2">
      <c r="A102" s="22">
        <v>0.5</v>
      </c>
      <c r="B102" s="34">
        <f t="shared" si="4"/>
        <v>4350704.2840180723</v>
      </c>
    </row>
    <row r="103" spans="1:3" x14ac:dyDescent="0.2">
      <c r="A103" s="22">
        <v>0.7</v>
      </c>
      <c r="B103" s="34">
        <f t="shared" si="4"/>
        <v>5567221.1706368346</v>
      </c>
    </row>
    <row r="104" spans="1:3" x14ac:dyDescent="0.2">
      <c r="A104" s="23">
        <v>0.99999000000000005</v>
      </c>
      <c r="B104" s="34">
        <f t="shared" si="4"/>
        <v>32316206.608740821</v>
      </c>
    </row>
  </sheetData>
  <mergeCells count="9">
    <mergeCell ref="A61:G61"/>
    <mergeCell ref="A62:D62"/>
    <mergeCell ref="A80:G80"/>
    <mergeCell ref="A81:D81"/>
    <mergeCell ref="A1:G1"/>
    <mergeCell ref="A28:G28"/>
    <mergeCell ref="A42:G42"/>
    <mergeCell ref="A2:D2"/>
    <mergeCell ref="A43:D43"/>
  </mergeCells>
  <pageMargins left="0.7" right="0.7" top="0.75" bottom="0.75" header="0.3" footer="0.3"/>
  <ignoredErrors>
    <ignoredError sqref="C94:C95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Especialistas</vt:lpstr>
      <vt:lpstr>Profesionales</vt:lpstr>
      <vt:lpstr>Distribuciones de 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2021-10-14T03:12:56Z</dcterms:created>
  <dcterms:modified xsi:type="dcterms:W3CDTF">2021-10-19T21:17:25Z</dcterms:modified>
</cp:coreProperties>
</file>