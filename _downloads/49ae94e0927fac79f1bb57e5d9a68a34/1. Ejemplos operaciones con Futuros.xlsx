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migue\Dropbox\UNAL\DERIVADOS FINANCIEROS\CLASES\Futuros\"/>
    </mc:Choice>
  </mc:AlternateContent>
  <xr:revisionPtr revIDLastSave="0" documentId="13_ncr:1_{3DCA6BB6-C08A-44CD-BEED-7088966444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pot vs Futuros" sheetId="1" r:id="rId1"/>
    <sheet name="Futuro TRM 1" sheetId="5" r:id="rId2"/>
    <sheet name="Futuro TRM 2" sheetId="2" r:id="rId3"/>
    <sheet name="Futuro TRS" sheetId="9" r:id="rId4"/>
    <sheet name="Futuro COLCAP" sheetId="6" r:id="rId5"/>
    <sheet name="Futuro COS" sheetId="8" r:id="rId6"/>
    <sheet name="Futuro TES" sheetId="7" r:id="rId7"/>
    <sheet name="Llamado al margen CME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6" l="1"/>
  <c r="B14" i="6"/>
  <c r="B19" i="2"/>
  <c r="B17" i="2"/>
  <c r="B11" i="9" l="1"/>
  <c r="B13" i="9"/>
  <c r="B6" i="9"/>
  <c r="B7" i="9" s="1"/>
  <c r="B9" i="9" s="1"/>
  <c r="B11" i="8"/>
  <c r="B5" i="8"/>
  <c r="B7" i="8"/>
  <c r="B12" i="9" l="1"/>
  <c r="B8" i="8"/>
  <c r="B20" i="1"/>
  <c r="B10" i="7"/>
  <c r="B8" i="7"/>
  <c r="B6" i="7"/>
  <c r="B17" i="6"/>
  <c r="B10" i="6"/>
  <c r="B6" i="6"/>
  <c r="B4" i="6"/>
  <c r="B15" i="6" s="1"/>
  <c r="B13" i="5"/>
  <c r="B11" i="5"/>
  <c r="B10" i="5"/>
  <c r="B6" i="5"/>
  <c r="B7" i="5" s="1"/>
  <c r="B9" i="5" s="1"/>
  <c r="B7" i="6" l="1"/>
  <c r="B18" i="6"/>
  <c r="B21" i="6" s="1"/>
  <c r="B20" i="6"/>
  <c r="B12" i="5"/>
  <c r="C21" i="6" l="1"/>
  <c r="E13" i="4"/>
  <c r="D13" i="4"/>
  <c r="D12" i="4"/>
  <c r="E12" i="4"/>
  <c r="E11" i="4"/>
  <c r="D11" i="4"/>
  <c r="E10" i="4"/>
  <c r="D10" i="4"/>
  <c r="F10" i="4" s="1"/>
  <c r="F11" i="4" s="1"/>
  <c r="F7" i="4"/>
  <c r="F9" i="4"/>
  <c r="G11" i="4" l="1"/>
  <c r="F12" i="4"/>
  <c r="F13" i="4" s="1"/>
  <c r="B11" i="2"/>
  <c r="B7" i="2"/>
  <c r="B25" i="1"/>
  <c r="B23" i="1"/>
  <c r="B22" i="1"/>
  <c r="B17" i="1"/>
  <c r="B19" i="1" s="1"/>
  <c r="B8" i="1"/>
  <c r="B11" i="1" s="1"/>
  <c r="B7" i="1"/>
  <c r="B5" i="1"/>
  <c r="B9" i="2" l="1"/>
  <c r="B18" i="2"/>
  <c r="B12" i="2"/>
  <c r="B13" i="2" s="1"/>
  <c r="B20" i="2"/>
  <c r="B24" i="1"/>
  <c r="B9" i="1"/>
  <c r="B10" i="1" s="1"/>
  <c r="B21" i="2" l="1"/>
</calcChain>
</file>

<file path=xl/sharedStrings.xml><?xml version="1.0" encoding="utf-8"?>
<sst xmlns="http://schemas.openxmlformats.org/spreadsheetml/2006/main" count="155" uniqueCount="64">
  <si>
    <t>Acción</t>
  </si>
  <si>
    <t>Ecopetrol</t>
  </si>
  <si>
    <t>Renta variable</t>
  </si>
  <si>
    <t>Q</t>
  </si>
  <si>
    <t>Acciones</t>
  </si>
  <si>
    <t>Inversión</t>
  </si>
  <si>
    <t>Cambio precio</t>
  </si>
  <si>
    <t>Venta</t>
  </si>
  <si>
    <t>Rentabilidad</t>
  </si>
  <si>
    <t>Mercado Spot (contado)</t>
  </si>
  <si>
    <t>Ganancia</t>
  </si>
  <si>
    <t>Mercado futuros (a plazo)</t>
  </si>
  <si>
    <t>Futuros</t>
  </si>
  <si>
    <t>Nominal</t>
  </si>
  <si>
    <t>Garantía</t>
  </si>
  <si>
    <t>Sobre nominal</t>
  </si>
  <si>
    <t>Nivel de apalancamiento</t>
  </si>
  <si>
    <t>Posición</t>
  </si>
  <si>
    <t>Largo</t>
  </si>
  <si>
    <t>Compensación</t>
  </si>
  <si>
    <t>Garantía (inversión)</t>
  </si>
  <si>
    <t>veces</t>
  </si>
  <si>
    <t>Futuro TRM</t>
  </si>
  <si>
    <t>Tick</t>
  </si>
  <si>
    <t>Contratos</t>
  </si>
  <si>
    <t>Tamaño del contrato</t>
  </si>
  <si>
    <t>USD</t>
  </si>
  <si>
    <t>COP</t>
  </si>
  <si>
    <t>sobre nominal</t>
  </si>
  <si>
    <t>1 tick</t>
  </si>
  <si>
    <t>Número contratos</t>
  </si>
  <si>
    <t>Tamaño contrato</t>
  </si>
  <si>
    <t>Corto</t>
  </si>
  <si>
    <t>Mantenimiento</t>
  </si>
  <si>
    <t>Día</t>
  </si>
  <si>
    <t>Compensación del día</t>
  </si>
  <si>
    <t>Llamado al margen</t>
  </si>
  <si>
    <t>Futuro E-MINI S&amp;P 500</t>
  </si>
  <si>
    <t>USD/contrato</t>
  </si>
  <si>
    <t>Precio</t>
  </si>
  <si>
    <t>Compensación global</t>
  </si>
  <si>
    <t>Cuenta de margen</t>
  </si>
  <si>
    <t>USDxPrecio</t>
  </si>
  <si>
    <r>
      <t>Precio spot (S</t>
    </r>
    <r>
      <rPr>
        <vertAlign val="subscript"/>
        <sz val="11"/>
        <color theme="1"/>
        <rFont val="Tahoma"/>
        <family val="2"/>
      </rPr>
      <t>0</t>
    </r>
    <r>
      <rPr>
        <sz val="11"/>
        <color theme="1"/>
        <rFont val="Tahoma"/>
        <family val="2"/>
      </rPr>
      <t>)</t>
    </r>
  </si>
  <si>
    <r>
      <t>Precio final (S</t>
    </r>
    <r>
      <rPr>
        <vertAlign val="subscript"/>
        <sz val="11"/>
        <color theme="1"/>
        <rFont val="Tahoma"/>
        <family val="2"/>
      </rPr>
      <t>T</t>
    </r>
    <r>
      <rPr>
        <sz val="11"/>
        <color theme="1"/>
        <rFont val="Tahoma"/>
        <family val="2"/>
      </rPr>
      <t>)</t>
    </r>
  </si>
  <si>
    <r>
      <t>Precio futuro (F</t>
    </r>
    <r>
      <rPr>
        <vertAlign val="subscript"/>
        <sz val="11"/>
        <color theme="1"/>
        <rFont val="Tahoma"/>
        <family val="2"/>
      </rPr>
      <t>0</t>
    </r>
    <r>
      <rPr>
        <sz val="11"/>
        <color theme="1"/>
        <rFont val="Tahoma"/>
        <family val="2"/>
      </rPr>
      <t>)</t>
    </r>
  </si>
  <si>
    <r>
      <t>F</t>
    </r>
    <r>
      <rPr>
        <vertAlign val="subscript"/>
        <sz val="11"/>
        <color theme="1"/>
        <rFont val="Tahoma"/>
        <family val="2"/>
      </rPr>
      <t>0</t>
    </r>
  </si>
  <si>
    <r>
      <t>F</t>
    </r>
    <r>
      <rPr>
        <vertAlign val="subscript"/>
        <sz val="11"/>
        <color theme="1"/>
        <rFont val="Tahoma"/>
        <family val="2"/>
      </rPr>
      <t>T</t>
    </r>
  </si>
  <si>
    <t>Garantía [%]</t>
  </si>
  <si>
    <t>Garantía [$]</t>
  </si>
  <si>
    <t>Cambio del 1%</t>
  </si>
  <si>
    <t>Futuro COLCAP</t>
  </si>
  <si>
    <t>COP x precio</t>
  </si>
  <si>
    <t>1 contrato</t>
  </si>
  <si>
    <t>Comisión variable</t>
  </si>
  <si>
    <t>Comisión de entrada</t>
  </si>
  <si>
    <t>IVA (19% de la comisión)</t>
  </si>
  <si>
    <t>Comisión de salida</t>
  </si>
  <si>
    <t>Total costos de transacción</t>
  </si>
  <si>
    <t>Rent. antes de CT</t>
  </si>
  <si>
    <t>Rent. después de CT</t>
  </si>
  <si>
    <t>T24U19F</t>
  </si>
  <si>
    <r>
      <t>Precio futuro final (F</t>
    </r>
    <r>
      <rPr>
        <vertAlign val="subscript"/>
        <sz val="11"/>
        <color theme="1"/>
        <rFont val="Tahoma"/>
        <family val="2"/>
      </rPr>
      <t>T</t>
    </r>
    <r>
      <rPr>
        <sz val="11"/>
        <color theme="1"/>
        <rFont val="Tahoma"/>
        <family val="2"/>
      </rPr>
      <t>)</t>
    </r>
  </si>
  <si>
    <t>Pérdida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</si>
</sst>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;[Red]\-&quot;$&quot;#,##0"/>
    <numFmt numFmtId="165" formatCode="&quot;$&quot;#,##0.00;[Red]\-&quot;$&quot;#,##0.00"/>
    <numFmt numFmtId="166" formatCode="_-&quot;$&quot;* #,##0.00_-;\-&quot;$&quot;* #,##0.00_-;_-&quot;$&quot;* &quot;-&quot;??_-;_-@_-"/>
    <numFmt numFmtId="167" formatCode="&quot;$&quot;#,##0.000;[Red]\-&quot;$&quot;#,##0.000"/>
    <numFmt numFmtId="168" formatCode="0.0000%"/>
    <numFmt numFmtId="169" formatCode="0.000000%"/>
    <numFmt numFmtId="170" formatCode="&quot;$&quot;#,##0.0;[Red]\-&quot;$&quot;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vertAlign val="subscript"/>
      <sz val="11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168" fontId="3" fillId="0" borderId="0" xfId="2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9" fontId="3" fillId="0" borderId="0" xfId="2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3" fillId="0" borderId="0" xfId="2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0" fontId="2" fillId="0" borderId="0" xfId="2" applyNumberFormat="1" applyFont="1" applyAlignment="1">
      <alignment horizontal="center" vertical="center"/>
    </xf>
    <xf numFmtId="10" fontId="3" fillId="0" borderId="0" xfId="2" applyNumberFormat="1" applyFont="1"/>
    <xf numFmtId="170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showGridLines="0" tabSelected="1" zoomScale="200" zoomScaleNormal="200" workbookViewId="0">
      <selection sqref="A1:C1"/>
    </sheetView>
  </sheetViews>
  <sheetFormatPr baseColWidth="10" defaultRowHeight="14.25" x14ac:dyDescent="0.2"/>
  <cols>
    <col min="1" max="1" width="23.7109375" style="1" customWidth="1"/>
    <col min="2" max="2" width="16.42578125" style="6" customWidth="1"/>
    <col min="3" max="16384" width="11.42578125" style="1"/>
  </cols>
  <sheetData>
    <row r="1" spans="1:3" x14ac:dyDescent="0.2">
      <c r="A1" s="23" t="s">
        <v>9</v>
      </c>
      <c r="B1" s="23"/>
      <c r="C1" s="23"/>
    </row>
    <row r="2" spans="1:3" ht="19.5" customHeight="1" x14ac:dyDescent="0.2">
      <c r="A2" s="1" t="s">
        <v>0</v>
      </c>
      <c r="B2" s="6" t="s">
        <v>1</v>
      </c>
    </row>
    <row r="3" spans="1:3" ht="19.5" customHeight="1" x14ac:dyDescent="0.3">
      <c r="A3" s="1" t="s">
        <v>43</v>
      </c>
      <c r="B3" s="5">
        <v>3020</v>
      </c>
      <c r="C3" s="1" t="s">
        <v>2</v>
      </c>
    </row>
    <row r="4" spans="1:3" ht="19.5" customHeight="1" x14ac:dyDescent="0.2">
      <c r="A4" s="1" t="s">
        <v>3</v>
      </c>
      <c r="B4" s="7">
        <v>10000</v>
      </c>
      <c r="C4" s="1" t="s">
        <v>4</v>
      </c>
    </row>
    <row r="5" spans="1:3" ht="19.5" customHeight="1" x14ac:dyDescent="0.2">
      <c r="A5" s="1" t="s">
        <v>5</v>
      </c>
      <c r="B5" s="5">
        <f>+B4*B3</f>
        <v>30200000</v>
      </c>
    </row>
    <row r="6" spans="1:3" ht="19.5" customHeight="1" x14ac:dyDescent="0.2">
      <c r="A6" s="1" t="s">
        <v>6</v>
      </c>
      <c r="B6" s="8">
        <v>0.02</v>
      </c>
    </row>
    <row r="7" spans="1:3" ht="19.5" customHeight="1" x14ac:dyDescent="0.3">
      <c r="A7" s="1" t="s">
        <v>44</v>
      </c>
      <c r="B7" s="4">
        <f>+B3*(1+B6)</f>
        <v>3080.4</v>
      </c>
    </row>
    <row r="8" spans="1:3" ht="19.5" customHeight="1" x14ac:dyDescent="0.2">
      <c r="A8" s="1" t="s">
        <v>7</v>
      </c>
      <c r="B8" s="5">
        <f>+B7*B4</f>
        <v>30804000</v>
      </c>
    </row>
    <row r="9" spans="1:3" ht="19.5" customHeight="1" x14ac:dyDescent="0.2">
      <c r="A9" s="1" t="s">
        <v>10</v>
      </c>
      <c r="B9" s="5">
        <f>+B8-B5</f>
        <v>604000</v>
      </c>
    </row>
    <row r="10" spans="1:3" ht="19.5" customHeight="1" x14ac:dyDescent="0.2">
      <c r="A10" s="1" t="s">
        <v>8</v>
      </c>
      <c r="B10" s="2">
        <f>+B9/B5</f>
        <v>0.02</v>
      </c>
    </row>
    <row r="11" spans="1:3" ht="19.5" customHeight="1" x14ac:dyDescent="0.2">
      <c r="A11" s="1" t="s">
        <v>8</v>
      </c>
      <c r="B11" s="2">
        <f>+B8/B5-1</f>
        <v>2.0000000000000018E-2</v>
      </c>
    </row>
    <row r="12" spans="1:3" ht="19.5" customHeight="1" x14ac:dyDescent="0.2"/>
    <row r="13" spans="1:3" ht="19.5" customHeight="1" x14ac:dyDescent="0.2">
      <c r="A13" s="23" t="s">
        <v>11</v>
      </c>
      <c r="B13" s="23"/>
      <c r="C13" s="23"/>
    </row>
    <row r="14" spans="1:3" ht="19.5" customHeight="1" x14ac:dyDescent="0.3">
      <c r="A14" s="1" t="s">
        <v>45</v>
      </c>
      <c r="B14" s="5">
        <v>3049</v>
      </c>
      <c r="C14" s="1" t="s">
        <v>12</v>
      </c>
    </row>
    <row r="15" spans="1:3" ht="19.5" customHeight="1" x14ac:dyDescent="0.2">
      <c r="A15" s="1" t="s">
        <v>3</v>
      </c>
      <c r="B15" s="7">
        <v>10000</v>
      </c>
      <c r="C15" s="1" t="s">
        <v>4</v>
      </c>
    </row>
    <row r="16" spans="1:3" ht="19.5" customHeight="1" x14ac:dyDescent="0.2">
      <c r="A16" s="1" t="s">
        <v>17</v>
      </c>
      <c r="B16" s="7" t="s">
        <v>18</v>
      </c>
    </row>
    <row r="17" spans="1:3" ht="19.5" customHeight="1" x14ac:dyDescent="0.2">
      <c r="A17" s="1" t="s">
        <v>13</v>
      </c>
      <c r="B17" s="5">
        <f>+B14*B15</f>
        <v>30490000</v>
      </c>
    </row>
    <row r="18" spans="1:3" ht="19.5" customHeight="1" x14ac:dyDescent="0.2">
      <c r="A18" s="1" t="s">
        <v>48</v>
      </c>
      <c r="B18" s="9">
        <v>0.129</v>
      </c>
      <c r="C18" s="1" t="s">
        <v>15</v>
      </c>
    </row>
    <row r="19" spans="1:3" ht="19.5" customHeight="1" x14ac:dyDescent="0.2">
      <c r="A19" s="1" t="s">
        <v>20</v>
      </c>
      <c r="B19" s="5">
        <f>+B18*B17</f>
        <v>3933210</v>
      </c>
    </row>
    <row r="20" spans="1:3" ht="19.5" customHeight="1" x14ac:dyDescent="0.2">
      <c r="A20" s="1" t="s">
        <v>16</v>
      </c>
      <c r="B20" s="3">
        <f>1/B18</f>
        <v>7.7519379844961236</v>
      </c>
      <c r="C20" s="1" t="s">
        <v>21</v>
      </c>
    </row>
    <row r="21" spans="1:3" ht="19.5" customHeight="1" x14ac:dyDescent="0.2">
      <c r="A21" s="1" t="s">
        <v>6</v>
      </c>
      <c r="B21" s="8">
        <v>0.02</v>
      </c>
    </row>
    <row r="22" spans="1:3" ht="19.5" customHeight="1" x14ac:dyDescent="0.3">
      <c r="A22" s="1" t="s">
        <v>62</v>
      </c>
      <c r="B22" s="4">
        <f>+B14*(1+B21)</f>
        <v>3109.98</v>
      </c>
    </row>
    <row r="23" spans="1:3" ht="19.5" customHeight="1" x14ac:dyDescent="0.2">
      <c r="A23" s="1" t="s">
        <v>19</v>
      </c>
      <c r="B23" s="5">
        <f>+(B22-B14)*B15</f>
        <v>609800.00000000023</v>
      </c>
    </row>
    <row r="24" spans="1:3" ht="19.5" customHeight="1" x14ac:dyDescent="0.2">
      <c r="A24" s="1" t="s">
        <v>8</v>
      </c>
      <c r="B24" s="9">
        <f>+B23/B19</f>
        <v>0.15503875968992253</v>
      </c>
    </row>
    <row r="25" spans="1:3" ht="19.5" customHeight="1" x14ac:dyDescent="0.2">
      <c r="A25" s="1" t="s">
        <v>8</v>
      </c>
      <c r="B25" s="9">
        <f>+B21*B20</f>
        <v>0.15503875968992248</v>
      </c>
    </row>
    <row r="26" spans="1:3" ht="19.5" customHeight="1" x14ac:dyDescent="0.2"/>
  </sheetData>
  <mergeCells count="2">
    <mergeCell ref="A1:C1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F606-6E2A-41DC-AB62-D933B77ACF24}">
  <dimension ref="A1:C13"/>
  <sheetViews>
    <sheetView showGridLines="0" zoomScale="200" zoomScaleNormal="200" workbookViewId="0">
      <selection sqref="A1:C1"/>
    </sheetView>
  </sheetViews>
  <sheetFormatPr baseColWidth="10" defaultRowHeight="14.25" x14ac:dyDescent="0.2"/>
  <cols>
    <col min="1" max="1" width="26.28515625" style="1" customWidth="1"/>
    <col min="2" max="2" width="16.85546875" style="6" customWidth="1"/>
    <col min="3" max="16384" width="11.42578125" style="1"/>
  </cols>
  <sheetData>
    <row r="1" spans="1:3" x14ac:dyDescent="0.2">
      <c r="A1" s="23" t="s">
        <v>22</v>
      </c>
      <c r="B1" s="23"/>
      <c r="C1" s="23"/>
    </row>
    <row r="2" spans="1:3" ht="17.25" customHeight="1" x14ac:dyDescent="0.2">
      <c r="A2" s="1" t="s">
        <v>17</v>
      </c>
      <c r="B2" s="6" t="s">
        <v>18</v>
      </c>
    </row>
    <row r="3" spans="1:3" ht="17.25" customHeight="1" x14ac:dyDescent="0.2">
      <c r="A3" s="1" t="s">
        <v>31</v>
      </c>
      <c r="B3" s="7">
        <v>50000</v>
      </c>
      <c r="C3" s="1" t="s">
        <v>26</v>
      </c>
    </row>
    <row r="4" spans="1:3" ht="17.25" customHeight="1" x14ac:dyDescent="0.2">
      <c r="A4" s="1" t="s">
        <v>30</v>
      </c>
      <c r="B4" s="6">
        <v>1</v>
      </c>
    </row>
    <row r="5" spans="1:3" ht="17.25" customHeight="1" x14ac:dyDescent="0.3">
      <c r="A5" s="1" t="s">
        <v>46</v>
      </c>
      <c r="B5" s="5">
        <v>3200</v>
      </c>
    </row>
    <row r="6" spans="1:3" ht="17.25" customHeight="1" x14ac:dyDescent="0.2">
      <c r="A6" s="1" t="s">
        <v>3</v>
      </c>
      <c r="B6" s="7">
        <f>+B4*B3</f>
        <v>50000</v>
      </c>
    </row>
    <row r="7" spans="1:3" ht="17.25" customHeight="1" x14ac:dyDescent="0.2">
      <c r="A7" s="1" t="s">
        <v>13</v>
      </c>
      <c r="B7" s="5">
        <f>+B5*B6</f>
        <v>160000000</v>
      </c>
    </row>
    <row r="8" spans="1:3" ht="17.25" customHeight="1" x14ac:dyDescent="0.2">
      <c r="A8" s="1" t="s">
        <v>48</v>
      </c>
      <c r="B8" s="9">
        <v>5.2999999999999999E-2</v>
      </c>
      <c r="C8" s="1" t="s">
        <v>28</v>
      </c>
    </row>
    <row r="9" spans="1:3" ht="17.25" customHeight="1" x14ac:dyDescent="0.2">
      <c r="A9" s="1" t="s">
        <v>49</v>
      </c>
      <c r="B9" s="5">
        <f>+B8*B7</f>
        <v>8480000</v>
      </c>
    </row>
    <row r="10" spans="1:3" ht="17.25" customHeight="1" x14ac:dyDescent="0.3">
      <c r="A10" s="1" t="s">
        <v>47</v>
      </c>
      <c r="B10" s="4">
        <f>+B5*1.01</f>
        <v>3232</v>
      </c>
      <c r="C10" s="1" t="s">
        <v>50</v>
      </c>
    </row>
    <row r="11" spans="1:3" ht="17.25" customHeight="1" x14ac:dyDescent="0.2">
      <c r="A11" s="1" t="s">
        <v>19</v>
      </c>
      <c r="B11" s="5">
        <f>+(B10-B5)*B6</f>
        <v>1600000</v>
      </c>
      <c r="C11" s="1" t="s">
        <v>10</v>
      </c>
    </row>
    <row r="12" spans="1:3" ht="17.25" customHeight="1" x14ac:dyDescent="0.2">
      <c r="A12" s="1" t="s">
        <v>8</v>
      </c>
      <c r="B12" s="15">
        <f>+B11/B9</f>
        <v>0.18867924528301888</v>
      </c>
    </row>
    <row r="13" spans="1:3" ht="17.25" customHeight="1" x14ac:dyDescent="0.2">
      <c r="A13" s="1" t="s">
        <v>16</v>
      </c>
      <c r="B13" s="3">
        <f>1/B8</f>
        <v>18.867924528301888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="200" zoomScaleNormal="200" workbookViewId="0">
      <selection sqref="A1:C1"/>
    </sheetView>
  </sheetViews>
  <sheetFormatPr baseColWidth="10" defaultRowHeight="14.25" x14ac:dyDescent="0.2"/>
  <cols>
    <col min="1" max="1" width="29.42578125" style="1" customWidth="1"/>
    <col min="2" max="2" width="16.28515625" style="6" bestFit="1" customWidth="1"/>
    <col min="3" max="3" width="14" style="1" bestFit="1" customWidth="1"/>
    <col min="4" max="16384" width="11.42578125" style="1"/>
  </cols>
  <sheetData>
    <row r="1" spans="1:4" x14ac:dyDescent="0.2">
      <c r="A1" s="23" t="s">
        <v>22</v>
      </c>
      <c r="B1" s="23"/>
      <c r="C1" s="23"/>
    </row>
    <row r="2" spans="1:4" ht="18" customHeight="1" x14ac:dyDescent="0.2">
      <c r="A2" s="1" t="s">
        <v>17</v>
      </c>
      <c r="B2" s="6" t="s">
        <v>18</v>
      </c>
    </row>
    <row r="3" spans="1:4" ht="18" customHeight="1" x14ac:dyDescent="0.3">
      <c r="A3" s="1" t="s">
        <v>46</v>
      </c>
      <c r="B3" s="10">
        <v>3195.1</v>
      </c>
    </row>
    <row r="4" spans="1:4" ht="18" customHeight="1" x14ac:dyDescent="0.2">
      <c r="A4" s="1" t="s">
        <v>23</v>
      </c>
      <c r="B4" s="11">
        <v>0.01</v>
      </c>
    </row>
    <row r="5" spans="1:4" ht="18" customHeight="1" x14ac:dyDescent="0.2">
      <c r="A5" s="1" t="s">
        <v>24</v>
      </c>
      <c r="B5" s="6">
        <v>1</v>
      </c>
    </row>
    <row r="6" spans="1:4" ht="18" customHeight="1" x14ac:dyDescent="0.2">
      <c r="A6" s="1" t="s">
        <v>25</v>
      </c>
      <c r="B6" s="7">
        <v>50000</v>
      </c>
      <c r="C6" s="1" t="s">
        <v>26</v>
      </c>
    </row>
    <row r="7" spans="1:4" ht="18" customHeight="1" x14ac:dyDescent="0.2">
      <c r="A7" s="1" t="s">
        <v>13</v>
      </c>
      <c r="B7" s="5">
        <f>+B6*B5*B3</f>
        <v>159755000</v>
      </c>
      <c r="C7" s="1" t="s">
        <v>27</v>
      </c>
    </row>
    <row r="8" spans="1:4" ht="18" customHeight="1" x14ac:dyDescent="0.2">
      <c r="A8" s="1" t="s">
        <v>14</v>
      </c>
      <c r="B8" s="9">
        <v>5.2999999999999999E-2</v>
      </c>
      <c r="C8" s="1" t="s">
        <v>28</v>
      </c>
    </row>
    <row r="9" spans="1:4" ht="18" customHeight="1" x14ac:dyDescent="0.2">
      <c r="A9" s="1" t="s">
        <v>5</v>
      </c>
      <c r="B9" s="5">
        <f>+B8*B7</f>
        <v>8467015</v>
      </c>
      <c r="C9" s="1" t="s">
        <v>27</v>
      </c>
    </row>
    <row r="10" spans="1:4" ht="18" customHeight="1" x14ac:dyDescent="0.2">
      <c r="A10" s="1" t="s">
        <v>6</v>
      </c>
      <c r="B10" s="6" t="s">
        <v>29</v>
      </c>
    </row>
    <row r="11" spans="1:4" ht="18" customHeight="1" x14ac:dyDescent="0.3">
      <c r="A11" s="1" t="s">
        <v>47</v>
      </c>
      <c r="B11" s="11">
        <f>+B3+B4</f>
        <v>3195.11</v>
      </c>
    </row>
    <row r="12" spans="1:4" ht="18" customHeight="1" x14ac:dyDescent="0.2">
      <c r="A12" s="1" t="s">
        <v>19</v>
      </c>
      <c r="B12" s="5">
        <f>+(B11-B3)*B6*B5</f>
        <v>500.00000001091394</v>
      </c>
    </row>
    <row r="13" spans="1:4" ht="18" customHeight="1" x14ac:dyDescent="0.2">
      <c r="A13" s="1" t="s">
        <v>8</v>
      </c>
      <c r="B13" s="12">
        <f>+B12/B9</f>
        <v>5.9052688581621026E-5</v>
      </c>
    </row>
    <row r="15" spans="1:4" x14ac:dyDescent="0.2">
      <c r="A15" s="1" t="s">
        <v>54</v>
      </c>
      <c r="B15" s="9">
        <v>3.0000000000000001E-3</v>
      </c>
      <c r="C15" s="1" t="s">
        <v>28</v>
      </c>
      <c r="D15" s="11"/>
    </row>
    <row r="16" spans="1:4" x14ac:dyDescent="0.2">
      <c r="B16" s="5"/>
      <c r="D16" s="11"/>
    </row>
    <row r="17" spans="1:4" x14ac:dyDescent="0.2">
      <c r="A17" s="1" t="s">
        <v>55</v>
      </c>
      <c r="B17" s="22">
        <f>+B15*B7</f>
        <v>479265</v>
      </c>
      <c r="D17" s="11"/>
    </row>
    <row r="18" spans="1:4" x14ac:dyDescent="0.2">
      <c r="A18" s="1" t="s">
        <v>56</v>
      </c>
      <c r="B18" s="5">
        <f>+B17*0.19</f>
        <v>91060.35</v>
      </c>
      <c r="D18" s="11"/>
    </row>
    <row r="19" spans="1:4" x14ac:dyDescent="0.2">
      <c r="A19" s="1" t="s">
        <v>57</v>
      </c>
      <c r="B19" s="22">
        <f>+B15*B11*B5*B6</f>
        <v>479266.50000000006</v>
      </c>
    </row>
    <row r="20" spans="1:4" x14ac:dyDescent="0.2">
      <c r="A20" s="1" t="s">
        <v>56</v>
      </c>
      <c r="B20" s="5">
        <f>+B19*0.19</f>
        <v>91060.635000000009</v>
      </c>
    </row>
    <row r="21" spans="1:4" x14ac:dyDescent="0.2">
      <c r="A21" s="14" t="s">
        <v>58</v>
      </c>
      <c r="B21" s="19">
        <f>SUM(B17:B20)</f>
        <v>1140652.4850000001</v>
      </c>
    </row>
  </sheetData>
  <mergeCells count="1">
    <mergeCell ref="A1:C1"/>
  </mergeCells>
  <pageMargins left="0.7" right="0.7" top="0.75" bottom="0.75" header="0.3" footer="0.3"/>
  <ignoredErrors>
    <ignoredError sqref="B1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B687-4B2C-4A5E-A391-976B3FF6F94C}">
  <dimension ref="A1:C13"/>
  <sheetViews>
    <sheetView showGridLines="0" zoomScale="200" zoomScaleNormal="200" workbookViewId="0">
      <selection sqref="A1:C1"/>
    </sheetView>
  </sheetViews>
  <sheetFormatPr baseColWidth="10" defaultRowHeight="14.25" x14ac:dyDescent="0.2"/>
  <cols>
    <col min="1" max="1" width="26.28515625" style="1" customWidth="1"/>
    <col min="2" max="2" width="16.85546875" style="6" customWidth="1"/>
    <col min="3" max="16384" width="11.42578125" style="1"/>
  </cols>
  <sheetData>
    <row r="1" spans="1:3" x14ac:dyDescent="0.2">
      <c r="A1" s="23" t="s">
        <v>22</v>
      </c>
      <c r="B1" s="23"/>
      <c r="C1" s="23"/>
    </row>
    <row r="2" spans="1:3" ht="17.25" customHeight="1" x14ac:dyDescent="0.2">
      <c r="A2" s="1" t="s">
        <v>17</v>
      </c>
      <c r="B2" s="6" t="s">
        <v>32</v>
      </c>
    </row>
    <row r="3" spans="1:3" ht="17.25" customHeight="1" x14ac:dyDescent="0.2">
      <c r="A3" s="1" t="s">
        <v>31</v>
      </c>
      <c r="B3" s="7">
        <v>50000</v>
      </c>
      <c r="C3" s="1" t="s">
        <v>26</v>
      </c>
    </row>
    <row r="4" spans="1:3" ht="17.25" customHeight="1" x14ac:dyDescent="0.2">
      <c r="A4" s="1" t="s">
        <v>30</v>
      </c>
      <c r="B4" s="6">
        <v>15</v>
      </c>
    </row>
    <row r="5" spans="1:3" ht="17.25" customHeight="1" x14ac:dyDescent="0.3">
      <c r="A5" s="1" t="s">
        <v>46</v>
      </c>
      <c r="B5" s="5">
        <v>3500</v>
      </c>
    </row>
    <row r="6" spans="1:3" ht="17.25" customHeight="1" x14ac:dyDescent="0.2">
      <c r="A6" s="1" t="s">
        <v>3</v>
      </c>
      <c r="B6" s="7">
        <f>+B4*B3</f>
        <v>750000</v>
      </c>
    </row>
    <row r="7" spans="1:3" ht="17.25" customHeight="1" x14ac:dyDescent="0.2">
      <c r="A7" s="1" t="s">
        <v>13</v>
      </c>
      <c r="B7" s="5">
        <f>+B5*B6</f>
        <v>2625000000</v>
      </c>
    </row>
    <row r="8" spans="1:3" ht="17.25" customHeight="1" x14ac:dyDescent="0.2">
      <c r="A8" s="1" t="s">
        <v>48</v>
      </c>
      <c r="B8" s="9">
        <v>5.2999999999999999E-2</v>
      </c>
      <c r="C8" s="1" t="s">
        <v>28</v>
      </c>
    </row>
    <row r="9" spans="1:3" ht="17.25" customHeight="1" x14ac:dyDescent="0.2">
      <c r="A9" s="1" t="s">
        <v>49</v>
      </c>
      <c r="B9" s="5">
        <f>+B8*B7</f>
        <v>139125000</v>
      </c>
    </row>
    <row r="10" spans="1:3" ht="17.25" customHeight="1" x14ac:dyDescent="0.3">
      <c r="A10" s="1" t="s">
        <v>47</v>
      </c>
      <c r="B10" s="4">
        <v>3700</v>
      </c>
    </row>
    <row r="11" spans="1:3" ht="17.25" customHeight="1" x14ac:dyDescent="0.2">
      <c r="A11" s="1" t="s">
        <v>19</v>
      </c>
      <c r="B11" s="5">
        <f>+(B5-B10)*B6</f>
        <v>-150000000</v>
      </c>
      <c r="C11" s="1" t="s">
        <v>63</v>
      </c>
    </row>
    <row r="12" spans="1:3" ht="17.25" customHeight="1" x14ac:dyDescent="0.2">
      <c r="A12" s="1" t="s">
        <v>8</v>
      </c>
      <c r="B12" s="15">
        <f>+B11/B9</f>
        <v>-1.0781671159029649</v>
      </c>
    </row>
    <row r="13" spans="1:3" ht="17.25" customHeight="1" x14ac:dyDescent="0.2">
      <c r="A13" s="1" t="s">
        <v>16</v>
      </c>
      <c r="B13" s="3">
        <f>1/B8</f>
        <v>18.867924528301888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0BD5-DCC7-4C18-9196-749328FD5807}">
  <dimension ref="A1:C23"/>
  <sheetViews>
    <sheetView showGridLines="0" zoomScale="205" zoomScaleNormal="205" workbookViewId="0">
      <selection sqref="A1:C1"/>
    </sheetView>
  </sheetViews>
  <sheetFormatPr baseColWidth="10" defaultRowHeight="14.25" x14ac:dyDescent="0.2"/>
  <cols>
    <col min="1" max="1" width="30" style="1" customWidth="1"/>
    <col min="2" max="2" width="14.5703125" style="6" bestFit="1" customWidth="1"/>
    <col min="3" max="3" width="11.5703125" style="1" bestFit="1" customWidth="1"/>
    <col min="4" max="16384" width="11.42578125" style="1"/>
  </cols>
  <sheetData>
    <row r="1" spans="1:3" x14ac:dyDescent="0.2">
      <c r="A1" s="23" t="s">
        <v>51</v>
      </c>
      <c r="B1" s="23"/>
      <c r="C1" s="23"/>
    </row>
    <row r="2" spans="1:3" x14ac:dyDescent="0.2">
      <c r="A2" s="1" t="s">
        <v>31</v>
      </c>
      <c r="B2" s="7">
        <v>25000</v>
      </c>
      <c r="C2" s="1" t="s">
        <v>52</v>
      </c>
    </row>
    <row r="3" spans="1:3" ht="17.25" x14ac:dyDescent="0.3">
      <c r="A3" s="1" t="s">
        <v>46</v>
      </c>
      <c r="B3" s="18">
        <v>1562.5</v>
      </c>
    </row>
    <row r="4" spans="1:3" x14ac:dyDescent="0.2">
      <c r="A4" s="1" t="s">
        <v>53</v>
      </c>
      <c r="B4" s="5">
        <f>+B3*B2</f>
        <v>39062500</v>
      </c>
    </row>
    <row r="5" spans="1:3" x14ac:dyDescent="0.2">
      <c r="A5" s="1" t="s">
        <v>48</v>
      </c>
      <c r="B5" s="9">
        <v>6.4000000000000001E-2</v>
      </c>
    </row>
    <row r="6" spans="1:3" x14ac:dyDescent="0.2">
      <c r="A6" s="1" t="s">
        <v>16</v>
      </c>
      <c r="B6" s="6">
        <f>1/B5</f>
        <v>15.625</v>
      </c>
    </row>
    <row r="7" spans="1:3" x14ac:dyDescent="0.2">
      <c r="A7" s="1" t="s">
        <v>49</v>
      </c>
      <c r="B7" s="5">
        <f>+B5*B4</f>
        <v>2500000</v>
      </c>
    </row>
    <row r="8" spans="1:3" x14ac:dyDescent="0.2">
      <c r="A8" s="1" t="s">
        <v>17</v>
      </c>
      <c r="B8" s="6" t="s">
        <v>32</v>
      </c>
    </row>
    <row r="9" spans="1:3" ht="17.25" x14ac:dyDescent="0.3">
      <c r="A9" s="1" t="s">
        <v>47</v>
      </c>
      <c r="B9" s="18">
        <v>1530</v>
      </c>
    </row>
    <row r="10" spans="1:3" x14ac:dyDescent="0.2">
      <c r="A10" s="1" t="s">
        <v>19</v>
      </c>
      <c r="B10" s="5">
        <f>+(B3-B9)*B2</f>
        <v>812500</v>
      </c>
    </row>
    <row r="11" spans="1:3" x14ac:dyDescent="0.2">
      <c r="B11" s="5"/>
    </row>
    <row r="12" spans="1:3" x14ac:dyDescent="0.2">
      <c r="A12" s="1" t="s">
        <v>54</v>
      </c>
      <c r="B12" s="9">
        <v>3.0000000000000001E-3</v>
      </c>
      <c r="C12" s="1" t="s">
        <v>28</v>
      </c>
    </row>
    <row r="13" spans="1:3" x14ac:dyDescent="0.2">
      <c r="B13" s="5"/>
    </row>
    <row r="14" spans="1:3" x14ac:dyDescent="0.2">
      <c r="A14" s="1" t="s">
        <v>55</v>
      </c>
      <c r="B14" s="5">
        <f>++B4*B12</f>
        <v>117187.5</v>
      </c>
    </row>
    <row r="15" spans="1:3" x14ac:dyDescent="0.2">
      <c r="A15" s="1" t="s">
        <v>56</v>
      </c>
      <c r="B15" s="5">
        <f>+B14*0.19</f>
        <v>22265.625</v>
      </c>
    </row>
    <row r="16" spans="1:3" x14ac:dyDescent="0.2">
      <c r="A16" s="1" t="s">
        <v>57</v>
      </c>
      <c r="B16" s="5">
        <f>1*B2*B9*B12</f>
        <v>114750</v>
      </c>
    </row>
    <row r="17" spans="1:3" x14ac:dyDescent="0.2">
      <c r="A17" s="1" t="s">
        <v>56</v>
      </c>
      <c r="B17" s="5">
        <f>+B16*0.19</f>
        <v>21802.5</v>
      </c>
    </row>
    <row r="18" spans="1:3" x14ac:dyDescent="0.2">
      <c r="A18" s="14" t="s">
        <v>58</v>
      </c>
      <c r="B18" s="19">
        <f>SUM(B14:B17)</f>
        <v>276005.625</v>
      </c>
    </row>
    <row r="19" spans="1:3" x14ac:dyDescent="0.2">
      <c r="A19" s="14"/>
      <c r="B19" s="19"/>
    </row>
    <row r="20" spans="1:3" x14ac:dyDescent="0.2">
      <c r="A20" s="14" t="s">
        <v>59</v>
      </c>
      <c r="B20" s="20">
        <f>+B10/B7</f>
        <v>0.32500000000000001</v>
      </c>
    </row>
    <row r="21" spans="1:3" x14ac:dyDescent="0.2">
      <c r="A21" s="14" t="s">
        <v>60</v>
      </c>
      <c r="B21" s="20">
        <f>+(B10-B18)/B7</f>
        <v>0.21459775</v>
      </c>
      <c r="C21" s="21">
        <f>+B21/B20-1</f>
        <v>-0.33969923076923081</v>
      </c>
    </row>
    <row r="22" spans="1:3" x14ac:dyDescent="0.2">
      <c r="A22" s="14"/>
      <c r="B22" s="19"/>
    </row>
    <row r="23" spans="1:3" x14ac:dyDescent="0.2">
      <c r="A23" s="14"/>
      <c r="B23" s="19"/>
    </row>
  </sheetData>
  <mergeCells count="1">
    <mergeCell ref="A1:C1"/>
  </mergeCells>
  <pageMargins left="0.7" right="0.7" top="0.75" bottom="0.75" header="0.3" footer="0.3"/>
  <ignoredErrors>
    <ignoredError sqref="B1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2C93-28D5-477F-BBAA-7857728A409F}">
  <dimension ref="A1:C12"/>
  <sheetViews>
    <sheetView showGridLines="0" zoomScale="205" zoomScaleNormal="205" workbookViewId="0">
      <selection sqref="A1:C1"/>
    </sheetView>
  </sheetViews>
  <sheetFormatPr baseColWidth="10" defaultRowHeight="14.25" x14ac:dyDescent="0.2"/>
  <cols>
    <col min="1" max="1" width="30" style="1" customWidth="1"/>
    <col min="2" max="2" width="14.5703125" style="6" bestFit="1" customWidth="1"/>
    <col min="3" max="3" width="11.5703125" style="1" bestFit="1" customWidth="1"/>
    <col min="4" max="16384" width="11.42578125" style="1"/>
  </cols>
  <sheetData>
    <row r="1" spans="1:3" x14ac:dyDescent="0.2">
      <c r="A1" s="23" t="s">
        <v>51</v>
      </c>
      <c r="B1" s="23"/>
      <c r="C1" s="23"/>
    </row>
    <row r="2" spans="1:3" x14ac:dyDescent="0.2">
      <c r="A2" s="1" t="s">
        <v>31</v>
      </c>
      <c r="B2" s="7">
        <v>2500</v>
      </c>
      <c r="C2" s="1" t="s">
        <v>52</v>
      </c>
    </row>
    <row r="3" spans="1:3" ht="17.25" x14ac:dyDescent="0.3">
      <c r="A3" s="1" t="s">
        <v>46</v>
      </c>
      <c r="B3" s="18">
        <v>1562.5</v>
      </c>
    </row>
    <row r="4" spans="1:3" x14ac:dyDescent="0.2">
      <c r="A4" s="1" t="s">
        <v>24</v>
      </c>
      <c r="B4" s="7">
        <v>5</v>
      </c>
    </row>
    <row r="5" spans="1:3" x14ac:dyDescent="0.2">
      <c r="A5" s="1" t="s">
        <v>13</v>
      </c>
      <c r="B5" s="5">
        <f>+B3*B2*B4</f>
        <v>19531250</v>
      </c>
    </row>
    <row r="6" spans="1:3" x14ac:dyDescent="0.2">
      <c r="A6" s="1" t="s">
        <v>48</v>
      </c>
      <c r="B6" s="9">
        <v>6.4000000000000001E-2</v>
      </c>
    </row>
    <row r="7" spans="1:3" x14ac:dyDescent="0.2">
      <c r="A7" s="1" t="s">
        <v>16</v>
      </c>
      <c r="B7" s="6">
        <f>1/B6</f>
        <v>15.625</v>
      </c>
    </row>
    <row r="8" spans="1:3" x14ac:dyDescent="0.2">
      <c r="A8" s="1" t="s">
        <v>49</v>
      </c>
      <c r="B8" s="5">
        <f>+B6*B5</f>
        <v>1250000</v>
      </c>
    </row>
    <row r="9" spans="1:3" x14ac:dyDescent="0.2">
      <c r="A9" s="1" t="s">
        <v>17</v>
      </c>
      <c r="B9" s="6" t="s">
        <v>32</v>
      </c>
    </row>
    <row r="10" spans="1:3" ht="17.25" x14ac:dyDescent="0.3">
      <c r="A10" s="1" t="s">
        <v>47</v>
      </c>
      <c r="B10" s="18">
        <v>1530</v>
      </c>
    </row>
    <row r="11" spans="1:3" x14ac:dyDescent="0.2">
      <c r="A11" s="1" t="s">
        <v>19</v>
      </c>
      <c r="B11" s="5">
        <f>+(B3-B10)*B2*B4</f>
        <v>406250</v>
      </c>
    </row>
    <row r="12" spans="1:3" x14ac:dyDescent="0.2">
      <c r="A12" s="14"/>
      <c r="B12" s="19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0097-C652-4C82-A70A-4130A2271730}">
  <dimension ref="A1:C10"/>
  <sheetViews>
    <sheetView showGridLines="0" zoomScale="200" zoomScaleNormal="200" workbookViewId="0">
      <selection sqref="A1:C1"/>
    </sheetView>
  </sheetViews>
  <sheetFormatPr baseColWidth="10" defaultRowHeight="14.25" x14ac:dyDescent="0.2"/>
  <cols>
    <col min="1" max="1" width="18" style="1" customWidth="1"/>
    <col min="2" max="2" width="16.5703125" style="6" bestFit="1" customWidth="1"/>
    <col min="3" max="16384" width="11.42578125" style="1"/>
  </cols>
  <sheetData>
    <row r="1" spans="1:3" x14ac:dyDescent="0.2">
      <c r="A1" s="23" t="s">
        <v>61</v>
      </c>
      <c r="B1" s="23"/>
      <c r="C1" s="23"/>
    </row>
    <row r="2" spans="1:3" ht="16.5" customHeight="1" x14ac:dyDescent="0.3">
      <c r="A2" s="1" t="s">
        <v>46</v>
      </c>
      <c r="B2" s="6">
        <v>119.82</v>
      </c>
    </row>
    <row r="3" spans="1:3" ht="16.5" customHeight="1" x14ac:dyDescent="0.2">
      <c r="A3" s="1" t="s">
        <v>31</v>
      </c>
      <c r="B3" s="5">
        <v>250000000</v>
      </c>
      <c r="C3" s="1" t="s">
        <v>27</v>
      </c>
    </row>
    <row r="4" spans="1:3" ht="16.5" customHeight="1" x14ac:dyDescent="0.2">
      <c r="A4" s="1" t="s">
        <v>17</v>
      </c>
      <c r="B4" s="6" t="s">
        <v>18</v>
      </c>
    </row>
    <row r="5" spans="1:3" ht="16.5" customHeight="1" x14ac:dyDescent="0.2">
      <c r="A5" s="1" t="s">
        <v>30</v>
      </c>
      <c r="B5" s="6">
        <v>4</v>
      </c>
    </row>
    <row r="6" spans="1:3" ht="16.5" customHeight="1" x14ac:dyDescent="0.2">
      <c r="A6" s="1" t="s">
        <v>13</v>
      </c>
      <c r="B6" s="5">
        <f>+B2*B3*B5/100</f>
        <v>1198200000</v>
      </c>
    </row>
    <row r="7" spans="1:3" ht="16.5" customHeight="1" x14ac:dyDescent="0.2">
      <c r="A7" s="1" t="s">
        <v>14</v>
      </c>
      <c r="B7" s="9">
        <v>1.9E-2</v>
      </c>
    </row>
    <row r="8" spans="1:3" ht="16.5" customHeight="1" x14ac:dyDescent="0.2">
      <c r="A8" s="1" t="s">
        <v>14</v>
      </c>
      <c r="B8" s="5">
        <f>+B7*B6</f>
        <v>22765800</v>
      </c>
    </row>
    <row r="9" spans="1:3" ht="16.5" customHeight="1" x14ac:dyDescent="0.3">
      <c r="A9" s="1" t="s">
        <v>47</v>
      </c>
      <c r="B9" s="6">
        <v>118</v>
      </c>
    </row>
    <row r="10" spans="1:3" ht="16.5" customHeight="1" x14ac:dyDescent="0.2">
      <c r="A10" s="1" t="s">
        <v>19</v>
      </c>
      <c r="B10" s="5">
        <f>+(B9-B2)/100*B3*B5</f>
        <v>-18199999.999999933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showGridLines="0" zoomScale="200" zoomScaleNormal="200" workbookViewId="0">
      <selection sqref="A1:D1"/>
    </sheetView>
  </sheetViews>
  <sheetFormatPr baseColWidth="10" defaultRowHeight="14.25" x14ac:dyDescent="0.2"/>
  <cols>
    <col min="1" max="1" width="20.85546875" style="1" bestFit="1" customWidth="1"/>
    <col min="2" max="2" width="9.140625" style="1" customWidth="1"/>
    <col min="3" max="3" width="8.42578125" style="1" customWidth="1"/>
    <col min="4" max="4" width="17.140625" style="1" customWidth="1"/>
    <col min="5" max="5" width="14.85546875" style="1" customWidth="1"/>
    <col min="6" max="6" width="15.140625" style="1" customWidth="1"/>
    <col min="7" max="7" width="15" style="1" customWidth="1"/>
    <col min="8" max="16384" width="11.42578125" style="1"/>
  </cols>
  <sheetData>
    <row r="1" spans="1:7" x14ac:dyDescent="0.2">
      <c r="A1" s="23" t="s">
        <v>37</v>
      </c>
      <c r="B1" s="23"/>
      <c r="C1" s="23"/>
      <c r="D1" s="23"/>
    </row>
    <row r="2" spans="1:7" x14ac:dyDescent="0.2">
      <c r="A2" s="1" t="s">
        <v>17</v>
      </c>
      <c r="B2" s="6" t="s">
        <v>18</v>
      </c>
    </row>
    <row r="3" spans="1:7" x14ac:dyDescent="0.2">
      <c r="A3" s="1" t="s">
        <v>30</v>
      </c>
      <c r="B3" s="6">
        <v>8</v>
      </c>
    </row>
    <row r="4" spans="1:7" x14ac:dyDescent="0.2">
      <c r="A4" s="1" t="s">
        <v>14</v>
      </c>
      <c r="B4" s="7">
        <v>6930</v>
      </c>
      <c r="C4" s="1" t="s">
        <v>38</v>
      </c>
    </row>
    <row r="5" spans="1:7" x14ac:dyDescent="0.2">
      <c r="A5" s="1" t="s">
        <v>33</v>
      </c>
      <c r="B5" s="7">
        <v>6300</v>
      </c>
      <c r="C5" s="1" t="s">
        <v>38</v>
      </c>
    </row>
    <row r="6" spans="1:7" x14ac:dyDescent="0.2">
      <c r="A6" s="1" t="s">
        <v>31</v>
      </c>
      <c r="B6" s="6">
        <v>50</v>
      </c>
      <c r="C6" s="1" t="s">
        <v>42</v>
      </c>
    </row>
    <row r="7" spans="1:7" x14ac:dyDescent="0.2">
      <c r="F7" s="13">
        <f>+B5*B3</f>
        <v>50400</v>
      </c>
    </row>
    <row r="8" spans="1:7" s="6" customFormat="1" ht="22.5" x14ac:dyDescent="0.25">
      <c r="B8" s="16" t="s">
        <v>34</v>
      </c>
      <c r="C8" s="17" t="s">
        <v>39</v>
      </c>
      <c r="D8" s="17" t="s">
        <v>35</v>
      </c>
      <c r="E8" s="17" t="s">
        <v>40</v>
      </c>
      <c r="F8" s="17" t="s">
        <v>41</v>
      </c>
      <c r="G8" s="17" t="s">
        <v>36</v>
      </c>
    </row>
    <row r="9" spans="1:7" ht="23.25" customHeight="1" x14ac:dyDescent="0.2">
      <c r="B9" s="1">
        <v>0</v>
      </c>
      <c r="C9" s="5">
        <v>2900</v>
      </c>
      <c r="D9" s="5">
        <v>0</v>
      </c>
      <c r="E9" s="5">
        <v>0</v>
      </c>
      <c r="F9" s="5">
        <f>+B3*B4</f>
        <v>55440</v>
      </c>
      <c r="G9" s="5"/>
    </row>
    <row r="10" spans="1:7" ht="23.25" customHeight="1" x14ac:dyDescent="0.2">
      <c r="B10" s="1">
        <v>1</v>
      </c>
      <c r="C10" s="5">
        <v>2910</v>
      </c>
      <c r="D10" s="5">
        <f>+(C10-C9)*$B$3*$B$6</f>
        <v>4000</v>
      </c>
      <c r="E10" s="5">
        <f>+(C10-$C$9)*$B$3*$B$6</f>
        <v>4000</v>
      </c>
      <c r="F10" s="5">
        <f>+F9+D10</f>
        <v>59440</v>
      </c>
      <c r="G10" s="5"/>
    </row>
    <row r="11" spans="1:7" ht="23.25" customHeight="1" x14ac:dyDescent="0.2">
      <c r="B11" s="1">
        <v>2</v>
      </c>
      <c r="C11" s="5">
        <v>2845</v>
      </c>
      <c r="D11" s="5">
        <f>+(C11-C10)*$B$3*$B$6</f>
        <v>-26000</v>
      </c>
      <c r="E11" s="5">
        <f>+(C11-$C$9)*$B$3*$B$6</f>
        <v>-22000</v>
      </c>
      <c r="F11" s="5">
        <f>+F10+D11</f>
        <v>33440</v>
      </c>
      <c r="G11" s="5">
        <f>+F9-F11</f>
        <v>22000</v>
      </c>
    </row>
    <row r="12" spans="1:7" ht="23.25" customHeight="1" x14ac:dyDescent="0.2">
      <c r="B12" s="1">
        <v>3</v>
      </c>
      <c r="C12" s="5">
        <v>2850</v>
      </c>
      <c r="D12" s="5">
        <f>+(C12-C11)*$B$3*$B$6</f>
        <v>2000</v>
      </c>
      <c r="E12" s="5">
        <f>+(C12-$C$9)*$B$3*$B$6</f>
        <v>-20000</v>
      </c>
      <c r="F12" s="5">
        <f>+F11+G11+D12</f>
        <v>57440</v>
      </c>
      <c r="G12" s="5"/>
    </row>
    <row r="13" spans="1:7" ht="23.25" customHeight="1" x14ac:dyDescent="0.2">
      <c r="B13" s="1">
        <v>4</v>
      </c>
      <c r="C13" s="5">
        <v>2900</v>
      </c>
      <c r="D13" s="5">
        <f>+(C13-C12)*$B$3*$B$6</f>
        <v>20000</v>
      </c>
      <c r="E13" s="5">
        <f>+(C13-$C$9)*$B$3*$B$6</f>
        <v>0</v>
      </c>
      <c r="F13" s="5">
        <f>+F12+G12+D13</f>
        <v>77440</v>
      </c>
      <c r="G13" s="5"/>
    </row>
    <row r="14" spans="1:7" x14ac:dyDescent="0.2">
      <c r="C14" s="5"/>
      <c r="D14" s="5"/>
      <c r="E14" s="5"/>
      <c r="F14" s="5"/>
      <c r="G14" s="5"/>
    </row>
    <row r="15" spans="1:7" x14ac:dyDescent="0.2">
      <c r="C15" s="5"/>
      <c r="D15" s="5"/>
      <c r="E15" s="5"/>
      <c r="F15" s="5"/>
      <c r="G15" s="5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E08B97-00D7-452D-8CBF-D7D25D45D64E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Spot vs Futuros</vt:lpstr>
      <vt:lpstr>Futuro TRM 1</vt:lpstr>
      <vt:lpstr>Futuro TRM 2</vt:lpstr>
      <vt:lpstr>Futuro TRS</vt:lpstr>
      <vt:lpstr>Futuro COLCAP</vt:lpstr>
      <vt:lpstr>Futuro COS</vt:lpstr>
      <vt:lpstr>Futuro TES</vt:lpstr>
      <vt:lpstr>Llamado al margen CME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MIGUEL JIMÉNEZ</cp:lastModifiedBy>
  <dcterms:created xsi:type="dcterms:W3CDTF">2019-06-22T15:45:14Z</dcterms:created>
  <dcterms:modified xsi:type="dcterms:W3CDTF">2020-08-13T21:04:54Z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64ded397-52b0-4534-a8fa-cd87f1e50f21</vt:lpwstr>
  </property>
</Properties>
</file>