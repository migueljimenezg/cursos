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ropbox\UNAL\ADMINISTRACIÓN FINANCIERA\Excel\"/>
    </mc:Choice>
  </mc:AlternateContent>
  <xr:revisionPtr revIDLastSave="0" documentId="13_ncr:1_{E4655C19-AA6F-4BD6-9286-1E347ED50249}" xr6:coauthVersionLast="47" xr6:coauthVersionMax="47" xr10:uidLastSave="{00000000-0000-0000-0000-000000000000}"/>
  <bookViews>
    <workbookView xWindow="-120" yWindow="-120" windowWidth="29040" windowHeight="15840" xr2:uid="{0653BC5E-992C-458D-B998-E78C419C82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M31" i="1"/>
  <c r="N31" i="1"/>
  <c r="O31" i="1"/>
  <c r="K31" i="1"/>
  <c r="L30" i="1"/>
  <c r="M30" i="1"/>
  <c r="N30" i="1"/>
  <c r="O30" i="1"/>
  <c r="K30" i="1"/>
  <c r="K29" i="1"/>
  <c r="L29" i="1"/>
  <c r="M29" i="1"/>
  <c r="N29" i="1"/>
  <c r="O29" i="1"/>
  <c r="J29" i="1"/>
  <c r="K25" i="1"/>
  <c r="K27" i="1" s="1"/>
  <c r="L24" i="1"/>
  <c r="L25" i="1" s="1"/>
  <c r="L27" i="1" s="1"/>
  <c r="K24" i="1"/>
  <c r="L23" i="1"/>
  <c r="M23" i="1"/>
  <c r="N23" i="1"/>
  <c r="O23" i="1"/>
  <c r="K23" i="1"/>
  <c r="L22" i="1"/>
  <c r="M22" i="1"/>
  <c r="M24" i="1" s="1"/>
  <c r="M25" i="1" s="1"/>
  <c r="M27" i="1" s="1"/>
  <c r="N22" i="1"/>
  <c r="N24" i="1" s="1"/>
  <c r="N25" i="1" s="1"/>
  <c r="N27" i="1" s="1"/>
  <c r="O22" i="1"/>
  <c r="O24" i="1" s="1"/>
  <c r="O25" i="1" s="1"/>
  <c r="O27" i="1" s="1"/>
  <c r="K22" i="1"/>
  <c r="L21" i="1"/>
  <c r="M21" i="1"/>
  <c r="N21" i="1"/>
  <c r="O21" i="1"/>
  <c r="K21" i="1"/>
  <c r="L20" i="1"/>
  <c r="M20" i="1"/>
  <c r="N20" i="1"/>
  <c r="O20" i="1"/>
  <c r="K20" i="1"/>
  <c r="O18" i="1"/>
  <c r="N18" i="1"/>
  <c r="M18" i="1"/>
  <c r="L18" i="1"/>
  <c r="K18" i="1"/>
  <c r="L17" i="1"/>
  <c r="M17" i="1"/>
  <c r="N17" i="1"/>
  <c r="O17" i="1"/>
  <c r="K17" i="1"/>
  <c r="L16" i="1"/>
  <c r="M16" i="1"/>
  <c r="N16" i="1"/>
  <c r="O16" i="1"/>
  <c r="K16" i="1"/>
  <c r="L14" i="1"/>
  <c r="M14" i="1"/>
  <c r="N14" i="1"/>
  <c r="O14" i="1"/>
  <c r="K14" i="1"/>
  <c r="L13" i="1"/>
  <c r="M13" i="1"/>
  <c r="N13" i="1"/>
  <c r="O13" i="1"/>
  <c r="K13" i="1"/>
  <c r="L12" i="1"/>
  <c r="M12" i="1"/>
  <c r="N12" i="1"/>
  <c r="O12" i="1"/>
  <c r="K12" i="1"/>
  <c r="L10" i="1"/>
  <c r="M10" i="1"/>
  <c r="N10" i="1"/>
  <c r="O10" i="1"/>
  <c r="K10" i="1"/>
  <c r="L9" i="1"/>
  <c r="M9" i="1"/>
  <c r="N9" i="1"/>
  <c r="O9" i="1"/>
  <c r="K9" i="1"/>
  <c r="K8" i="1"/>
  <c r="L8" i="1"/>
  <c r="M8" i="1"/>
  <c r="N8" i="1"/>
  <c r="O8" i="1"/>
  <c r="J8" i="1"/>
  <c r="M6" i="1"/>
  <c r="N6" i="1"/>
  <c r="O6" i="1"/>
  <c r="M5" i="1"/>
  <c r="N5" i="1"/>
  <c r="O5" i="1"/>
  <c r="C68" i="1" l="1"/>
  <c r="D68" i="1"/>
  <c r="E68" i="1"/>
  <c r="F68" i="1"/>
  <c r="G68" i="1"/>
  <c r="B68" i="1"/>
  <c r="C70" i="1"/>
  <c r="D70" i="1"/>
  <c r="E70" i="1"/>
  <c r="F70" i="1"/>
  <c r="G70" i="1"/>
  <c r="B70" i="1"/>
  <c r="G67" i="1"/>
  <c r="C65" i="1"/>
  <c r="D65" i="1"/>
  <c r="E65" i="1"/>
  <c r="F65" i="1"/>
  <c r="G65" i="1"/>
  <c r="C66" i="1"/>
  <c r="D66" i="1"/>
  <c r="E66" i="1"/>
  <c r="E67" i="1" s="1"/>
  <c r="F66" i="1"/>
  <c r="G66" i="1"/>
  <c r="B66" i="1"/>
  <c r="B65" i="1"/>
  <c r="B67" i="1" s="1"/>
  <c r="C63" i="1"/>
  <c r="D63" i="1"/>
  <c r="E63" i="1"/>
  <c r="F63" i="1"/>
  <c r="G63" i="1"/>
  <c r="B63" i="1"/>
  <c r="D67" i="1" l="1"/>
  <c r="F67" i="1"/>
  <c r="C67" i="1"/>
  <c r="G38" i="1"/>
  <c r="G57" i="1" s="1"/>
  <c r="F38" i="1"/>
  <c r="F57" i="1" s="1"/>
  <c r="E38" i="1"/>
  <c r="E57" i="1" s="1"/>
  <c r="D38" i="1"/>
  <c r="D57" i="1" s="1"/>
  <c r="C38" i="1"/>
  <c r="C57" i="1" s="1"/>
  <c r="B38" i="1"/>
  <c r="B57" i="1" s="1"/>
  <c r="G31" i="1"/>
  <c r="F31" i="1"/>
  <c r="E31" i="1"/>
  <c r="D31" i="1"/>
  <c r="C31" i="1"/>
  <c r="B31" i="1"/>
  <c r="G25" i="1"/>
  <c r="F25" i="1"/>
  <c r="E25" i="1"/>
  <c r="D25" i="1"/>
  <c r="C25" i="1"/>
  <c r="B25" i="1"/>
  <c r="G22" i="1"/>
  <c r="F22" i="1"/>
  <c r="E22" i="1"/>
  <c r="D22" i="1"/>
  <c r="C22" i="1"/>
  <c r="B22" i="1"/>
  <c r="G14" i="1"/>
  <c r="F14" i="1"/>
  <c r="E14" i="1"/>
  <c r="D14" i="1"/>
  <c r="C14" i="1"/>
  <c r="B14" i="1"/>
  <c r="G9" i="1"/>
  <c r="F9" i="1"/>
  <c r="E9" i="1"/>
  <c r="E62" i="1" s="1"/>
  <c r="D9" i="1"/>
  <c r="C9" i="1"/>
  <c r="C62" i="1" s="1"/>
  <c r="B9" i="1"/>
  <c r="B62" i="1" s="1"/>
  <c r="C26" i="1" l="1"/>
  <c r="E26" i="1"/>
  <c r="B26" i="1"/>
  <c r="B32" i="1" s="1"/>
  <c r="D15" i="1"/>
  <c r="D33" i="1" s="1"/>
  <c r="D62" i="1"/>
  <c r="F15" i="1"/>
  <c r="F33" i="1" s="1"/>
  <c r="F62" i="1"/>
  <c r="F26" i="1"/>
  <c r="G15" i="1"/>
  <c r="G33" i="1" s="1"/>
  <c r="G62" i="1"/>
  <c r="G26" i="1"/>
  <c r="B15" i="1"/>
  <c r="E15" i="1"/>
  <c r="E33" i="1" s="1"/>
  <c r="D26" i="1"/>
  <c r="B43" i="1"/>
  <c r="G43" i="1"/>
  <c r="G46" i="1" s="1"/>
  <c r="C43" i="1"/>
  <c r="D43" i="1"/>
  <c r="E43" i="1"/>
  <c r="F43" i="1"/>
  <c r="C15" i="1"/>
  <c r="L5" i="1" l="1"/>
  <c r="L6" i="1" s="1"/>
  <c r="K5" i="1"/>
  <c r="K6" i="1" s="1"/>
  <c r="B58" i="1"/>
  <c r="B53" i="1"/>
  <c r="B59" i="1" s="1"/>
  <c r="F58" i="1"/>
  <c r="F53" i="1"/>
  <c r="F59" i="1" s="1"/>
  <c r="G58" i="1"/>
  <c r="G53" i="1"/>
  <c r="G59" i="1" s="1"/>
  <c r="B33" i="1"/>
  <c r="E58" i="1"/>
  <c r="E53" i="1"/>
  <c r="E59" i="1" s="1"/>
  <c r="D53" i="1"/>
  <c r="D59" i="1" s="1"/>
  <c r="D58" i="1"/>
  <c r="C53" i="1"/>
  <c r="C59" i="1" s="1"/>
  <c r="C58" i="1"/>
  <c r="B46" i="1"/>
  <c r="B48" i="1" s="1"/>
  <c r="B60" i="1" s="1"/>
  <c r="E46" i="1"/>
  <c r="E48" i="1" s="1"/>
  <c r="C33" i="1"/>
  <c r="G48" i="1"/>
  <c r="F46" i="1"/>
  <c r="F48" i="1" s="1"/>
  <c r="C46" i="1"/>
  <c r="C48" i="1" s="1"/>
  <c r="D46" i="1"/>
  <c r="D48" i="1" s="1"/>
  <c r="E60" i="1" l="1"/>
  <c r="E55" i="1"/>
  <c r="D55" i="1"/>
  <c r="D60" i="1"/>
  <c r="C60" i="1"/>
  <c r="C55" i="1"/>
  <c r="F60" i="1"/>
  <c r="F55" i="1"/>
  <c r="G60" i="1"/>
  <c r="G55" i="1"/>
</calcChain>
</file>

<file path=xl/sharedStrings.xml><?xml version="1.0" encoding="utf-8"?>
<sst xmlns="http://schemas.openxmlformats.org/spreadsheetml/2006/main" count="92" uniqueCount="84">
  <si>
    <t>DISTRIBUIDORA DOÑA ELENA SA (Pastelería Santa Elena)</t>
  </si>
  <si>
    <t>Nit</t>
  </si>
  <si>
    <t>C1081 - Elaboración de productos de panadería</t>
  </si>
  <si>
    <t>Cifras en miles de pesos</t>
  </si>
  <si>
    <t>Efectivo y equivalentes</t>
  </si>
  <si>
    <t>Cuentas comerciales por cobrar</t>
  </si>
  <si>
    <t>Inventarios corrientes</t>
  </si>
  <si>
    <t>Otros activos no financieros corrientes</t>
  </si>
  <si>
    <t>Activos corrientes totales</t>
  </si>
  <si>
    <t>Propiedades, planta y equipo</t>
  </si>
  <si>
    <t>Activos intangibles distintos de la plusvalía</t>
  </si>
  <si>
    <t xml:space="preserve">Activos por impuestos diferidos </t>
  </si>
  <si>
    <t>Otros activos financieros no corrientes</t>
  </si>
  <si>
    <t>Total de activos no corrientes</t>
  </si>
  <si>
    <t>Total de activos</t>
  </si>
  <si>
    <t>Provisiones corrientes por beneficios a los empleados</t>
  </si>
  <si>
    <t>Otras provisiones corrientes</t>
  </si>
  <si>
    <t>Cuentas por pagar comerciales</t>
  </si>
  <si>
    <t>Pasivos por impuestos corrientes</t>
  </si>
  <si>
    <t>Otros pasivos financieros corrientes</t>
  </si>
  <si>
    <t>Otros pasivos no financieros corrientes</t>
  </si>
  <si>
    <t>Pasivos corrientes totales</t>
  </si>
  <si>
    <t>Pasivo por impuestos diferidos</t>
  </si>
  <si>
    <t>Otros pasivos financieros no corrientes</t>
  </si>
  <si>
    <t>Total de pasivos no corrientes</t>
  </si>
  <si>
    <t>Total pasivos</t>
  </si>
  <si>
    <t>Capital emitido</t>
  </si>
  <si>
    <t>Superavit por revaluación</t>
  </si>
  <si>
    <t>Otras reservas</t>
  </si>
  <si>
    <t>Ganancias acumuladas</t>
  </si>
  <si>
    <t>Patrimonio total</t>
  </si>
  <si>
    <t>Total de patrimonio y pasivos</t>
  </si>
  <si>
    <t>Ingresos de actividades ordinarias</t>
  </si>
  <si>
    <t>Costo de ventas</t>
  </si>
  <si>
    <t>Ganancia bruta</t>
  </si>
  <si>
    <t>Otros ingresos</t>
  </si>
  <si>
    <t>Gastos de ventas</t>
  </si>
  <si>
    <t>Gastos de administración</t>
  </si>
  <si>
    <t>Otros gastos</t>
  </si>
  <si>
    <t>Ganancia (pérdida) por actividades de operación</t>
  </si>
  <si>
    <t>Ingresos financieros</t>
  </si>
  <si>
    <t>Costos financieros</t>
  </si>
  <si>
    <t>Ganancia (pérdida), antes de impuestos</t>
  </si>
  <si>
    <t xml:space="preserve">Ingreso (gasto) por impuestos </t>
  </si>
  <si>
    <t>Ganancia (pérdida)</t>
  </si>
  <si>
    <t>Total CxC corrientes vencidas (más de 90 días)</t>
  </si>
  <si>
    <t>Depreciación y Amortización</t>
  </si>
  <si>
    <t>Notas a los Estados Financieros</t>
  </si>
  <si>
    <t>Dividendos</t>
  </si>
  <si>
    <t>EBITDA</t>
  </si>
  <si>
    <t>Margen Bruto</t>
  </si>
  <si>
    <t>Margen Operacional</t>
  </si>
  <si>
    <t>Margen EBITDA</t>
  </si>
  <si>
    <t>Margen Neto</t>
  </si>
  <si>
    <t>KTNO (AC-PC)</t>
  </si>
  <si>
    <t>KTNO (Efectivo+CxC+Inv-CxP)</t>
  </si>
  <si>
    <t>Deudas corto plazo</t>
  </si>
  <si>
    <t>Deudas largo plazo</t>
  </si>
  <si>
    <t>Total deudas financieras</t>
  </si>
  <si>
    <t>Intereses</t>
  </si>
  <si>
    <t>CAPEX (Activo Fijo=PPE+Intangibles)</t>
  </si>
  <si>
    <t>Prom. Activos</t>
  </si>
  <si>
    <t>Rotación Activos</t>
  </si>
  <si>
    <t>Prom. AF</t>
  </si>
  <si>
    <t>Rotación AF</t>
  </si>
  <si>
    <t>Activos Fijos (AF) = CAPEX</t>
  </si>
  <si>
    <t>Prom. Inventarios</t>
  </si>
  <si>
    <t>Rotación Inventarios</t>
  </si>
  <si>
    <t>Días de Inventario</t>
  </si>
  <si>
    <t>veces</t>
  </si>
  <si>
    <t>Prom. CxC</t>
  </si>
  <si>
    <t>Rotación CxC</t>
  </si>
  <si>
    <t>Días de CxC</t>
  </si>
  <si>
    <t>días</t>
  </si>
  <si>
    <t>Inventario Inicial</t>
  </si>
  <si>
    <t>Inventario Final</t>
  </si>
  <si>
    <t>Compras</t>
  </si>
  <si>
    <t>Prom. CxP</t>
  </si>
  <si>
    <t>Rotación CxP</t>
  </si>
  <si>
    <t>Días de CxP</t>
  </si>
  <si>
    <t>Ciclo de efectivo</t>
  </si>
  <si>
    <t>KTNO</t>
  </si>
  <si>
    <t>Prom. KTNO</t>
  </si>
  <si>
    <t>Rotación KTNO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</si>
</sst>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164" formatCode="_(* #,##0.00_);_(* \(#,##0.00\);_(* &quot;-&quot;??_);_(@_)"/>
    <numFmt numFmtId="165" formatCode="_(* #,##0_);_(* \(#,##0\);_(* &quot;-&quot;??_);_(@_)"/>
    <numFmt numFmtId="167" formatCode="0.0"/>
  </numFmts>
  <fonts count="9" x14ac:knownFonts="1">
    <font>
      <sz val="11"/>
      <color theme="1"/>
      <name val="Aptos Narrow"/>
      <family val="2"/>
      <scheme val="minor"/>
    </font>
    <font>
      <sz val="8"/>
      <color indexed="8"/>
      <name val="Arial"/>
      <family val="2"/>
    </font>
    <font>
      <b/>
      <sz val="12"/>
      <name val="Franklin Gothic Book"/>
      <family val="2"/>
    </font>
    <font>
      <sz val="12"/>
      <name val="Franklin Gothic Book"/>
      <family val="2"/>
    </font>
    <font>
      <sz val="12"/>
      <color theme="9" tint="-0.499984740745262"/>
      <name val="Franklin Gothic Book"/>
      <family val="2"/>
    </font>
    <font>
      <b/>
      <sz val="12"/>
      <color theme="1"/>
      <name val="Franklin Gothic Book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14085C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9">
    <xf numFmtId="0" fontId="0" fillId="0" borderId="0" xfId="0"/>
    <xf numFmtId="165" fontId="2" fillId="0" borderId="0" xfId="1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165" fontId="3" fillId="0" borderId="0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165" fontId="3" fillId="0" borderId="0" xfId="1" applyNumberFormat="1" applyFont="1" applyBorder="1" applyAlignment="1">
      <alignment vertical="center"/>
    </xf>
    <xf numFmtId="6" fontId="4" fillId="2" borderId="1" xfId="0" applyNumberFormat="1" applyFont="1" applyFill="1" applyBorder="1" applyAlignment="1">
      <alignment horizontal="center" vertical="center"/>
    </xf>
    <xf numFmtId="6" fontId="5" fillId="0" borderId="2" xfId="0" applyNumberFormat="1" applyFont="1" applyBorder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6" fontId="5" fillId="0" borderId="0" xfId="0" applyNumberFormat="1" applyFont="1" applyAlignment="1">
      <alignment horizontal="center" vertical="center"/>
    </xf>
    <xf numFmtId="165" fontId="2" fillId="0" borderId="0" xfId="1" applyNumberFormat="1" applyFont="1" applyFill="1" applyBorder="1" applyAlignment="1">
      <alignment vertical="center"/>
    </xf>
    <xf numFmtId="9" fontId="0" fillId="0" borderId="0" xfId="2" applyFont="1" applyAlignment="1">
      <alignment horizontal="center" vertical="center"/>
    </xf>
    <xf numFmtId="9" fontId="4" fillId="2" borderId="1" xfId="2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vertical="center"/>
    </xf>
    <xf numFmtId="0" fontId="7" fillId="0" borderId="0" xfId="0" applyFont="1"/>
    <xf numFmtId="165" fontId="8" fillId="0" borderId="0" xfId="1" applyNumberFormat="1" applyFont="1" applyBorder="1" applyAlignment="1">
      <alignment vertical="center"/>
    </xf>
    <xf numFmtId="6" fontId="0" fillId="0" borderId="0" xfId="0" applyNumberFormat="1"/>
    <xf numFmtId="167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</cellXfs>
  <cellStyles count="3">
    <cellStyle name="Comma 28" xfId="1" xr:uid="{5105053E-F01B-463E-B63C-1065C94E53F1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522633</xdr:colOff>
      <xdr:row>1</xdr:row>
      <xdr:rowOff>151158</xdr:rowOff>
    </xdr:from>
    <xdr:to>
      <xdr:col>19</xdr:col>
      <xdr:colOff>744649</xdr:colOff>
      <xdr:row>3</xdr:row>
      <xdr:rowOff>28871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1DE69D41-9D01-4951-B4A7-1358A064E859}"/>
                </a:ext>
              </a:extLst>
            </xdr:cNvPr>
            <xdr:cNvSpPr txBox="1"/>
          </xdr:nvSpPr>
          <xdr:spPr>
            <a:xfrm>
              <a:off x="19721720" y="358223"/>
              <a:ext cx="3270016" cy="2918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Activos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Totales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1DE69D41-9D01-4951-B4A7-1358A064E859}"/>
                </a:ext>
              </a:extLst>
            </xdr:cNvPr>
            <xdr:cNvSpPr txBox="1"/>
          </xdr:nvSpPr>
          <xdr:spPr>
            <a:xfrm>
              <a:off x="19721720" y="358223"/>
              <a:ext cx="3270016" cy="2918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de Activos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Activos Totales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631488</xdr:colOff>
      <xdr:row>5</xdr:row>
      <xdr:rowOff>150328</xdr:rowOff>
    </xdr:from>
    <xdr:to>
      <xdr:col>19</xdr:col>
      <xdr:colOff>582155</xdr:colOff>
      <xdr:row>7</xdr:row>
      <xdr:rowOff>55083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8">
              <a:extLst>
                <a:ext uri="{FF2B5EF4-FFF2-40B4-BE49-F238E27FC236}">
                  <a16:creationId xmlns:a16="http://schemas.microsoft.com/office/drawing/2014/main" id="{B1D466CF-C146-48FB-8CE2-5D7A83FD010A}"/>
                </a:ext>
              </a:extLst>
            </xdr:cNvPr>
            <xdr:cNvSpPr txBox="1"/>
          </xdr:nvSpPr>
          <xdr:spPr>
            <a:xfrm>
              <a:off x="19830575" y="1185654"/>
              <a:ext cx="2998667" cy="31888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Activos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Fijos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Fijos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3" name="CuadroTexto 8">
              <a:extLst>
                <a:ext uri="{FF2B5EF4-FFF2-40B4-BE49-F238E27FC236}">
                  <a16:creationId xmlns:a16="http://schemas.microsoft.com/office/drawing/2014/main" id="{B1D466CF-C146-48FB-8CE2-5D7A83FD010A}"/>
                </a:ext>
              </a:extLst>
            </xdr:cNvPr>
            <xdr:cNvSpPr txBox="1"/>
          </xdr:nvSpPr>
          <xdr:spPr>
            <a:xfrm>
              <a:off x="19830575" y="1185654"/>
              <a:ext cx="2998667" cy="31888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Activos Fijos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Activos Fijos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569667</xdr:colOff>
      <xdr:row>10</xdr:row>
      <xdr:rowOff>55185</xdr:rowOff>
    </xdr:from>
    <xdr:to>
      <xdr:col>19</xdr:col>
      <xdr:colOff>622117</xdr:colOff>
      <xdr:row>11</xdr:row>
      <xdr:rowOff>144195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14">
              <a:extLst>
                <a:ext uri="{FF2B5EF4-FFF2-40B4-BE49-F238E27FC236}">
                  <a16:creationId xmlns:a16="http://schemas.microsoft.com/office/drawing/2014/main" id="{3122A960-CD2C-499D-9C3B-B77B81DFF3BF}"/>
                </a:ext>
              </a:extLst>
            </xdr:cNvPr>
            <xdr:cNvSpPr txBox="1"/>
          </xdr:nvSpPr>
          <xdr:spPr>
            <a:xfrm>
              <a:off x="19768754" y="2125837"/>
              <a:ext cx="3100450" cy="29607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Costos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Inventarios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4" name="CuadroTexto 14">
              <a:extLst>
                <a:ext uri="{FF2B5EF4-FFF2-40B4-BE49-F238E27FC236}">
                  <a16:creationId xmlns:a16="http://schemas.microsoft.com/office/drawing/2014/main" id="{3122A960-CD2C-499D-9C3B-B77B81DFF3BF}"/>
                </a:ext>
              </a:extLst>
            </xdr:cNvPr>
            <xdr:cNvSpPr txBox="1"/>
          </xdr:nvSpPr>
          <xdr:spPr>
            <a:xfrm>
              <a:off x="19768754" y="2125837"/>
              <a:ext cx="3100450" cy="29607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de Inventarios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"Costos de 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Inventarios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16</xdr:col>
      <xdr:colOff>7041</xdr:colOff>
      <xdr:row>12</xdr:row>
      <xdr:rowOff>29184</xdr:rowOff>
    </xdr:from>
    <xdr:to>
      <xdr:col>19</xdr:col>
      <xdr:colOff>342567</xdr:colOff>
      <xdr:row>13</xdr:row>
      <xdr:rowOff>121383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12">
              <a:extLst>
                <a:ext uri="{FF2B5EF4-FFF2-40B4-BE49-F238E27FC236}">
                  <a16:creationId xmlns:a16="http://schemas.microsoft.com/office/drawing/2014/main" id="{3C064084-A208-454A-87FE-57A950ECD85E}"/>
                </a:ext>
              </a:extLst>
            </xdr:cNvPr>
            <xdr:cNvSpPr txBox="1"/>
          </xdr:nvSpPr>
          <xdr:spPr>
            <a:xfrm>
              <a:off x="19968128" y="2513967"/>
              <a:ext cx="2621526" cy="29926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365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Rotaci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ó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Inventarios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5" name="CuadroTexto 12">
              <a:extLst>
                <a:ext uri="{FF2B5EF4-FFF2-40B4-BE49-F238E27FC236}">
                  <a16:creationId xmlns:a16="http://schemas.microsoft.com/office/drawing/2014/main" id="{3C064084-A208-454A-87FE-57A950ECD85E}"/>
                </a:ext>
              </a:extLst>
            </xdr:cNvPr>
            <xdr:cNvSpPr txBox="1"/>
          </xdr:nvSpPr>
          <xdr:spPr>
            <a:xfrm>
              <a:off x="19968128" y="2513967"/>
              <a:ext cx="2621526" cy="29926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"Días de Inventario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"365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Rotación de Inventarios</a:t>
              </a:r>
              <a:r>
                <a:rPr lang="es-MX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596289</xdr:colOff>
      <xdr:row>14</xdr:row>
      <xdr:rowOff>64919</xdr:rowOff>
    </xdr:from>
    <xdr:to>
      <xdr:col>20</xdr:col>
      <xdr:colOff>591626</xdr:colOff>
      <xdr:row>16</xdr:row>
      <xdr:rowOff>67641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15">
              <a:extLst>
                <a:ext uri="{FF2B5EF4-FFF2-40B4-BE49-F238E27FC236}">
                  <a16:creationId xmlns:a16="http://schemas.microsoft.com/office/drawing/2014/main" id="{357176B2-D36A-4AF2-B33C-765A57CAECFC}"/>
                </a:ext>
              </a:extLst>
            </xdr:cNvPr>
            <xdr:cNvSpPr txBox="1"/>
          </xdr:nvSpPr>
          <xdr:spPr>
            <a:xfrm>
              <a:off x="19795376" y="2963832"/>
              <a:ext cx="3805337" cy="41685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Cobrar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Cobrar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6" name="CuadroTexto 15">
              <a:extLst>
                <a:ext uri="{FF2B5EF4-FFF2-40B4-BE49-F238E27FC236}">
                  <a16:creationId xmlns:a16="http://schemas.microsoft.com/office/drawing/2014/main" id="{357176B2-D36A-4AF2-B33C-765A57CAECFC}"/>
                </a:ext>
              </a:extLst>
            </xdr:cNvPr>
            <xdr:cNvSpPr txBox="1"/>
          </xdr:nvSpPr>
          <xdr:spPr>
            <a:xfrm>
              <a:off x="19795376" y="2963832"/>
              <a:ext cx="3805337" cy="41685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Cuentas por Cobrar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Cuentas por Cobrar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647759</xdr:colOff>
      <xdr:row>16</xdr:row>
      <xdr:rowOff>58351</xdr:rowOff>
    </xdr:from>
    <xdr:to>
      <xdr:col>20</xdr:col>
      <xdr:colOff>561992</xdr:colOff>
      <xdr:row>17</xdr:row>
      <xdr:rowOff>174402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13">
              <a:extLst>
                <a:ext uri="{FF2B5EF4-FFF2-40B4-BE49-F238E27FC236}">
                  <a16:creationId xmlns:a16="http://schemas.microsoft.com/office/drawing/2014/main" id="{67862EF0-0A31-4D08-AD2F-1DF964A51F2E}"/>
                </a:ext>
              </a:extLst>
            </xdr:cNvPr>
            <xdr:cNvSpPr txBox="1"/>
          </xdr:nvSpPr>
          <xdr:spPr>
            <a:xfrm>
              <a:off x="19846846" y="3371394"/>
              <a:ext cx="3724233" cy="323117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Cobrar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365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Rotaci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ó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Cobrar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7" name="CuadroTexto 13">
              <a:extLst>
                <a:ext uri="{FF2B5EF4-FFF2-40B4-BE49-F238E27FC236}">
                  <a16:creationId xmlns:a16="http://schemas.microsoft.com/office/drawing/2014/main" id="{67862EF0-0A31-4D08-AD2F-1DF964A51F2E}"/>
                </a:ext>
              </a:extLst>
            </xdr:cNvPr>
            <xdr:cNvSpPr txBox="1"/>
          </xdr:nvSpPr>
          <xdr:spPr>
            <a:xfrm>
              <a:off x="19846846" y="3371394"/>
              <a:ext cx="3724233" cy="323117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"Días de Cuentas por Cobrar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"365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Rotación de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Cuentas por Cobrar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566116</xdr:colOff>
      <xdr:row>20</xdr:row>
      <xdr:rowOff>60304</xdr:rowOff>
    </xdr:from>
    <xdr:to>
      <xdr:col>20</xdr:col>
      <xdr:colOff>555214</xdr:colOff>
      <xdr:row>21</xdr:row>
      <xdr:rowOff>178110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2">
              <a:extLst>
                <a:ext uri="{FF2B5EF4-FFF2-40B4-BE49-F238E27FC236}">
                  <a16:creationId xmlns:a16="http://schemas.microsoft.com/office/drawing/2014/main" id="{1671B06E-8B51-42C4-A720-B69B45856BB1}"/>
                </a:ext>
              </a:extLst>
            </xdr:cNvPr>
            <xdr:cNvSpPr txBox="1"/>
          </xdr:nvSpPr>
          <xdr:spPr>
            <a:xfrm>
              <a:off x="19765203" y="4201608"/>
              <a:ext cx="3799098" cy="32487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Pagar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Compras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Pagar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8" name="CuadroTexto 2">
              <a:extLst>
                <a:ext uri="{FF2B5EF4-FFF2-40B4-BE49-F238E27FC236}">
                  <a16:creationId xmlns:a16="http://schemas.microsoft.com/office/drawing/2014/main" id="{1671B06E-8B51-42C4-A720-B69B45856BB1}"/>
                </a:ext>
              </a:extLst>
            </xdr:cNvPr>
            <xdr:cNvSpPr txBox="1"/>
          </xdr:nvSpPr>
          <xdr:spPr>
            <a:xfrm>
              <a:off x="19765203" y="4201608"/>
              <a:ext cx="3799098" cy="32487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Cuentas por Pagar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"Compras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Cuentas por Pagar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612263</xdr:colOff>
      <xdr:row>18</xdr:row>
      <xdr:rowOff>198386</xdr:rowOff>
    </xdr:from>
    <xdr:to>
      <xdr:col>21</xdr:col>
      <xdr:colOff>61284</xdr:colOff>
      <xdr:row>19</xdr:row>
      <xdr:rowOff>145610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uadroTexto 11">
              <a:extLst>
                <a:ext uri="{FF2B5EF4-FFF2-40B4-BE49-F238E27FC236}">
                  <a16:creationId xmlns:a16="http://schemas.microsoft.com/office/drawing/2014/main" id="{1F444599-26E6-40F6-8A28-779B2C321F1D}"/>
                </a:ext>
              </a:extLst>
            </xdr:cNvPr>
            <xdr:cNvSpPr txBox="1"/>
          </xdr:nvSpPr>
          <xdr:spPr>
            <a:xfrm>
              <a:off x="19811350" y="3925560"/>
              <a:ext cx="4021021" cy="1542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Compras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Costo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Ventas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+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Final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–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Inicial</m:t>
                    </m:r>
                  </m:oMath>
                </m:oMathPara>
              </a14:m>
              <a:endParaRPr lang="es-CO" sz="100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9" name="CuadroTexto 11">
              <a:extLst>
                <a:ext uri="{FF2B5EF4-FFF2-40B4-BE49-F238E27FC236}">
                  <a16:creationId xmlns:a16="http://schemas.microsoft.com/office/drawing/2014/main" id="{1F444599-26E6-40F6-8A28-779B2C321F1D}"/>
                </a:ext>
              </a:extLst>
            </xdr:cNvPr>
            <xdr:cNvSpPr txBox="1"/>
          </xdr:nvSpPr>
          <xdr:spPr>
            <a:xfrm>
              <a:off x="19811350" y="3925560"/>
              <a:ext cx="4021021" cy="1542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"Compras = Costo de Ventas + Inventario Final – Inventario Inicial</a:t>
              </a:r>
              <a:r>
                <a:rPr lang="es-CO" sz="1000" b="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CO" sz="100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368221</xdr:colOff>
      <xdr:row>22</xdr:row>
      <xdr:rowOff>28594</xdr:rowOff>
    </xdr:from>
    <xdr:to>
      <xdr:col>21</xdr:col>
      <xdr:colOff>38087</xdr:colOff>
      <xdr:row>23</xdr:row>
      <xdr:rowOff>145352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CuadroTexto 13">
              <a:extLst>
                <a:ext uri="{FF2B5EF4-FFF2-40B4-BE49-F238E27FC236}">
                  <a16:creationId xmlns:a16="http://schemas.microsoft.com/office/drawing/2014/main" id="{FC3A9B7E-49DF-4391-A8EF-B980AEB8978B}"/>
                </a:ext>
              </a:extLst>
            </xdr:cNvPr>
            <xdr:cNvSpPr txBox="1"/>
          </xdr:nvSpPr>
          <xdr:spPr>
            <a:xfrm>
              <a:off x="19567308" y="4584029"/>
              <a:ext cx="4241866" cy="32382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Pagar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365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Rotaci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ó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Pagar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0" name="CuadroTexto 13">
              <a:extLst>
                <a:ext uri="{FF2B5EF4-FFF2-40B4-BE49-F238E27FC236}">
                  <a16:creationId xmlns:a16="http://schemas.microsoft.com/office/drawing/2014/main" id="{FC3A9B7E-49DF-4391-A8EF-B980AEB8978B}"/>
                </a:ext>
              </a:extLst>
            </xdr:cNvPr>
            <xdr:cNvSpPr txBox="1"/>
          </xdr:nvSpPr>
          <xdr:spPr>
            <a:xfrm>
              <a:off x="19567308" y="4584029"/>
              <a:ext cx="4241866" cy="32382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"Días de Cuentas por Pagar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"365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Rotación de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Cuentas por Pagar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728219</xdr:colOff>
      <xdr:row>25</xdr:row>
      <xdr:rowOff>142421</xdr:rowOff>
    </xdr:from>
    <xdr:to>
      <xdr:col>21</xdr:col>
      <xdr:colOff>8738</xdr:colOff>
      <xdr:row>26</xdr:row>
      <xdr:rowOff>92129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CuadroTexto 1">
              <a:extLst>
                <a:ext uri="{FF2B5EF4-FFF2-40B4-BE49-F238E27FC236}">
                  <a16:creationId xmlns:a16="http://schemas.microsoft.com/office/drawing/2014/main" id="{984BF532-F607-4598-A686-462736B5895D}"/>
                </a:ext>
              </a:extLst>
            </xdr:cNvPr>
            <xdr:cNvSpPr txBox="1"/>
          </xdr:nvSpPr>
          <xdr:spPr>
            <a:xfrm>
              <a:off x="19927306" y="5319051"/>
              <a:ext cx="3852519" cy="15677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Ciclo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efectivo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+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CxC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–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CxP</m:t>
                    </m:r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1" name="CuadroTexto 1">
              <a:extLst>
                <a:ext uri="{FF2B5EF4-FFF2-40B4-BE49-F238E27FC236}">
                  <a16:creationId xmlns:a16="http://schemas.microsoft.com/office/drawing/2014/main" id="{984BF532-F607-4598-A686-462736B5895D}"/>
                </a:ext>
              </a:extLst>
            </xdr:cNvPr>
            <xdr:cNvSpPr txBox="1"/>
          </xdr:nvSpPr>
          <xdr:spPr>
            <a:xfrm>
              <a:off x="19927306" y="5319051"/>
              <a:ext cx="3852519" cy="15677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"Ciclo de efectivo = Días de Inventario + Días de CxC – Días de CxP</a:t>
              </a:r>
              <a:r>
                <a:rPr lang="es-CO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15</xdr:col>
      <xdr:colOff>699823</xdr:colOff>
      <xdr:row>27</xdr:row>
      <xdr:rowOff>9130</xdr:rowOff>
    </xdr:from>
    <xdr:to>
      <xdr:col>21</xdr:col>
      <xdr:colOff>393662</xdr:colOff>
      <xdr:row>28</xdr:row>
      <xdr:rowOff>154892</xdr:rowOff>
    </xdr:to>
    <xdr:sp macro="" textlink="">
      <xdr:nvSpPr>
        <xdr:cNvPr id="14" name="CuadroTexto 11">
          <a:extLst>
            <a:ext uri="{FF2B5EF4-FFF2-40B4-BE49-F238E27FC236}">
              <a16:creationId xmlns:a16="http://schemas.microsoft.com/office/drawing/2014/main" id="{1A954351-7F65-4105-8A7D-D02993D76244}"/>
            </a:ext>
          </a:extLst>
        </xdr:cNvPr>
        <xdr:cNvSpPr txBox="1"/>
      </xdr:nvSpPr>
      <xdr:spPr>
        <a:xfrm>
          <a:off x="19898910" y="5599891"/>
          <a:ext cx="4265839" cy="35282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200000"/>
            </a:lnSpc>
          </a:pPr>
          <a:r>
            <a:rPr lang="es-MX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KTNO = Efectivo + CxC + Inventario – CxP – Otras CxP</a:t>
          </a:r>
          <a:endParaRPr lang="es-CO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15</xdr:col>
      <xdr:colOff>561682</xdr:colOff>
      <xdr:row>29</xdr:row>
      <xdr:rowOff>57938</xdr:rowOff>
    </xdr:from>
    <xdr:to>
      <xdr:col>19</xdr:col>
      <xdr:colOff>538890</xdr:colOff>
      <xdr:row>30</xdr:row>
      <xdr:rowOff>149582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CuadroTexto 13">
              <a:extLst>
                <a:ext uri="{FF2B5EF4-FFF2-40B4-BE49-F238E27FC236}">
                  <a16:creationId xmlns:a16="http://schemas.microsoft.com/office/drawing/2014/main" id="{840DF322-A778-4FA9-A7A9-43BA5332BEEB}"/>
                </a:ext>
              </a:extLst>
            </xdr:cNvPr>
            <xdr:cNvSpPr txBox="1"/>
          </xdr:nvSpPr>
          <xdr:spPr>
            <a:xfrm>
              <a:off x="19760769" y="6062829"/>
              <a:ext cx="3025208" cy="29871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Capital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Trabajo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KTNO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5" name="CuadroTexto 13">
              <a:extLst>
                <a:ext uri="{FF2B5EF4-FFF2-40B4-BE49-F238E27FC236}">
                  <a16:creationId xmlns:a16="http://schemas.microsoft.com/office/drawing/2014/main" id="{840DF322-A778-4FA9-A7A9-43BA5332BEEB}"/>
                </a:ext>
              </a:extLst>
            </xdr:cNvPr>
            <xdr:cNvSpPr txBox="1"/>
          </xdr:nvSpPr>
          <xdr:spPr>
            <a:xfrm>
              <a:off x="19760769" y="6062829"/>
              <a:ext cx="3025208" cy="29871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Capital de Trabajo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KTNO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BFF9-A576-47DC-923E-AB29F7AC7F51}">
  <dimension ref="A1:P70"/>
  <sheetViews>
    <sheetView tabSelected="1" zoomScale="115" zoomScaleNormal="115" workbookViewId="0"/>
  </sheetViews>
  <sheetFormatPr baseColWidth="10" defaultRowHeight="15.75" x14ac:dyDescent="0.25"/>
  <cols>
    <col min="1" max="1" width="53" customWidth="1"/>
    <col min="2" max="7" width="17.5703125" style="2" customWidth="1"/>
    <col min="9" max="9" width="28" style="14" bestFit="1" customWidth="1"/>
    <col min="10" max="10" width="14" bestFit="1" customWidth="1"/>
    <col min="11" max="15" width="15.28515625" bestFit="1" customWidth="1"/>
    <col min="16" max="16" width="11.42578125" style="14"/>
  </cols>
  <sheetData>
    <row r="1" spans="1:16" ht="16.5" x14ac:dyDescent="0.25">
      <c r="A1" s="1" t="s">
        <v>0</v>
      </c>
      <c r="C1" s="3" t="s">
        <v>1</v>
      </c>
      <c r="D1" s="3">
        <v>890929455</v>
      </c>
    </row>
    <row r="2" spans="1:16" ht="16.5" x14ac:dyDescent="0.25">
      <c r="A2" s="1" t="s">
        <v>2</v>
      </c>
    </row>
    <row r="3" spans="1:16" ht="16.5" x14ac:dyDescent="0.25">
      <c r="A3" s="1" t="s">
        <v>3</v>
      </c>
    </row>
    <row r="4" spans="1:16" ht="16.5" x14ac:dyDescent="0.25">
      <c r="A4" s="1"/>
      <c r="B4" s="4">
        <v>2018</v>
      </c>
      <c r="C4" s="4">
        <v>2019</v>
      </c>
      <c r="D4" s="4">
        <v>2020</v>
      </c>
      <c r="E4" s="4">
        <v>2021</v>
      </c>
      <c r="F4" s="4">
        <v>2022</v>
      </c>
      <c r="G4" s="4">
        <v>2023</v>
      </c>
      <c r="J4" s="4">
        <v>2018</v>
      </c>
      <c r="K4" s="4">
        <v>2019</v>
      </c>
      <c r="L4" s="4">
        <v>2020</v>
      </c>
      <c r="M4" s="4">
        <v>2021</v>
      </c>
      <c r="N4" s="4">
        <v>2022</v>
      </c>
      <c r="O4" s="4">
        <v>2023</v>
      </c>
    </row>
    <row r="5" spans="1:16" ht="16.5" x14ac:dyDescent="0.25">
      <c r="A5" s="5" t="s">
        <v>4</v>
      </c>
      <c r="B5" s="6">
        <v>338545</v>
      </c>
      <c r="C5" s="6">
        <v>345503</v>
      </c>
      <c r="D5" s="6">
        <v>880521</v>
      </c>
      <c r="E5" s="6">
        <v>1007711</v>
      </c>
      <c r="F5" s="6">
        <v>661886</v>
      </c>
      <c r="G5" s="6">
        <v>216208</v>
      </c>
      <c r="I5" s="5" t="s">
        <v>61</v>
      </c>
      <c r="K5" s="6">
        <f>+AVERAGE(B15:C15)</f>
        <v>4614640</v>
      </c>
      <c r="L5" s="6">
        <f t="shared" ref="L5:O5" si="0">+AVERAGE(C15:D15)</f>
        <v>4835036</v>
      </c>
      <c r="M5" s="6">
        <f t="shared" si="0"/>
        <v>5042657.5</v>
      </c>
      <c r="N5" s="6">
        <f t="shared" si="0"/>
        <v>5382168</v>
      </c>
      <c r="O5" s="6">
        <f t="shared" si="0"/>
        <v>6680901.5</v>
      </c>
    </row>
    <row r="6" spans="1:16" ht="16.5" x14ac:dyDescent="0.25">
      <c r="A6" s="5" t="s">
        <v>5</v>
      </c>
      <c r="B6" s="6">
        <v>919235</v>
      </c>
      <c r="C6" s="6">
        <v>1205502</v>
      </c>
      <c r="D6" s="6">
        <v>1386040</v>
      </c>
      <c r="E6" s="6">
        <v>968555</v>
      </c>
      <c r="F6" s="6">
        <v>1168909</v>
      </c>
      <c r="G6" s="6">
        <v>3421288</v>
      </c>
      <c r="I6" s="15" t="s">
        <v>62</v>
      </c>
      <c r="K6" s="17">
        <f>+C36/K5</f>
        <v>3.9338301579321464</v>
      </c>
      <c r="L6" s="17">
        <f t="shared" ref="L6:O6" si="1">+D36/L5</f>
        <v>2.2893295934094389</v>
      </c>
      <c r="M6" s="17">
        <f t="shared" si="1"/>
        <v>3.5323025607033594</v>
      </c>
      <c r="N6" s="17">
        <f t="shared" si="1"/>
        <v>4.5021268381068742</v>
      </c>
      <c r="O6" s="17">
        <f t="shared" si="1"/>
        <v>3.1395743523534958</v>
      </c>
      <c r="P6" s="15" t="s">
        <v>69</v>
      </c>
    </row>
    <row r="7" spans="1:16" ht="16.5" x14ac:dyDescent="0.25">
      <c r="A7" s="5" t="s">
        <v>6</v>
      </c>
      <c r="B7" s="6">
        <v>708288</v>
      </c>
      <c r="C7" s="6">
        <v>651842</v>
      </c>
      <c r="D7" s="6">
        <v>533786</v>
      </c>
      <c r="E7" s="6">
        <v>838359</v>
      </c>
      <c r="F7" s="6">
        <v>1220993</v>
      </c>
      <c r="G7" s="6">
        <v>1233663</v>
      </c>
    </row>
    <row r="8" spans="1:16" ht="16.5" x14ac:dyDescent="0.25">
      <c r="A8" s="5" t="s">
        <v>7</v>
      </c>
      <c r="B8" s="6">
        <v>14833</v>
      </c>
      <c r="C8" s="6">
        <v>30290</v>
      </c>
      <c r="D8" s="6">
        <v>36912</v>
      </c>
      <c r="E8" s="6">
        <v>65627</v>
      </c>
      <c r="F8" s="6">
        <v>42241</v>
      </c>
      <c r="G8" s="6">
        <v>44550</v>
      </c>
      <c r="I8" s="5" t="s">
        <v>65</v>
      </c>
      <c r="J8" s="6">
        <f>+B10+B11</f>
        <v>2397588</v>
      </c>
      <c r="K8" s="6">
        <f t="shared" ref="K8:O8" si="2">+C10+C11</f>
        <v>2198191</v>
      </c>
      <c r="L8" s="6">
        <f t="shared" si="2"/>
        <v>2026474</v>
      </c>
      <c r="M8" s="6">
        <f t="shared" si="2"/>
        <v>1941842</v>
      </c>
      <c r="N8" s="6">
        <f t="shared" si="2"/>
        <v>2661960</v>
      </c>
      <c r="O8" s="6">
        <f t="shared" si="2"/>
        <v>2570100</v>
      </c>
    </row>
    <row r="9" spans="1:16" ht="16.5" x14ac:dyDescent="0.25">
      <c r="A9" s="1" t="s">
        <v>8</v>
      </c>
      <c r="B9" s="7">
        <f>SUM(B5:B8)</f>
        <v>1980901</v>
      </c>
      <c r="C9" s="7">
        <f t="shared" ref="C9:G9" si="3">SUM(C5:C8)</f>
        <v>2233137</v>
      </c>
      <c r="D9" s="7">
        <f t="shared" si="3"/>
        <v>2837259</v>
      </c>
      <c r="E9" s="7">
        <f t="shared" si="3"/>
        <v>2880252</v>
      </c>
      <c r="F9" s="7">
        <f t="shared" si="3"/>
        <v>3094029</v>
      </c>
      <c r="G9" s="7">
        <f t="shared" si="3"/>
        <v>4915709</v>
      </c>
      <c r="I9" s="5" t="s">
        <v>63</v>
      </c>
      <c r="K9" s="6">
        <f>+AVERAGE(J8:K8)</f>
        <v>2297889.5</v>
      </c>
      <c r="L9" s="6">
        <f t="shared" ref="L9:O9" si="4">+AVERAGE(K8:L8)</f>
        <v>2112332.5</v>
      </c>
      <c r="M9" s="6">
        <f t="shared" si="4"/>
        <v>1984158</v>
      </c>
      <c r="N9" s="6">
        <f t="shared" si="4"/>
        <v>2301901</v>
      </c>
      <c r="O9" s="6">
        <f t="shared" si="4"/>
        <v>2616030</v>
      </c>
    </row>
    <row r="10" spans="1:16" ht="16.5" x14ac:dyDescent="0.25">
      <c r="A10" s="5" t="s">
        <v>9</v>
      </c>
      <c r="B10" s="6">
        <v>2389464</v>
      </c>
      <c r="C10" s="6">
        <v>2198191</v>
      </c>
      <c r="D10" s="6">
        <v>2026474</v>
      </c>
      <c r="E10" s="6">
        <v>1941842</v>
      </c>
      <c r="F10" s="6">
        <v>2661960</v>
      </c>
      <c r="G10" s="6">
        <v>2570100</v>
      </c>
      <c r="I10" s="15" t="s">
        <v>64</v>
      </c>
      <c r="K10" s="17">
        <f>+C36/K9</f>
        <v>7.8999490619544588</v>
      </c>
      <c r="L10" s="17">
        <f t="shared" ref="L10:O10" si="5">+D36/L9</f>
        <v>5.2401745463841509</v>
      </c>
      <c r="M10" s="17">
        <f t="shared" si="5"/>
        <v>8.9772044363402514</v>
      </c>
      <c r="N10" s="17">
        <f t="shared" si="5"/>
        <v>10.52660518414997</v>
      </c>
      <c r="O10" s="17">
        <f t="shared" si="5"/>
        <v>8.0179458951158811</v>
      </c>
      <c r="P10" s="15" t="s">
        <v>69</v>
      </c>
    </row>
    <row r="11" spans="1:16" ht="16.5" x14ac:dyDescent="0.25">
      <c r="A11" s="5" t="s">
        <v>10</v>
      </c>
      <c r="B11" s="6">
        <v>8124</v>
      </c>
      <c r="C11" s="6"/>
      <c r="D11" s="6"/>
      <c r="E11" s="6"/>
      <c r="F11" s="6"/>
      <c r="G11" s="6"/>
    </row>
    <row r="12" spans="1:16" ht="16.5" x14ac:dyDescent="0.25">
      <c r="A12" s="5" t="s">
        <v>11</v>
      </c>
      <c r="B12" s="6">
        <v>267575</v>
      </c>
      <c r="C12" s="6">
        <v>68300</v>
      </c>
      <c r="D12" s="6">
        <v>223123</v>
      </c>
      <c r="E12" s="6">
        <v>92777</v>
      </c>
      <c r="F12" s="6">
        <v>9888</v>
      </c>
      <c r="G12" s="6">
        <v>26528</v>
      </c>
      <c r="I12" s="5" t="s">
        <v>66</v>
      </c>
      <c r="K12" s="6">
        <f>+AVERAGE(B7:C7)</f>
        <v>680065</v>
      </c>
      <c r="L12" s="6">
        <f t="shared" ref="L12:O12" si="6">+AVERAGE(C7:D7)</f>
        <v>592814</v>
      </c>
      <c r="M12" s="6">
        <f t="shared" si="6"/>
        <v>686072.5</v>
      </c>
      <c r="N12" s="6">
        <f t="shared" si="6"/>
        <v>1029676</v>
      </c>
      <c r="O12" s="6">
        <f t="shared" si="6"/>
        <v>1227328</v>
      </c>
    </row>
    <row r="13" spans="1:16" ht="16.5" x14ac:dyDescent="0.25">
      <c r="A13" s="5" t="s">
        <v>12</v>
      </c>
      <c r="B13" s="6">
        <v>41794</v>
      </c>
      <c r="C13" s="6">
        <v>41794</v>
      </c>
      <c r="D13" s="6">
        <v>41794</v>
      </c>
      <c r="E13" s="6">
        <v>41794</v>
      </c>
      <c r="F13" s="6">
        <v>41794</v>
      </c>
      <c r="G13" s="6">
        <v>41795</v>
      </c>
      <c r="I13" s="15" t="s">
        <v>67</v>
      </c>
      <c r="K13" s="17">
        <f>+C37/K12</f>
        <v>13.967911890775147</v>
      </c>
      <c r="L13" s="17">
        <f t="shared" ref="L13:O13" si="7">+D37/L12</f>
        <v>9.985966930605553</v>
      </c>
      <c r="M13" s="17">
        <f t="shared" si="7"/>
        <v>13.441575052199294</v>
      </c>
      <c r="N13" s="17">
        <f t="shared" si="7"/>
        <v>13.392093240980659</v>
      </c>
      <c r="O13" s="17">
        <f t="shared" si="7"/>
        <v>10.740208811336498</v>
      </c>
      <c r="P13" s="15" t="s">
        <v>69</v>
      </c>
    </row>
    <row r="14" spans="1:16" ht="16.5" x14ac:dyDescent="0.25">
      <c r="A14" s="1" t="s">
        <v>13</v>
      </c>
      <c r="B14" s="7">
        <f>SUM(B10:B13)</f>
        <v>2706957</v>
      </c>
      <c r="C14" s="7">
        <f t="shared" ref="C14:G14" si="8">SUM(C10:C13)</f>
        <v>2308285</v>
      </c>
      <c r="D14" s="7">
        <f t="shared" si="8"/>
        <v>2291391</v>
      </c>
      <c r="E14" s="7">
        <f t="shared" si="8"/>
        <v>2076413</v>
      </c>
      <c r="F14" s="7">
        <f t="shared" si="8"/>
        <v>2713642</v>
      </c>
      <c r="G14" s="7">
        <f t="shared" si="8"/>
        <v>2638423</v>
      </c>
      <c r="I14" s="15" t="s">
        <v>68</v>
      </c>
      <c r="K14" s="18">
        <f>365/K13</f>
        <v>26.131321764784154</v>
      </c>
      <c r="L14" s="18">
        <f t="shared" ref="L14:O14" si="9">365/L13</f>
        <v>36.55129268266726</v>
      </c>
      <c r="M14" s="18">
        <f t="shared" si="9"/>
        <v>27.154555815263564</v>
      </c>
      <c r="N14" s="18">
        <f t="shared" si="9"/>
        <v>27.254887897813969</v>
      </c>
      <c r="O14" s="18">
        <f t="shared" si="9"/>
        <v>33.984441681872653</v>
      </c>
      <c r="P14" s="15" t="s">
        <v>73</v>
      </c>
    </row>
    <row r="15" spans="1:16" ht="16.5" x14ac:dyDescent="0.25">
      <c r="A15" s="1" t="s">
        <v>14</v>
      </c>
      <c r="B15" s="7">
        <f>+B9+B14</f>
        <v>4687858</v>
      </c>
      <c r="C15" s="7">
        <f t="shared" ref="C15:G15" si="10">+C9+C14</f>
        <v>4541422</v>
      </c>
      <c r="D15" s="7">
        <f t="shared" si="10"/>
        <v>5128650</v>
      </c>
      <c r="E15" s="7">
        <f t="shared" si="10"/>
        <v>4956665</v>
      </c>
      <c r="F15" s="7">
        <f t="shared" si="10"/>
        <v>5807671</v>
      </c>
      <c r="G15" s="7">
        <f t="shared" si="10"/>
        <v>7554132</v>
      </c>
    </row>
    <row r="16" spans="1:16" ht="16.5" x14ac:dyDescent="0.25">
      <c r="A16" s="5" t="s">
        <v>15</v>
      </c>
      <c r="B16" s="6">
        <v>345902</v>
      </c>
      <c r="C16" s="6">
        <v>326774</v>
      </c>
      <c r="D16" s="6">
        <v>250144</v>
      </c>
      <c r="E16" s="6">
        <v>356219</v>
      </c>
      <c r="F16" s="6">
        <v>340226</v>
      </c>
      <c r="G16" s="6">
        <v>230628</v>
      </c>
      <c r="I16" s="5" t="s">
        <v>70</v>
      </c>
      <c r="K16" s="6">
        <f>+AVERAGE(B6:C6)</f>
        <v>1062368.5</v>
      </c>
      <c r="L16" s="6">
        <f t="shared" ref="L16:O16" si="11">+AVERAGE(C6:D6)</f>
        <v>1295771</v>
      </c>
      <c r="M16" s="6">
        <f t="shared" si="11"/>
        <v>1177297.5</v>
      </c>
      <c r="N16" s="6">
        <f t="shared" si="11"/>
        <v>1068732</v>
      </c>
      <c r="O16" s="6">
        <f t="shared" si="11"/>
        <v>2295098.5</v>
      </c>
    </row>
    <row r="17" spans="1:16" ht="16.5" x14ac:dyDescent="0.25">
      <c r="A17" s="5" t="s">
        <v>16</v>
      </c>
      <c r="B17" s="6"/>
      <c r="C17" s="6">
        <v>43630</v>
      </c>
      <c r="D17" s="6">
        <v>52000</v>
      </c>
      <c r="E17" s="6">
        <v>76087</v>
      </c>
      <c r="F17" s="6">
        <v>28249</v>
      </c>
      <c r="G17" s="6">
        <v>9922</v>
      </c>
      <c r="I17" s="15" t="s">
        <v>71</v>
      </c>
      <c r="K17" s="17">
        <f>+C36/K16</f>
        <v>17.087488945690691</v>
      </c>
      <c r="L17" s="17">
        <f t="shared" ref="L17:O17" si="12">+D36/L16</f>
        <v>8.5423975378365462</v>
      </c>
      <c r="M17" s="17">
        <f t="shared" si="12"/>
        <v>15.129728891805172</v>
      </c>
      <c r="N17" s="17">
        <f t="shared" si="12"/>
        <v>22.672852501843305</v>
      </c>
      <c r="O17" s="17">
        <f t="shared" si="12"/>
        <v>9.13912278710478</v>
      </c>
      <c r="P17" s="15" t="s">
        <v>69</v>
      </c>
    </row>
    <row r="18" spans="1:16" ht="16.5" x14ac:dyDescent="0.25">
      <c r="A18" s="5" t="s">
        <v>17</v>
      </c>
      <c r="B18" s="6">
        <v>1502778</v>
      </c>
      <c r="C18" s="6">
        <v>1447607</v>
      </c>
      <c r="D18" s="6">
        <v>1528338</v>
      </c>
      <c r="E18" s="6">
        <v>1667545</v>
      </c>
      <c r="F18" s="6">
        <v>2306970</v>
      </c>
      <c r="G18" s="6">
        <v>2938407</v>
      </c>
      <c r="I18" s="15" t="s">
        <v>72</v>
      </c>
      <c r="K18" s="18">
        <f>365/K17</f>
        <v>21.360657564144301</v>
      </c>
      <c r="L18" s="18">
        <f t="shared" ref="L18" si="13">365/L17</f>
        <v>42.728051274050188</v>
      </c>
      <c r="M18" s="18">
        <f t="shared" ref="M18" si="14">365/M17</f>
        <v>24.124688724442226</v>
      </c>
      <c r="N18" s="18">
        <f t="shared" ref="N18" si="15">365/N17</f>
        <v>16.098547810440945</v>
      </c>
      <c r="O18" s="18">
        <f t="shared" ref="O18" si="16">365/O17</f>
        <v>39.938187559424378</v>
      </c>
      <c r="P18" s="15" t="s">
        <v>73</v>
      </c>
    </row>
    <row r="19" spans="1:16" ht="16.5" x14ac:dyDescent="0.25">
      <c r="A19" s="5" t="s">
        <v>18</v>
      </c>
      <c r="B19" s="6">
        <v>400462</v>
      </c>
      <c r="C19" s="6">
        <v>411511</v>
      </c>
      <c r="D19" s="6">
        <v>981</v>
      </c>
      <c r="E19" s="6">
        <v>113419</v>
      </c>
      <c r="F19" s="6">
        <v>464852</v>
      </c>
      <c r="G19" s="6">
        <v>794874</v>
      </c>
    </row>
    <row r="20" spans="1:16" ht="16.5" x14ac:dyDescent="0.25">
      <c r="A20" s="5" t="s">
        <v>19</v>
      </c>
      <c r="B20" s="6">
        <v>154118</v>
      </c>
      <c r="C20" s="6">
        <v>198984</v>
      </c>
      <c r="D20" s="6">
        <v>252951</v>
      </c>
      <c r="E20" s="6">
        <v>75927</v>
      </c>
      <c r="F20" s="6">
        <v>102172</v>
      </c>
      <c r="G20" s="6">
        <v>334073</v>
      </c>
      <c r="I20" s="5" t="s">
        <v>74</v>
      </c>
      <c r="K20" s="6">
        <f>+B7</f>
        <v>708288</v>
      </c>
      <c r="L20" s="6">
        <f t="shared" ref="L20:O20" si="17">+C7</f>
        <v>651842</v>
      </c>
      <c r="M20" s="6">
        <f t="shared" si="17"/>
        <v>533786</v>
      </c>
      <c r="N20" s="6">
        <f t="shared" si="17"/>
        <v>838359</v>
      </c>
      <c r="O20" s="6">
        <f t="shared" si="17"/>
        <v>1220993</v>
      </c>
    </row>
    <row r="21" spans="1:16" ht="16.5" x14ac:dyDescent="0.25">
      <c r="A21" s="5" t="s">
        <v>20</v>
      </c>
      <c r="B21" s="6">
        <v>1330</v>
      </c>
      <c r="C21" s="6">
        <v>14250</v>
      </c>
      <c r="D21" s="6">
        <v>3204</v>
      </c>
      <c r="E21" s="6">
        <v>11475</v>
      </c>
      <c r="F21" s="6">
        <v>8558</v>
      </c>
      <c r="G21" s="6">
        <v>272021</v>
      </c>
      <c r="I21" s="5" t="s">
        <v>75</v>
      </c>
      <c r="K21" s="6">
        <f>+C7</f>
        <v>651842</v>
      </c>
      <c r="L21" s="6">
        <f t="shared" ref="L21:O21" si="18">+D7</f>
        <v>533786</v>
      </c>
      <c r="M21" s="6">
        <f t="shared" si="18"/>
        <v>838359</v>
      </c>
      <c r="N21" s="6">
        <f t="shared" si="18"/>
        <v>1220993</v>
      </c>
      <c r="O21" s="6">
        <f t="shared" si="18"/>
        <v>1233663</v>
      </c>
    </row>
    <row r="22" spans="1:16" ht="16.5" x14ac:dyDescent="0.25">
      <c r="A22" s="1" t="s">
        <v>21</v>
      </c>
      <c r="B22" s="7">
        <f>SUM(B16:B21)</f>
        <v>2404590</v>
      </c>
      <c r="C22" s="7">
        <f t="shared" ref="C22:G22" si="19">SUM(C16:C21)</f>
        <v>2442756</v>
      </c>
      <c r="D22" s="7">
        <f t="shared" si="19"/>
        <v>2087618</v>
      </c>
      <c r="E22" s="7">
        <f t="shared" si="19"/>
        <v>2300672</v>
      </c>
      <c r="F22" s="7">
        <f t="shared" si="19"/>
        <v>3251027</v>
      </c>
      <c r="G22" s="7">
        <f t="shared" si="19"/>
        <v>4579925</v>
      </c>
      <c r="I22" s="13" t="s">
        <v>76</v>
      </c>
      <c r="K22" s="6">
        <f>+C36+K21-K20</f>
        <v>18096764</v>
      </c>
      <c r="L22" s="6">
        <f t="shared" ref="L22:O22" si="20">+D36+L21-L20</f>
        <v>10950935</v>
      </c>
      <c r="M22" s="6">
        <f t="shared" si="20"/>
        <v>18116765</v>
      </c>
      <c r="N22" s="6">
        <f t="shared" si="20"/>
        <v>24613837</v>
      </c>
      <c r="O22" s="6">
        <f t="shared" si="20"/>
        <v>20987857</v>
      </c>
    </row>
    <row r="23" spans="1:16" ht="16.5" x14ac:dyDescent="0.25">
      <c r="A23" s="5" t="s">
        <v>22</v>
      </c>
      <c r="B23" s="6">
        <v>457430</v>
      </c>
      <c r="C23" s="6">
        <v>293468</v>
      </c>
      <c r="D23" s="6">
        <v>425715</v>
      </c>
      <c r="E23" s="6">
        <v>480141</v>
      </c>
      <c r="F23" s="6">
        <v>399845</v>
      </c>
      <c r="G23" s="6">
        <v>388299</v>
      </c>
      <c r="I23" s="5" t="s">
        <v>77</v>
      </c>
      <c r="K23" s="6">
        <f>+AVERAGE(B18:C18)</f>
        <v>1475192.5</v>
      </c>
      <c r="L23" s="6">
        <f t="shared" ref="L23:O23" si="21">+AVERAGE(C18:D18)</f>
        <v>1487972.5</v>
      </c>
      <c r="M23" s="6">
        <f t="shared" si="21"/>
        <v>1597941.5</v>
      </c>
      <c r="N23" s="6">
        <f t="shared" si="21"/>
        <v>1987257.5</v>
      </c>
      <c r="O23" s="6">
        <f t="shared" si="21"/>
        <v>2622688.5</v>
      </c>
    </row>
    <row r="24" spans="1:16" ht="16.5" x14ac:dyDescent="0.25">
      <c r="A24" s="5" t="s">
        <v>23</v>
      </c>
      <c r="B24" s="6">
        <v>1172414</v>
      </c>
      <c r="C24" s="6">
        <v>911251</v>
      </c>
      <c r="D24" s="6">
        <v>1828456</v>
      </c>
      <c r="E24" s="6">
        <v>1152944</v>
      </c>
      <c r="F24" s="6">
        <v>1235169</v>
      </c>
      <c r="G24" s="6">
        <v>1490239</v>
      </c>
      <c r="I24" s="15" t="s">
        <v>78</v>
      </c>
      <c r="K24" s="17">
        <f>+K22/K23</f>
        <v>12.267391543815469</v>
      </c>
      <c r="L24" s="17">
        <f t="shared" ref="L24:O24" si="22">+L22/L23</f>
        <v>7.3596353427230676</v>
      </c>
      <c r="M24" s="17">
        <f t="shared" si="22"/>
        <v>11.337564610469157</v>
      </c>
      <c r="N24" s="17">
        <f t="shared" si="22"/>
        <v>12.38583173041239</v>
      </c>
      <c r="O24" s="17">
        <f t="shared" si="22"/>
        <v>8.0024207983525297</v>
      </c>
      <c r="P24" s="15" t="s">
        <v>69</v>
      </c>
    </row>
    <row r="25" spans="1:16" ht="16.5" x14ac:dyDescent="0.25">
      <c r="A25" s="1" t="s">
        <v>24</v>
      </c>
      <c r="B25" s="7">
        <f>SUM(B23:B24)</f>
        <v>1629844</v>
      </c>
      <c r="C25" s="7">
        <f t="shared" ref="C25:G25" si="23">SUM(C23:C24)</f>
        <v>1204719</v>
      </c>
      <c r="D25" s="7">
        <f t="shared" si="23"/>
        <v>2254171</v>
      </c>
      <c r="E25" s="7">
        <f t="shared" si="23"/>
        <v>1633085</v>
      </c>
      <c r="F25" s="7">
        <f t="shared" si="23"/>
        <v>1635014</v>
      </c>
      <c r="G25" s="7">
        <f t="shared" si="23"/>
        <v>1878538</v>
      </c>
      <c r="I25" s="15" t="s">
        <v>79</v>
      </c>
      <c r="K25" s="18">
        <f>365/K24</f>
        <v>29.753676541286605</v>
      </c>
      <c r="L25" s="18">
        <f t="shared" ref="L25" si="24">365/L24</f>
        <v>49.59484852206684</v>
      </c>
      <c r="M25" s="18">
        <f t="shared" ref="M25" si="25">365/M24</f>
        <v>32.193862839198943</v>
      </c>
      <c r="N25" s="18">
        <f t="shared" ref="N25" si="26">365/N24</f>
        <v>29.469155398242055</v>
      </c>
      <c r="O25" s="18">
        <f t="shared" ref="O25" si="27">365/O24</f>
        <v>45.611198060859671</v>
      </c>
      <c r="P25" s="15" t="s">
        <v>73</v>
      </c>
    </row>
    <row r="26" spans="1:16" ht="16.5" x14ac:dyDescent="0.25">
      <c r="A26" s="1" t="s">
        <v>25</v>
      </c>
      <c r="B26" s="7">
        <f>+B22+B25</f>
        <v>4034434</v>
      </c>
      <c r="C26" s="7">
        <f t="shared" ref="C26:G26" si="28">+C22+C25</f>
        <v>3647475</v>
      </c>
      <c r="D26" s="7">
        <f t="shared" si="28"/>
        <v>4341789</v>
      </c>
      <c r="E26" s="7">
        <f t="shared" si="28"/>
        <v>3933757</v>
      </c>
      <c r="F26" s="7">
        <f t="shared" si="28"/>
        <v>4886041</v>
      </c>
      <c r="G26" s="7">
        <f t="shared" si="28"/>
        <v>6458463</v>
      </c>
    </row>
    <row r="27" spans="1:16" ht="16.5" x14ac:dyDescent="0.25">
      <c r="A27" s="5" t="s">
        <v>26</v>
      </c>
      <c r="B27" s="6">
        <v>90000</v>
      </c>
      <c r="C27" s="6">
        <v>90000</v>
      </c>
      <c r="D27" s="6">
        <v>90000</v>
      </c>
      <c r="E27" s="6">
        <v>90000</v>
      </c>
      <c r="F27" s="6">
        <v>90000</v>
      </c>
      <c r="G27" s="6">
        <v>90000</v>
      </c>
      <c r="I27" s="15" t="s">
        <v>80</v>
      </c>
      <c r="J27" s="14"/>
      <c r="K27" s="18">
        <f>+K14+K18-K25</f>
        <v>17.738302787641846</v>
      </c>
      <c r="L27" s="18">
        <f t="shared" ref="L27:O27" si="29">+L14+L18-L25</f>
        <v>29.6844954346506</v>
      </c>
      <c r="M27" s="18">
        <f t="shared" si="29"/>
        <v>19.085381700506844</v>
      </c>
      <c r="N27" s="18">
        <f t="shared" si="29"/>
        <v>13.884280310012858</v>
      </c>
      <c r="O27" s="18">
        <f t="shared" si="29"/>
        <v>28.31143118043736</v>
      </c>
      <c r="P27" s="15" t="s">
        <v>73</v>
      </c>
    </row>
    <row r="28" spans="1:16" ht="16.5" x14ac:dyDescent="0.25">
      <c r="A28" s="5" t="s">
        <v>27</v>
      </c>
      <c r="B28" s="6">
        <v>247449</v>
      </c>
      <c r="C28" s="6">
        <v>247449</v>
      </c>
      <c r="D28" s="6">
        <v>247449</v>
      </c>
      <c r="E28" s="6">
        <v>247449</v>
      </c>
      <c r="F28" s="6">
        <v>247449</v>
      </c>
      <c r="G28" s="6">
        <v>247449</v>
      </c>
    </row>
    <row r="29" spans="1:16" ht="16.5" x14ac:dyDescent="0.25">
      <c r="A29" s="5" t="s">
        <v>28</v>
      </c>
      <c r="B29" s="6">
        <v>50000</v>
      </c>
      <c r="C29" s="6">
        <v>50000</v>
      </c>
      <c r="D29" s="6">
        <v>50000</v>
      </c>
      <c r="E29" s="6">
        <v>50000</v>
      </c>
      <c r="F29" s="6">
        <v>50000</v>
      </c>
      <c r="G29" s="6">
        <v>50000</v>
      </c>
      <c r="I29" s="5" t="s">
        <v>81</v>
      </c>
      <c r="J29" s="6">
        <f>+B5+B6+B7-B18-B19</f>
        <v>62828</v>
      </c>
      <c r="K29" s="6">
        <f t="shared" ref="K29:O29" si="30">+C5+C6+C7-C18-C19</f>
        <v>343729</v>
      </c>
      <c r="L29" s="6">
        <f t="shared" si="30"/>
        <v>1271028</v>
      </c>
      <c r="M29" s="6">
        <f t="shared" si="30"/>
        <v>1033661</v>
      </c>
      <c r="N29" s="6">
        <f t="shared" si="30"/>
        <v>279966</v>
      </c>
      <c r="O29" s="6">
        <f t="shared" si="30"/>
        <v>1137878</v>
      </c>
    </row>
    <row r="30" spans="1:16" ht="16.5" x14ac:dyDescent="0.25">
      <c r="A30" s="5" t="s">
        <v>29</v>
      </c>
      <c r="B30" s="6">
        <v>265975</v>
      </c>
      <c r="C30" s="6">
        <v>506498</v>
      </c>
      <c r="D30" s="6">
        <v>399412</v>
      </c>
      <c r="E30" s="6">
        <v>635459</v>
      </c>
      <c r="F30" s="6">
        <v>534181</v>
      </c>
      <c r="G30" s="6">
        <v>708220</v>
      </c>
      <c r="I30" s="5" t="s">
        <v>82</v>
      </c>
      <c r="K30" s="6">
        <f>+AVERAGE(J29:K29)</f>
        <v>203278.5</v>
      </c>
      <c r="L30" s="6">
        <f t="shared" ref="L30:O30" si="31">+AVERAGE(K29:L29)</f>
        <v>807378.5</v>
      </c>
      <c r="M30" s="6">
        <f t="shared" si="31"/>
        <v>1152344.5</v>
      </c>
      <c r="N30" s="6">
        <f t="shared" si="31"/>
        <v>656813.5</v>
      </c>
      <c r="O30" s="6">
        <f t="shared" si="31"/>
        <v>708922</v>
      </c>
    </row>
    <row r="31" spans="1:16" ht="16.5" x14ac:dyDescent="0.25">
      <c r="A31" s="1" t="s">
        <v>30</v>
      </c>
      <c r="B31" s="7">
        <f>SUM(B27:B30)</f>
        <v>653424</v>
      </c>
      <c r="C31" s="7">
        <f t="shared" ref="C31:G31" si="32">SUM(C27:C30)</f>
        <v>893947</v>
      </c>
      <c r="D31" s="7">
        <f t="shared" si="32"/>
        <v>786861</v>
      </c>
      <c r="E31" s="7">
        <f t="shared" si="32"/>
        <v>1022908</v>
      </c>
      <c r="F31" s="7">
        <f t="shared" si="32"/>
        <v>921630</v>
      </c>
      <c r="G31" s="7">
        <f t="shared" si="32"/>
        <v>1095669</v>
      </c>
      <c r="I31" s="15" t="s">
        <v>83</v>
      </c>
      <c r="K31" s="18">
        <f>+C36/K30</f>
        <v>89.302164272168483</v>
      </c>
      <c r="L31" s="18">
        <f t="shared" ref="L31:O31" si="33">+D36/L30</f>
        <v>13.709791628090171</v>
      </c>
      <c r="M31" s="18">
        <f t="shared" si="33"/>
        <v>15.457349776911332</v>
      </c>
      <c r="N31" s="18">
        <f t="shared" si="33"/>
        <v>36.892059922641664</v>
      </c>
      <c r="O31" s="18">
        <f t="shared" si="33"/>
        <v>29.587439802968451</v>
      </c>
    </row>
    <row r="32" spans="1:16" ht="16.5" x14ac:dyDescent="0.25">
      <c r="A32" s="1" t="s">
        <v>31</v>
      </c>
      <c r="B32" s="7">
        <f>+B26+B31</f>
        <v>4687858</v>
      </c>
      <c r="C32" s="7">
        <v>4541422</v>
      </c>
      <c r="D32" s="7">
        <v>5128650</v>
      </c>
      <c r="E32" s="7">
        <v>4956665</v>
      </c>
      <c r="F32" s="7">
        <v>5807671</v>
      </c>
      <c r="G32" s="7">
        <v>7554132</v>
      </c>
    </row>
    <row r="33" spans="1:15" x14ac:dyDescent="0.25">
      <c r="B33" s="2" t="b">
        <f>+B32=B15</f>
        <v>1</v>
      </c>
      <c r="C33" s="2" t="b">
        <f t="shared" ref="C33:G33" si="34">+C32=C15</f>
        <v>1</v>
      </c>
      <c r="D33" s="2" t="b">
        <f t="shared" si="34"/>
        <v>1</v>
      </c>
      <c r="E33" s="2" t="b">
        <f t="shared" si="34"/>
        <v>1</v>
      </c>
      <c r="F33" s="2" t="b">
        <f t="shared" si="34"/>
        <v>1</v>
      </c>
      <c r="G33" s="2" t="b">
        <f t="shared" si="34"/>
        <v>1</v>
      </c>
      <c r="J33" s="16"/>
      <c r="K33" s="16"/>
      <c r="L33" s="16"/>
      <c r="M33" s="16"/>
      <c r="N33" s="16"/>
      <c r="O33" s="16"/>
    </row>
    <row r="34" spans="1:15" x14ac:dyDescent="0.25">
      <c r="B34" s="8"/>
      <c r="C34" s="8"/>
      <c r="D34" s="8"/>
      <c r="E34" s="8"/>
      <c r="F34" s="8"/>
      <c r="G34" s="8"/>
    </row>
    <row r="35" spans="1:15" ht="16.5" x14ac:dyDescent="0.25">
      <c r="A35" s="5"/>
      <c r="B35" s="4">
        <v>2018</v>
      </c>
      <c r="C35" s="4">
        <v>2019</v>
      </c>
      <c r="D35" s="4">
        <v>2020</v>
      </c>
      <c r="E35" s="4">
        <v>2021</v>
      </c>
      <c r="F35" s="4">
        <v>2022</v>
      </c>
      <c r="G35" s="4">
        <v>2023</v>
      </c>
    </row>
    <row r="36" spans="1:15" ht="16.5" x14ac:dyDescent="0.25">
      <c r="A36" s="5" t="s">
        <v>32</v>
      </c>
      <c r="B36" s="6">
        <v>17348296</v>
      </c>
      <c r="C36" s="6">
        <v>18153210</v>
      </c>
      <c r="D36" s="6">
        <v>11068991</v>
      </c>
      <c r="E36" s="6">
        <v>17812192</v>
      </c>
      <c r="F36" s="6">
        <v>24231203</v>
      </c>
      <c r="G36" s="6">
        <v>20975187</v>
      </c>
    </row>
    <row r="37" spans="1:15" ht="16.5" x14ac:dyDescent="0.25">
      <c r="A37" s="5" t="s">
        <v>33</v>
      </c>
      <c r="B37" s="6">
        <v>9228072</v>
      </c>
      <c r="C37" s="6">
        <v>9499088</v>
      </c>
      <c r="D37" s="6">
        <v>5919821</v>
      </c>
      <c r="E37" s="6">
        <v>9221895</v>
      </c>
      <c r="F37" s="6">
        <v>13789517</v>
      </c>
      <c r="G37" s="6">
        <v>13181759</v>
      </c>
    </row>
    <row r="38" spans="1:15" ht="16.5" x14ac:dyDescent="0.25">
      <c r="A38" s="1" t="s">
        <v>34</v>
      </c>
      <c r="B38" s="7">
        <f>+B36-B37</f>
        <v>8120224</v>
      </c>
      <c r="C38" s="7">
        <f t="shared" ref="C38:G38" si="35">+C36-C37</f>
        <v>8654122</v>
      </c>
      <c r="D38" s="7">
        <f t="shared" si="35"/>
        <v>5149170</v>
      </c>
      <c r="E38" s="7">
        <f t="shared" si="35"/>
        <v>8590297</v>
      </c>
      <c r="F38" s="7">
        <f t="shared" si="35"/>
        <v>10441686</v>
      </c>
      <c r="G38" s="7">
        <f t="shared" si="35"/>
        <v>7793428</v>
      </c>
    </row>
    <row r="39" spans="1:15" ht="16.5" x14ac:dyDescent="0.25">
      <c r="A39" s="5" t="s">
        <v>35</v>
      </c>
      <c r="B39" s="6">
        <v>172327</v>
      </c>
      <c r="C39" s="6">
        <v>150609</v>
      </c>
      <c r="D39" s="6">
        <v>528408</v>
      </c>
      <c r="E39" s="6">
        <v>435585</v>
      </c>
      <c r="F39" s="6">
        <v>402284</v>
      </c>
      <c r="G39" s="6">
        <v>623291</v>
      </c>
    </row>
    <row r="40" spans="1:15" ht="16.5" x14ac:dyDescent="0.25">
      <c r="A40" s="5" t="s">
        <v>36</v>
      </c>
      <c r="B40" s="6">
        <v>4819044</v>
      </c>
      <c r="C40" s="6">
        <v>5119509</v>
      </c>
      <c r="D40" s="6">
        <v>3633479</v>
      </c>
      <c r="E40" s="6">
        <v>5391907</v>
      </c>
      <c r="F40" s="6">
        <v>6911513</v>
      </c>
      <c r="G40" s="6">
        <v>4210176</v>
      </c>
    </row>
    <row r="41" spans="1:15" ht="16.5" x14ac:dyDescent="0.25">
      <c r="A41" s="5" t="s">
        <v>37</v>
      </c>
      <c r="B41" s="6">
        <v>2831169</v>
      </c>
      <c r="C41" s="6">
        <v>2761557</v>
      </c>
      <c r="D41" s="6">
        <v>1855375</v>
      </c>
      <c r="E41" s="6">
        <v>2640630</v>
      </c>
      <c r="F41" s="6">
        <v>3275805</v>
      </c>
      <c r="G41" s="6">
        <v>3222850</v>
      </c>
    </row>
    <row r="42" spans="1:15" ht="16.5" x14ac:dyDescent="0.25">
      <c r="A42" s="5" t="s">
        <v>38</v>
      </c>
      <c r="B42" s="6">
        <v>140727</v>
      </c>
      <c r="C42" s="6">
        <v>140699</v>
      </c>
      <c r="D42" s="6">
        <v>90434</v>
      </c>
      <c r="E42" s="6">
        <v>198826</v>
      </c>
      <c r="F42" s="6">
        <v>214571</v>
      </c>
      <c r="G42" s="6">
        <v>147999</v>
      </c>
    </row>
    <row r="43" spans="1:15" ht="16.5" x14ac:dyDescent="0.25">
      <c r="A43" s="1" t="s">
        <v>39</v>
      </c>
      <c r="B43" s="7">
        <f>+B38+B39-B40-B41-B42</f>
        <v>501611</v>
      </c>
      <c r="C43" s="7">
        <f t="shared" ref="C43:G43" si="36">+C38+C39-C40-C41-C42</f>
        <v>782966</v>
      </c>
      <c r="D43" s="7">
        <f t="shared" si="36"/>
        <v>98290</v>
      </c>
      <c r="E43" s="7">
        <f t="shared" si="36"/>
        <v>794519</v>
      </c>
      <c r="F43" s="7">
        <f t="shared" si="36"/>
        <v>442081</v>
      </c>
      <c r="G43" s="7">
        <f t="shared" si="36"/>
        <v>835694</v>
      </c>
    </row>
    <row r="44" spans="1:15" ht="16.5" x14ac:dyDescent="0.25">
      <c r="A44" s="5" t="s">
        <v>40</v>
      </c>
      <c r="B44" s="6">
        <v>826</v>
      </c>
      <c r="C44" s="6">
        <v>985</v>
      </c>
      <c r="D44" s="6">
        <v>640</v>
      </c>
      <c r="E44" s="6">
        <v>429</v>
      </c>
      <c r="F44" s="6">
        <v>4482</v>
      </c>
      <c r="G44" s="6">
        <v>7647</v>
      </c>
    </row>
    <row r="45" spans="1:15" ht="16.5" x14ac:dyDescent="0.25">
      <c r="A45" s="5" t="s">
        <v>41</v>
      </c>
      <c r="B45" s="6">
        <v>284415</v>
      </c>
      <c r="C45" s="6">
        <v>308838</v>
      </c>
      <c r="D45" s="6">
        <v>228112</v>
      </c>
      <c r="E45" s="6">
        <v>272365</v>
      </c>
      <c r="F45" s="6">
        <v>362001</v>
      </c>
      <c r="G45" s="6">
        <v>453185</v>
      </c>
    </row>
    <row r="46" spans="1:15" ht="16.5" x14ac:dyDescent="0.25">
      <c r="A46" s="1" t="s">
        <v>42</v>
      </c>
      <c r="B46" s="7">
        <f>+B43+B44-B45</f>
        <v>218022</v>
      </c>
      <c r="C46" s="7">
        <f t="shared" ref="C46:G46" si="37">+C43+C44-C45</f>
        <v>475113</v>
      </c>
      <c r="D46" s="7">
        <f t="shared" si="37"/>
        <v>-129182</v>
      </c>
      <c r="E46" s="7">
        <f t="shared" si="37"/>
        <v>522583</v>
      </c>
      <c r="F46" s="7">
        <f t="shared" si="37"/>
        <v>84562</v>
      </c>
      <c r="G46" s="7">
        <f t="shared" si="37"/>
        <v>390156</v>
      </c>
    </row>
    <row r="47" spans="1:15" ht="16.5" x14ac:dyDescent="0.25">
      <c r="A47" s="5" t="s">
        <v>43</v>
      </c>
      <c r="B47" s="6">
        <v>113221</v>
      </c>
      <c r="C47" s="6">
        <v>154590</v>
      </c>
      <c r="D47" s="6">
        <v>-22096</v>
      </c>
      <c r="E47" s="6">
        <v>231465</v>
      </c>
      <c r="F47" s="6">
        <v>65840</v>
      </c>
      <c r="G47" s="6">
        <v>156117</v>
      </c>
    </row>
    <row r="48" spans="1:15" ht="16.5" x14ac:dyDescent="0.25">
      <c r="A48" s="1" t="s">
        <v>44</v>
      </c>
      <c r="B48" s="7">
        <f>+B46-B47</f>
        <v>104801</v>
      </c>
      <c r="C48" s="7">
        <f t="shared" ref="C48:G48" si="38">+C46-C47</f>
        <v>320523</v>
      </c>
      <c r="D48" s="7">
        <f t="shared" si="38"/>
        <v>-107086</v>
      </c>
      <c r="E48" s="7">
        <f t="shared" si="38"/>
        <v>291118</v>
      </c>
      <c r="F48" s="7">
        <f t="shared" si="38"/>
        <v>18722</v>
      </c>
      <c r="G48" s="7">
        <f t="shared" si="38"/>
        <v>234039</v>
      </c>
    </row>
    <row r="49" spans="1:8" ht="16.5" x14ac:dyDescent="0.25">
      <c r="A49" s="1"/>
      <c r="B49" s="9"/>
      <c r="C49" s="9"/>
      <c r="D49" s="9"/>
      <c r="E49" s="9"/>
      <c r="F49" s="9"/>
      <c r="G49" s="9"/>
    </row>
    <row r="50" spans="1:8" ht="16.5" x14ac:dyDescent="0.25">
      <c r="A50" s="5" t="s">
        <v>45</v>
      </c>
      <c r="B50" s="9"/>
      <c r="C50" s="9"/>
      <c r="D50" s="6">
        <v>0</v>
      </c>
      <c r="E50" s="6">
        <v>0</v>
      </c>
      <c r="F50" s="6">
        <v>0</v>
      </c>
      <c r="G50" s="6">
        <v>2249726</v>
      </c>
      <c r="H50" s="5" t="s">
        <v>47</v>
      </c>
    </row>
    <row r="51" spans="1:8" ht="16.5" x14ac:dyDescent="0.25">
      <c r="A51" s="1"/>
      <c r="B51" s="9"/>
      <c r="C51" s="9"/>
      <c r="D51" s="9"/>
      <c r="E51" s="9"/>
      <c r="F51" s="9"/>
      <c r="G51" s="9"/>
    </row>
    <row r="52" spans="1:8" ht="16.5" x14ac:dyDescent="0.25">
      <c r="A52" s="5" t="s">
        <v>46</v>
      </c>
      <c r="B52" s="6">
        <v>337583</v>
      </c>
      <c r="C52" s="6">
        <v>243277</v>
      </c>
      <c r="D52" s="6">
        <v>248125</v>
      </c>
      <c r="E52" s="6">
        <v>240405</v>
      </c>
      <c r="F52" s="6">
        <v>271275</v>
      </c>
      <c r="G52" s="6">
        <v>360515</v>
      </c>
      <c r="H52" s="5" t="s">
        <v>47</v>
      </c>
    </row>
    <row r="53" spans="1:8" ht="16.5" x14ac:dyDescent="0.25">
      <c r="A53" s="10" t="s">
        <v>49</v>
      </c>
      <c r="B53" s="7">
        <f>+B43+B52</f>
        <v>839194</v>
      </c>
      <c r="C53" s="7">
        <f t="shared" ref="C53:G53" si="39">+C43+C52</f>
        <v>1026243</v>
      </c>
      <c r="D53" s="7">
        <f t="shared" si="39"/>
        <v>346415</v>
      </c>
      <c r="E53" s="7">
        <f t="shared" si="39"/>
        <v>1034924</v>
      </c>
      <c r="F53" s="7">
        <f t="shared" si="39"/>
        <v>713356</v>
      </c>
      <c r="G53" s="7">
        <f t="shared" si="39"/>
        <v>1196209</v>
      </c>
    </row>
    <row r="54" spans="1:8" x14ac:dyDescent="0.25">
      <c r="C54" s="8"/>
      <c r="D54" s="8"/>
      <c r="E54" s="8"/>
      <c r="F54" s="8"/>
      <c r="G54" s="8"/>
    </row>
    <row r="55" spans="1:8" ht="16.5" x14ac:dyDescent="0.25">
      <c r="A55" s="13" t="s">
        <v>48</v>
      </c>
      <c r="B55" s="6"/>
      <c r="C55" s="6">
        <f t="shared" ref="C55:F55" si="40">+B30+C48-C30</f>
        <v>80000</v>
      </c>
      <c r="D55" s="6">
        <f t="shared" si="40"/>
        <v>0</v>
      </c>
      <c r="E55" s="6">
        <f t="shared" si="40"/>
        <v>55071</v>
      </c>
      <c r="F55" s="6">
        <f t="shared" si="40"/>
        <v>120000</v>
      </c>
      <c r="G55" s="6">
        <f>+F30+G48-G30</f>
        <v>60000</v>
      </c>
    </row>
    <row r="56" spans="1:8" ht="16.5" x14ac:dyDescent="0.25">
      <c r="B56" s="6"/>
      <c r="C56" s="6"/>
      <c r="D56" s="6"/>
      <c r="E56" s="6"/>
      <c r="F56" s="6"/>
      <c r="G56" s="6"/>
    </row>
    <row r="57" spans="1:8" ht="16.5" x14ac:dyDescent="0.25">
      <c r="A57" s="5" t="s">
        <v>50</v>
      </c>
      <c r="B57" s="12">
        <f>+B38/B36</f>
        <v>0.46807040875945394</v>
      </c>
      <c r="C57" s="12">
        <f t="shared" ref="C57:G57" si="41">+C38/C36</f>
        <v>0.47672681580833365</v>
      </c>
      <c r="D57" s="12">
        <f t="shared" si="41"/>
        <v>0.46518874213557498</v>
      </c>
      <c r="E57" s="12">
        <f t="shared" si="41"/>
        <v>0.48227062677069726</v>
      </c>
      <c r="F57" s="12">
        <f t="shared" si="41"/>
        <v>0.43091900967525221</v>
      </c>
      <c r="G57" s="12">
        <f t="shared" si="41"/>
        <v>0.37155463739131384</v>
      </c>
    </row>
    <row r="58" spans="1:8" ht="16.5" x14ac:dyDescent="0.25">
      <c r="A58" s="5" t="s">
        <v>51</v>
      </c>
      <c r="B58" s="12">
        <f>+B43/B36</f>
        <v>2.8914136581483278E-2</v>
      </c>
      <c r="C58" s="12">
        <f t="shared" ref="C58:G58" si="42">+C43/C36</f>
        <v>4.3130994463238183E-2</v>
      </c>
      <c r="D58" s="12">
        <f t="shared" si="42"/>
        <v>8.8797614886487845E-3</v>
      </c>
      <c r="E58" s="12">
        <f t="shared" si="42"/>
        <v>4.460534671981977E-2</v>
      </c>
      <c r="F58" s="12">
        <f t="shared" si="42"/>
        <v>1.8244286096732381E-2</v>
      </c>
      <c r="G58" s="12">
        <f t="shared" si="42"/>
        <v>3.9842028583583072E-2</v>
      </c>
    </row>
    <row r="59" spans="1:8" ht="16.5" x14ac:dyDescent="0.25">
      <c r="A59" s="5" t="s">
        <v>52</v>
      </c>
      <c r="B59" s="12">
        <f>+B53/B36</f>
        <v>4.8373281156835229E-2</v>
      </c>
      <c r="C59" s="12">
        <f t="shared" ref="C59:G59" si="43">+C53/C36</f>
        <v>5.6532315772251852E-2</v>
      </c>
      <c r="D59" s="12">
        <f t="shared" si="43"/>
        <v>3.1295987141014024E-2</v>
      </c>
      <c r="E59" s="12">
        <f t="shared" si="43"/>
        <v>5.810200114618122E-2</v>
      </c>
      <c r="F59" s="12">
        <f t="shared" si="43"/>
        <v>2.9439561874001881E-2</v>
      </c>
      <c r="G59" s="12">
        <f t="shared" si="43"/>
        <v>5.7029718018723745E-2</v>
      </c>
    </row>
    <row r="60" spans="1:8" ht="16.5" x14ac:dyDescent="0.25">
      <c r="A60" s="5" t="s">
        <v>53</v>
      </c>
      <c r="B60" s="12">
        <f>+B48/B36</f>
        <v>6.0409967641778762E-3</v>
      </c>
      <c r="C60" s="12">
        <f t="shared" ref="C60:G60" si="44">+C48/C36</f>
        <v>1.7656546693394722E-2</v>
      </c>
      <c r="D60" s="12">
        <f t="shared" si="44"/>
        <v>-9.6744138648229092E-3</v>
      </c>
      <c r="E60" s="12">
        <f t="shared" si="44"/>
        <v>1.634374927016282E-2</v>
      </c>
      <c r="F60" s="12">
        <f t="shared" si="44"/>
        <v>7.7264013676910722E-4</v>
      </c>
      <c r="G60" s="12">
        <f t="shared" si="44"/>
        <v>1.1157898139358663E-2</v>
      </c>
    </row>
    <row r="61" spans="1:8" ht="16.5" x14ac:dyDescent="0.25">
      <c r="A61" s="5"/>
      <c r="B61" s="6"/>
      <c r="C61" s="6"/>
      <c r="D61" s="6"/>
      <c r="E61" s="6"/>
      <c r="F61" s="6"/>
      <c r="G61" s="6"/>
    </row>
    <row r="62" spans="1:8" ht="16.5" x14ac:dyDescent="0.25">
      <c r="A62" s="5" t="s">
        <v>54</v>
      </c>
      <c r="B62" s="6">
        <f>+B9-B22</f>
        <v>-423689</v>
      </c>
      <c r="C62" s="6">
        <f t="shared" ref="C62:G62" si="45">+C9-C22</f>
        <v>-209619</v>
      </c>
      <c r="D62" s="6">
        <f t="shared" si="45"/>
        <v>749641</v>
      </c>
      <c r="E62" s="6">
        <f t="shared" si="45"/>
        <v>579580</v>
      </c>
      <c r="F62" s="6">
        <f t="shared" si="45"/>
        <v>-156998</v>
      </c>
      <c r="G62" s="6">
        <f t="shared" si="45"/>
        <v>335784</v>
      </c>
    </row>
    <row r="63" spans="1:8" ht="16.5" x14ac:dyDescent="0.25">
      <c r="A63" s="5" t="s">
        <v>55</v>
      </c>
      <c r="B63" s="6">
        <f>+B5+B6+B7-B18</f>
        <v>463290</v>
      </c>
      <c r="C63" s="6">
        <f t="shared" ref="C63:G63" si="46">+C5+C6+C7-C18</f>
        <v>755240</v>
      </c>
      <c r="D63" s="6">
        <f t="shared" si="46"/>
        <v>1272009</v>
      </c>
      <c r="E63" s="6">
        <f t="shared" si="46"/>
        <v>1147080</v>
      </c>
      <c r="F63" s="6">
        <f t="shared" si="46"/>
        <v>744818</v>
      </c>
      <c r="G63" s="6">
        <f t="shared" si="46"/>
        <v>1932752</v>
      </c>
    </row>
    <row r="64" spans="1:8" ht="16.5" x14ac:dyDescent="0.25">
      <c r="A64" s="5"/>
    </row>
    <row r="65" spans="1:7" ht="16.5" x14ac:dyDescent="0.25">
      <c r="A65" s="5" t="s">
        <v>56</v>
      </c>
      <c r="B65" s="6">
        <f>+B20</f>
        <v>154118</v>
      </c>
      <c r="C65" s="6">
        <f t="shared" ref="C65:G65" si="47">+C20</f>
        <v>198984</v>
      </c>
      <c r="D65" s="6">
        <f t="shared" si="47"/>
        <v>252951</v>
      </c>
      <c r="E65" s="6">
        <f t="shared" si="47"/>
        <v>75927</v>
      </c>
      <c r="F65" s="6">
        <f t="shared" si="47"/>
        <v>102172</v>
      </c>
      <c r="G65" s="6">
        <f t="shared" si="47"/>
        <v>334073</v>
      </c>
    </row>
    <row r="66" spans="1:7" ht="16.5" x14ac:dyDescent="0.25">
      <c r="A66" s="5" t="s">
        <v>57</v>
      </c>
      <c r="B66" s="6">
        <f>+B24</f>
        <v>1172414</v>
      </c>
      <c r="C66" s="6">
        <f t="shared" ref="C66:G66" si="48">+C24</f>
        <v>911251</v>
      </c>
      <c r="D66" s="6">
        <f t="shared" si="48"/>
        <v>1828456</v>
      </c>
      <c r="E66" s="6">
        <f t="shared" si="48"/>
        <v>1152944</v>
      </c>
      <c r="F66" s="6">
        <f t="shared" si="48"/>
        <v>1235169</v>
      </c>
      <c r="G66" s="6">
        <f t="shared" si="48"/>
        <v>1490239</v>
      </c>
    </row>
    <row r="67" spans="1:7" ht="16.5" x14ac:dyDescent="0.25">
      <c r="A67" s="10" t="s">
        <v>58</v>
      </c>
      <c r="B67" s="7">
        <f>SUM(B65:B66)</f>
        <v>1326532</v>
      </c>
      <c r="C67" s="7">
        <f t="shared" ref="C67:G67" si="49">SUM(C65:C66)</f>
        <v>1110235</v>
      </c>
      <c r="D67" s="7">
        <f t="shared" si="49"/>
        <v>2081407</v>
      </c>
      <c r="E67" s="7">
        <f t="shared" si="49"/>
        <v>1228871</v>
      </c>
      <c r="F67" s="7">
        <f t="shared" si="49"/>
        <v>1337341</v>
      </c>
      <c r="G67" s="7">
        <f t="shared" si="49"/>
        <v>1824312</v>
      </c>
    </row>
    <row r="68" spans="1:7" ht="16.5" x14ac:dyDescent="0.25">
      <c r="A68" s="13" t="s">
        <v>59</v>
      </c>
      <c r="B68" s="6">
        <f>+B45</f>
        <v>284415</v>
      </c>
      <c r="C68" s="6">
        <f t="shared" ref="C68:G68" si="50">+C45</f>
        <v>308838</v>
      </c>
      <c r="D68" s="6">
        <f t="shared" si="50"/>
        <v>228112</v>
      </c>
      <c r="E68" s="6">
        <f t="shared" si="50"/>
        <v>272365</v>
      </c>
      <c r="F68" s="6">
        <f t="shared" si="50"/>
        <v>362001</v>
      </c>
      <c r="G68" s="6">
        <f t="shared" si="50"/>
        <v>453185</v>
      </c>
    </row>
    <row r="69" spans="1:7" x14ac:dyDescent="0.25">
      <c r="B69" s="11"/>
      <c r="C69" s="11"/>
      <c r="D69" s="11"/>
      <c r="E69" s="11"/>
      <c r="F69" s="11"/>
      <c r="G69" s="11"/>
    </row>
    <row r="70" spans="1:7" ht="16.5" x14ac:dyDescent="0.25">
      <c r="A70" s="13" t="s">
        <v>60</v>
      </c>
      <c r="B70" s="6">
        <f>+B10+B11</f>
        <v>2397588</v>
      </c>
      <c r="C70" s="6">
        <f t="shared" ref="C70:G70" si="51">+C10+C11</f>
        <v>2198191</v>
      </c>
      <c r="D70" s="6">
        <f t="shared" si="51"/>
        <v>2026474</v>
      </c>
      <c r="E70" s="6">
        <f t="shared" si="51"/>
        <v>1941842</v>
      </c>
      <c r="F70" s="6">
        <f t="shared" si="51"/>
        <v>2661960</v>
      </c>
      <c r="G70" s="6">
        <f t="shared" si="51"/>
        <v>2570100</v>
      </c>
    </row>
  </sheetData>
  <pageMargins left="0.7" right="0.7" top="0.75" bottom="0.75" header="0.3" footer="0.3"/>
  <ignoredErrors>
    <ignoredError sqref="B9:G9 K12 L12:O12 K16:O16 K23:O23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2025-02-25T05:02:13Z</dcterms:created>
  <dcterms:modified xsi:type="dcterms:W3CDTF">2025-05-19T22:43:30Z</dcterms:modified>
</cp:coreProperties>
</file>