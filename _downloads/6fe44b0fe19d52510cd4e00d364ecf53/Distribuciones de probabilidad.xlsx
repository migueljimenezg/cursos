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ITM\ANÁLISIS DE RIESGOS\"/>
    </mc:Choice>
  </mc:AlternateContent>
  <xr:revisionPtr revIDLastSave="0" documentId="13_ncr:1_{63F810A7-D31A-418B-911B-7FFEE3EF43A3}" xr6:coauthVersionLast="47" xr6:coauthVersionMax="47" xr10:uidLastSave="{00000000-0000-0000-0000-000000000000}"/>
  <bookViews>
    <workbookView xWindow="-120" yWindow="-120" windowWidth="29040" windowHeight="15840" tabRatio="712" xr2:uid="{9ED13564-A363-45DD-8815-6692BC986698}"/>
  </bookViews>
  <sheets>
    <sheet name="Normal" sheetId="1" r:id="rId1"/>
    <sheet name="Normal (2)" sheetId="2" r:id="rId2"/>
    <sheet name="Triangular" sheetId="3" r:id="rId3"/>
    <sheet name="Uniforme continua" sheetId="4" r:id="rId4"/>
    <sheet name="Lognormal" sheetId="5" r:id="rId5"/>
    <sheet name="Números aleatorios" sheetId="6" r:id="rId6"/>
    <sheet name="Bernoulli" sheetId="7" r:id="rId7"/>
    <sheet name="Binomial" sheetId="8" r:id="rId8"/>
    <sheet name="Discreta" sheetId="9" r:id="rId9"/>
    <sheet name="Uniforme discret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8" l="1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39" i="8"/>
  <c r="E39" i="8" s="1"/>
  <c r="B7" i="8"/>
  <c r="D4" i="10"/>
  <c r="D5" i="10"/>
  <c r="D3" i="10"/>
  <c r="D2" i="10"/>
  <c r="D4" i="9"/>
  <c r="D5" i="9"/>
  <c r="D6" i="9"/>
  <c r="D3" i="9"/>
  <c r="D2" i="9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10" i="8"/>
  <c r="C4" i="7"/>
  <c r="B34" i="6"/>
  <c r="B27" i="6"/>
  <c r="B22" i="6"/>
  <c r="B14" i="6"/>
  <c r="B15" i="6" s="1"/>
  <c r="E54" i="8" l="1"/>
  <c r="E42" i="8"/>
  <c r="E53" i="8"/>
  <c r="E41" i="8"/>
  <c r="E52" i="8"/>
  <c r="E40" i="8"/>
  <c r="E43" i="8"/>
  <c r="E51" i="8"/>
  <c r="E50" i="8"/>
  <c r="E55" i="8"/>
  <c r="E49" i="8"/>
  <c r="E48" i="8"/>
  <c r="E59" i="8"/>
  <c r="E47" i="8"/>
  <c r="E58" i="8"/>
  <c r="E46" i="8"/>
  <c r="E57" i="8"/>
  <c r="E45" i="8"/>
  <c r="E56" i="8"/>
  <c r="E44" i="8"/>
  <c r="B6" i="6"/>
  <c r="H10" i="1"/>
  <c r="F2" i="5"/>
  <c r="B8" i="5"/>
  <c r="D8" i="5" s="1"/>
  <c r="D7" i="5"/>
  <c r="C7" i="5"/>
  <c r="C6" i="4"/>
  <c r="C7" i="4"/>
  <c r="C8" i="4"/>
  <c r="C9" i="4"/>
  <c r="C10" i="4"/>
  <c r="C11" i="4"/>
  <c r="C12" i="4"/>
  <c r="C13" i="4"/>
  <c r="C14" i="4"/>
  <c r="C15" i="4"/>
  <c r="C5" i="4"/>
  <c r="B6" i="4"/>
  <c r="B7" i="4"/>
  <c r="B8" i="4"/>
  <c r="B9" i="4"/>
  <c r="B10" i="4"/>
  <c r="B11" i="4"/>
  <c r="B12" i="4"/>
  <c r="B13" i="4"/>
  <c r="B14" i="4"/>
  <c r="B15" i="4"/>
  <c r="B5" i="4"/>
  <c r="A14" i="4"/>
  <c r="A15" i="4" s="1"/>
  <c r="A7" i="4"/>
  <c r="A8" i="4"/>
  <c r="A9" i="4"/>
  <c r="A10" i="4" s="1"/>
  <c r="A11" i="4" s="1"/>
  <c r="A12" i="4" s="1"/>
  <c r="A13" i="4" s="1"/>
  <c r="A6" i="4"/>
  <c r="A5" i="4"/>
  <c r="B9" i="5" l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C9" i="5"/>
  <c r="C8" i="5"/>
  <c r="C10" i="5" l="1"/>
  <c r="D9" i="5"/>
  <c r="D10" i="5" l="1"/>
  <c r="D11" i="5" l="1"/>
  <c r="C11" i="5"/>
  <c r="D12" i="5" l="1"/>
  <c r="C12" i="5"/>
  <c r="D13" i="5" l="1"/>
  <c r="C13" i="5"/>
  <c r="D14" i="5" l="1"/>
  <c r="C14" i="5"/>
  <c r="D15" i="5" l="1"/>
  <c r="C15" i="5"/>
  <c r="D16" i="5" l="1"/>
  <c r="C16" i="5"/>
  <c r="D17" i="5" l="1"/>
  <c r="C17" i="5"/>
  <c r="D18" i="5" l="1"/>
  <c r="C18" i="5"/>
  <c r="D19" i="5" l="1"/>
  <c r="C19" i="5"/>
  <c r="D20" i="5" l="1"/>
  <c r="C20" i="5"/>
  <c r="D21" i="5" l="1"/>
  <c r="C21" i="5"/>
  <c r="B23" i="5" l="1"/>
  <c r="D22" i="5"/>
  <c r="C22" i="5"/>
  <c r="B24" i="5" l="1"/>
  <c r="D23" i="5"/>
  <c r="C23" i="5"/>
  <c r="B25" i="5" l="1"/>
  <c r="D24" i="5"/>
  <c r="C24" i="5"/>
  <c r="B26" i="5" l="1"/>
  <c r="D25" i="5"/>
  <c r="C25" i="5"/>
  <c r="B27" i="5" l="1"/>
  <c r="D26" i="5"/>
  <c r="C26" i="5"/>
  <c r="B28" i="5" l="1"/>
  <c r="D27" i="5"/>
  <c r="C27" i="5"/>
  <c r="B29" i="5" l="1"/>
  <c r="D28" i="5"/>
  <c r="C28" i="5"/>
  <c r="B30" i="5" l="1"/>
  <c r="D29" i="5"/>
  <c r="C29" i="5"/>
  <c r="B31" i="5" l="1"/>
  <c r="D30" i="5"/>
  <c r="C30" i="5"/>
  <c r="B32" i="5" l="1"/>
  <c r="D31" i="5"/>
  <c r="C31" i="5"/>
  <c r="B33" i="5" l="1"/>
  <c r="D32" i="5"/>
  <c r="C32" i="5"/>
  <c r="D33" i="5" l="1"/>
  <c r="B34" i="5"/>
  <c r="C33" i="5"/>
  <c r="C34" i="5" l="1"/>
  <c r="D34" i="5"/>
  <c r="B35" i="5"/>
  <c r="D35" i="5" l="1"/>
  <c r="C35" i="5"/>
  <c r="B36" i="5"/>
  <c r="D36" i="5" l="1"/>
  <c r="B37" i="5"/>
  <c r="C36" i="5"/>
  <c r="D37" i="5" l="1"/>
  <c r="B38" i="5"/>
  <c r="C37" i="5"/>
  <c r="D38" i="5" l="1"/>
  <c r="B39" i="5"/>
  <c r="C38" i="5"/>
  <c r="D39" i="5" l="1"/>
  <c r="B40" i="5"/>
  <c r="C39" i="5"/>
  <c r="D40" i="5" l="1"/>
  <c r="B41" i="5"/>
  <c r="C40" i="5"/>
  <c r="D41" i="5" l="1"/>
  <c r="B42" i="5"/>
  <c r="C41" i="5"/>
  <c r="D42" i="5" l="1"/>
  <c r="B43" i="5"/>
  <c r="C42" i="5"/>
  <c r="D43" i="5" l="1"/>
  <c r="B44" i="5"/>
  <c r="C43" i="5"/>
  <c r="D44" i="5" l="1"/>
  <c r="B45" i="5"/>
  <c r="C44" i="5"/>
  <c r="D45" i="5" l="1"/>
  <c r="C45" i="5"/>
  <c r="B46" i="5"/>
  <c r="D46" i="5" l="1"/>
  <c r="B47" i="5"/>
  <c r="C46" i="5"/>
  <c r="D47" i="5" l="1"/>
  <c r="B48" i="5"/>
  <c r="C47" i="5"/>
  <c r="D48" i="5" l="1"/>
  <c r="B49" i="5"/>
  <c r="C48" i="5"/>
  <c r="D49" i="5" l="1"/>
  <c r="B50" i="5"/>
  <c r="C49" i="5"/>
  <c r="D50" i="5" l="1"/>
  <c r="B51" i="5"/>
  <c r="C50" i="5"/>
  <c r="D51" i="5" l="1"/>
  <c r="B52" i="5"/>
  <c r="C51" i="5"/>
  <c r="D52" i="5" l="1"/>
  <c r="B53" i="5"/>
  <c r="C52" i="5"/>
  <c r="D53" i="5" l="1"/>
  <c r="B54" i="5"/>
  <c r="C53" i="5"/>
  <c r="D54" i="5" l="1"/>
  <c r="B55" i="5"/>
  <c r="C54" i="5"/>
  <c r="D55" i="5" l="1"/>
  <c r="B56" i="5"/>
  <c r="C55" i="5"/>
  <c r="D56" i="5" l="1"/>
  <c r="B57" i="5"/>
  <c r="C56" i="5"/>
  <c r="C57" i="5" l="1"/>
  <c r="D57" i="5"/>
  <c r="B58" i="5"/>
  <c r="C58" i="5" l="1"/>
  <c r="D58" i="5"/>
  <c r="B59" i="5"/>
  <c r="D59" i="5" l="1"/>
  <c r="C59" i="5"/>
  <c r="B60" i="5"/>
  <c r="D60" i="5" l="1"/>
  <c r="B61" i="5"/>
  <c r="C60" i="5"/>
  <c r="D61" i="5" l="1"/>
  <c r="B62" i="5"/>
  <c r="C61" i="5"/>
  <c r="D62" i="5" l="1"/>
  <c r="B63" i="5"/>
  <c r="C62" i="5"/>
  <c r="D63" i="5" l="1"/>
  <c r="B64" i="5"/>
  <c r="C63" i="5"/>
  <c r="D64" i="5" l="1"/>
  <c r="B65" i="5"/>
  <c r="C64" i="5"/>
  <c r="D65" i="5" l="1"/>
  <c r="C65" i="5"/>
  <c r="B66" i="5"/>
  <c r="D66" i="5" l="1"/>
  <c r="B67" i="5"/>
  <c r="C66" i="5"/>
  <c r="D67" i="5" l="1"/>
  <c r="B68" i="5"/>
  <c r="C67" i="5"/>
  <c r="D68" i="5" l="1"/>
  <c r="B69" i="5"/>
  <c r="C68" i="5"/>
  <c r="D69" i="5" l="1"/>
  <c r="C69" i="5"/>
  <c r="B70" i="5"/>
  <c r="D70" i="5" l="1"/>
  <c r="B71" i="5"/>
  <c r="C70" i="5"/>
  <c r="D71" i="5" l="1"/>
  <c r="C71" i="5"/>
  <c r="B72" i="5"/>
  <c r="D72" i="5" l="1"/>
  <c r="B73" i="5"/>
  <c r="C72" i="5"/>
  <c r="D73" i="5" l="1"/>
  <c r="C73" i="5"/>
  <c r="B74" i="5"/>
  <c r="D74" i="5" l="1"/>
  <c r="B75" i="5"/>
  <c r="C74" i="5"/>
  <c r="D75" i="5" l="1"/>
  <c r="B76" i="5"/>
  <c r="C75" i="5"/>
  <c r="D76" i="5" l="1"/>
  <c r="C76" i="5"/>
  <c r="B77" i="5"/>
  <c r="D77" i="5" l="1"/>
  <c r="B78" i="5"/>
  <c r="C77" i="5"/>
  <c r="D78" i="5" l="1"/>
  <c r="B79" i="5"/>
  <c r="C78" i="5"/>
  <c r="D79" i="5" l="1"/>
  <c r="C79" i="5"/>
  <c r="B80" i="5"/>
  <c r="D80" i="5" l="1"/>
  <c r="B81" i="5"/>
  <c r="C80" i="5"/>
  <c r="D81" i="5" l="1"/>
  <c r="C81" i="5"/>
  <c r="B82" i="5"/>
  <c r="D82" i="5" l="1"/>
  <c r="B83" i="5"/>
  <c r="C82" i="5"/>
  <c r="D83" i="5" l="1"/>
  <c r="C83" i="5"/>
  <c r="B84" i="5"/>
  <c r="D84" i="5" l="1"/>
  <c r="B85" i="5"/>
  <c r="C84" i="5"/>
  <c r="D85" i="5" l="1"/>
  <c r="B86" i="5"/>
  <c r="C85" i="5"/>
  <c r="D86" i="5" l="1"/>
  <c r="B87" i="5"/>
  <c r="C86" i="5"/>
  <c r="D87" i="5" l="1"/>
  <c r="C87" i="5"/>
  <c r="B88" i="5"/>
  <c r="D88" i="5" l="1"/>
  <c r="B89" i="5"/>
  <c r="C88" i="5"/>
  <c r="D89" i="5" l="1"/>
  <c r="B90" i="5"/>
  <c r="C89" i="5"/>
  <c r="D90" i="5" l="1"/>
  <c r="B91" i="5"/>
  <c r="C90" i="5"/>
  <c r="D91" i="5" l="1"/>
  <c r="C91" i="5"/>
  <c r="B92" i="5"/>
  <c r="D92" i="5" l="1"/>
  <c r="C92" i="5"/>
  <c r="B93" i="5"/>
  <c r="D93" i="5" l="1"/>
  <c r="B94" i="5"/>
  <c r="C93" i="5"/>
  <c r="D94" i="5" l="1"/>
  <c r="C94" i="5"/>
  <c r="B95" i="5"/>
  <c r="D95" i="5" l="1"/>
  <c r="C95" i="5"/>
  <c r="B96" i="5"/>
  <c r="D96" i="5" l="1"/>
  <c r="B97" i="5"/>
  <c r="C96" i="5"/>
  <c r="D97" i="5" l="1"/>
  <c r="B98" i="5"/>
  <c r="C97" i="5"/>
  <c r="D98" i="5" l="1"/>
  <c r="B99" i="5"/>
  <c r="C98" i="5"/>
  <c r="D99" i="5" l="1"/>
  <c r="C99" i="5"/>
  <c r="B100" i="5"/>
  <c r="D100" i="5" l="1"/>
  <c r="B101" i="5"/>
  <c r="C100" i="5"/>
  <c r="D101" i="5" l="1"/>
  <c r="C101" i="5"/>
  <c r="B102" i="5"/>
  <c r="D102" i="5" l="1"/>
  <c r="C102" i="5"/>
  <c r="B103" i="5"/>
  <c r="D103" i="5" l="1"/>
  <c r="C103" i="5"/>
  <c r="B104" i="5"/>
  <c r="D104" i="5" l="1"/>
  <c r="C104" i="5"/>
  <c r="B105" i="5"/>
  <c r="D105" i="5" l="1"/>
  <c r="C105" i="5"/>
  <c r="B106" i="5"/>
  <c r="D106" i="5" l="1"/>
  <c r="C106" i="5"/>
  <c r="B107" i="5"/>
  <c r="D107" i="5" l="1"/>
  <c r="B108" i="5"/>
  <c r="C107" i="5"/>
  <c r="D108" i="5" l="1"/>
  <c r="B109" i="5"/>
  <c r="C108" i="5"/>
  <c r="D109" i="5" l="1"/>
  <c r="B110" i="5"/>
  <c r="C109" i="5"/>
  <c r="D110" i="5" l="1"/>
  <c r="C110" i="5"/>
  <c r="B111" i="5"/>
  <c r="D111" i="5" l="1"/>
  <c r="C111" i="5"/>
  <c r="B112" i="5"/>
  <c r="D112" i="5" l="1"/>
  <c r="B113" i="5"/>
  <c r="C112" i="5"/>
  <c r="D113" i="5" l="1"/>
  <c r="C113" i="5"/>
  <c r="B114" i="5"/>
  <c r="D114" i="5" l="1"/>
  <c r="C114" i="5"/>
  <c r="B115" i="5"/>
  <c r="D115" i="5" l="1"/>
  <c r="B116" i="5"/>
  <c r="C115" i="5"/>
  <c r="D116" i="5" l="1"/>
  <c r="B117" i="5"/>
  <c r="C116" i="5"/>
  <c r="D117" i="5" l="1"/>
  <c r="C117" i="5"/>
  <c r="B118" i="5"/>
  <c r="D118" i="5" l="1"/>
  <c r="B119" i="5"/>
  <c r="C118" i="5"/>
  <c r="D119" i="5" l="1"/>
  <c r="C119" i="5"/>
  <c r="B120" i="5"/>
  <c r="D120" i="5" l="1"/>
  <c r="B121" i="5"/>
  <c r="C120" i="5"/>
  <c r="D121" i="5" l="1"/>
  <c r="C121" i="5"/>
  <c r="B122" i="5"/>
  <c r="D122" i="5" l="1"/>
  <c r="C122" i="5"/>
  <c r="B123" i="5"/>
  <c r="D123" i="5" l="1"/>
  <c r="B124" i="5"/>
  <c r="C123" i="5"/>
  <c r="D124" i="5" l="1"/>
  <c r="C124" i="5"/>
  <c r="B125" i="5"/>
  <c r="D125" i="5" l="1"/>
  <c r="C125" i="5"/>
  <c r="B126" i="5"/>
  <c r="D126" i="5" l="1"/>
  <c r="C126" i="5"/>
  <c r="B127" i="5"/>
  <c r="D127" i="5" l="1"/>
  <c r="C127" i="5"/>
  <c r="B128" i="5"/>
  <c r="D128" i="5" l="1"/>
  <c r="B129" i="5"/>
  <c r="C128" i="5"/>
  <c r="D129" i="5" l="1"/>
  <c r="B130" i="5"/>
  <c r="C129" i="5"/>
  <c r="D130" i="5" l="1"/>
  <c r="C130" i="5"/>
  <c r="B131" i="5"/>
  <c r="D131" i="5" l="1"/>
  <c r="B132" i="5"/>
  <c r="C131" i="5"/>
  <c r="D132" i="5" l="1"/>
  <c r="C132" i="5"/>
  <c r="B133" i="5"/>
  <c r="D133" i="5" l="1"/>
  <c r="C133" i="5"/>
  <c r="B134" i="5"/>
  <c r="D134" i="5" l="1"/>
  <c r="B135" i="5"/>
  <c r="C134" i="5"/>
  <c r="D135" i="5" l="1"/>
  <c r="B136" i="5"/>
  <c r="C135" i="5"/>
  <c r="D136" i="5" l="1"/>
  <c r="C136" i="5"/>
  <c r="B137" i="5"/>
  <c r="D137" i="5" l="1"/>
  <c r="B138" i="5"/>
  <c r="C137" i="5"/>
  <c r="D138" i="5" l="1"/>
  <c r="B139" i="5"/>
  <c r="C138" i="5"/>
  <c r="D139" i="5" l="1"/>
  <c r="B140" i="5"/>
  <c r="C139" i="5"/>
  <c r="D140" i="5" l="1"/>
  <c r="C140" i="5"/>
  <c r="B141" i="5"/>
  <c r="D141" i="5" l="1"/>
  <c r="B142" i="5"/>
  <c r="C141" i="5"/>
  <c r="D142" i="5" l="1"/>
  <c r="B143" i="5"/>
  <c r="C142" i="5"/>
  <c r="D143" i="5" l="1"/>
  <c r="C143" i="5"/>
  <c r="B144" i="5"/>
  <c r="D144" i="5" l="1"/>
  <c r="C144" i="5"/>
  <c r="B145" i="5"/>
  <c r="D145" i="5" l="1"/>
  <c r="C145" i="5"/>
  <c r="B146" i="5"/>
  <c r="D146" i="5" l="1"/>
  <c r="C146" i="5"/>
  <c r="B147" i="5"/>
  <c r="D147" i="5" l="1"/>
  <c r="B148" i="5"/>
  <c r="C147" i="5"/>
  <c r="D148" i="5" l="1"/>
  <c r="C148" i="5"/>
  <c r="B149" i="5"/>
  <c r="D149" i="5" l="1"/>
  <c r="B150" i="5"/>
  <c r="C149" i="5"/>
  <c r="D150" i="5" l="1"/>
  <c r="C150" i="5"/>
  <c r="B151" i="5"/>
  <c r="D151" i="5" l="1"/>
  <c r="B152" i="5"/>
  <c r="C151" i="5"/>
  <c r="D152" i="5" l="1"/>
  <c r="C152" i="5"/>
  <c r="B153" i="5"/>
  <c r="D153" i="5" l="1"/>
  <c r="B154" i="5"/>
  <c r="C153" i="5"/>
  <c r="D154" i="5" l="1"/>
  <c r="C154" i="5"/>
  <c r="B155" i="5"/>
  <c r="D155" i="5" l="1"/>
  <c r="C155" i="5"/>
  <c r="B156" i="5"/>
  <c r="D156" i="5" l="1"/>
  <c r="B157" i="5"/>
  <c r="C156" i="5"/>
  <c r="D157" i="5" l="1"/>
  <c r="B158" i="5"/>
  <c r="C157" i="5"/>
  <c r="D158" i="5" l="1"/>
  <c r="C158" i="5"/>
  <c r="B159" i="5"/>
  <c r="D159" i="5" l="1"/>
  <c r="C159" i="5"/>
  <c r="B160" i="5"/>
  <c r="D160" i="5" l="1"/>
  <c r="B161" i="5"/>
  <c r="C160" i="5"/>
  <c r="D161" i="5" l="1"/>
  <c r="B162" i="5"/>
  <c r="C161" i="5"/>
  <c r="D162" i="5" l="1"/>
  <c r="C162" i="5"/>
  <c r="B163" i="5"/>
  <c r="D163" i="5" l="1"/>
  <c r="C163" i="5"/>
  <c r="B164" i="5"/>
  <c r="D164" i="5" l="1"/>
  <c r="C164" i="5"/>
  <c r="B165" i="5"/>
  <c r="D165" i="5" l="1"/>
  <c r="C165" i="5"/>
  <c r="B166" i="5"/>
  <c r="D166" i="5" l="1"/>
  <c r="B167" i="5"/>
  <c r="C166" i="5"/>
  <c r="D167" i="5" l="1"/>
  <c r="B168" i="5"/>
  <c r="C167" i="5"/>
  <c r="D168" i="5" l="1"/>
  <c r="C168" i="5"/>
  <c r="B169" i="5"/>
  <c r="D169" i="5" l="1"/>
  <c r="B170" i="5"/>
  <c r="C169" i="5"/>
  <c r="D170" i="5" l="1"/>
  <c r="B171" i="5"/>
  <c r="C170" i="5"/>
  <c r="D171" i="5" l="1"/>
  <c r="B172" i="5"/>
  <c r="C171" i="5"/>
  <c r="D172" i="5" l="1"/>
  <c r="B173" i="5"/>
  <c r="C172" i="5"/>
  <c r="D173" i="5" l="1"/>
  <c r="C173" i="5"/>
  <c r="B174" i="5"/>
  <c r="D174" i="5" l="1"/>
  <c r="B175" i="5"/>
  <c r="C174" i="5"/>
  <c r="D175" i="5" l="1"/>
  <c r="B176" i="5"/>
  <c r="C175" i="5"/>
  <c r="D176" i="5" l="1"/>
  <c r="C176" i="5"/>
  <c r="B177" i="5"/>
  <c r="D177" i="5" l="1"/>
  <c r="C177" i="5"/>
  <c r="B178" i="5"/>
  <c r="D178" i="5" l="1"/>
  <c r="B179" i="5"/>
  <c r="C178" i="5"/>
  <c r="D179" i="5" l="1"/>
  <c r="C179" i="5"/>
  <c r="B180" i="5"/>
  <c r="D180" i="5" l="1"/>
  <c r="B181" i="5"/>
  <c r="C180" i="5"/>
  <c r="D181" i="5" l="1"/>
  <c r="C181" i="5"/>
  <c r="B182" i="5"/>
  <c r="D182" i="5" l="1"/>
  <c r="C182" i="5"/>
  <c r="B183" i="5"/>
  <c r="D183" i="5" l="1"/>
  <c r="C183" i="5"/>
  <c r="B184" i="5"/>
  <c r="D184" i="5" l="1"/>
  <c r="B185" i="5"/>
  <c r="C184" i="5"/>
  <c r="D185" i="5" l="1"/>
  <c r="C185" i="5"/>
  <c r="B186" i="5"/>
  <c r="D186" i="5" l="1"/>
  <c r="B187" i="5"/>
  <c r="C186" i="5"/>
  <c r="D187" i="5" l="1"/>
  <c r="C187" i="5"/>
  <c r="B188" i="5"/>
  <c r="D188" i="5" l="1"/>
  <c r="B189" i="5"/>
  <c r="C188" i="5"/>
  <c r="D189" i="5" l="1"/>
  <c r="B190" i="5"/>
  <c r="C189" i="5"/>
  <c r="D190" i="5" l="1"/>
  <c r="C190" i="5"/>
  <c r="B191" i="5"/>
  <c r="D191" i="5" l="1"/>
  <c r="B192" i="5"/>
  <c r="C191" i="5"/>
  <c r="D192" i="5" l="1"/>
  <c r="B193" i="5"/>
  <c r="C192" i="5"/>
  <c r="D193" i="5" l="1"/>
  <c r="C193" i="5"/>
  <c r="B194" i="5"/>
  <c r="D194" i="5" l="1"/>
  <c r="C194" i="5"/>
  <c r="B195" i="5"/>
  <c r="D195" i="5" l="1"/>
  <c r="C195" i="5"/>
  <c r="B196" i="5"/>
  <c r="D196" i="5" l="1"/>
  <c r="C196" i="5"/>
  <c r="B197" i="5"/>
  <c r="D197" i="5" l="1"/>
  <c r="C197" i="5"/>
  <c r="B198" i="5"/>
  <c r="D198" i="5" l="1"/>
  <c r="C198" i="5"/>
  <c r="B199" i="5"/>
  <c r="D199" i="5" l="1"/>
  <c r="B200" i="5"/>
  <c r="C199" i="5"/>
  <c r="D200" i="5" l="1"/>
  <c r="C200" i="5"/>
  <c r="B201" i="5"/>
  <c r="D201" i="5" l="1"/>
  <c r="B202" i="5"/>
  <c r="C201" i="5"/>
  <c r="D202" i="5" l="1"/>
  <c r="C202" i="5"/>
  <c r="B203" i="5"/>
  <c r="D203" i="5" l="1"/>
  <c r="C203" i="5"/>
  <c r="B204" i="5"/>
  <c r="D204" i="5" l="1"/>
  <c r="B205" i="5"/>
  <c r="C204" i="5"/>
  <c r="D205" i="5" l="1"/>
  <c r="C205" i="5"/>
  <c r="B206" i="5"/>
  <c r="D206" i="5" l="1"/>
  <c r="C206" i="5"/>
  <c r="B207" i="5"/>
  <c r="D207" i="5" l="1"/>
  <c r="B208" i="5"/>
  <c r="C207" i="5"/>
  <c r="D208" i="5" l="1"/>
  <c r="C208" i="5"/>
  <c r="B209" i="5"/>
  <c r="D209" i="5" l="1"/>
  <c r="B210" i="5"/>
  <c r="C209" i="5"/>
  <c r="D210" i="5" l="1"/>
  <c r="C210" i="5"/>
  <c r="B211" i="5"/>
  <c r="C211" i="5" l="1"/>
  <c r="B212" i="5"/>
  <c r="D211" i="5"/>
  <c r="C212" i="5" l="1"/>
  <c r="D212" i="5"/>
  <c r="B213" i="5"/>
  <c r="D213" i="5" l="1"/>
  <c r="C213" i="5"/>
  <c r="B214" i="5"/>
  <c r="D214" i="5" l="1"/>
  <c r="C214" i="5"/>
  <c r="B215" i="5"/>
  <c r="D215" i="5" l="1"/>
  <c r="B216" i="5"/>
  <c r="C215" i="5"/>
  <c r="D216" i="5" l="1"/>
  <c r="B217" i="5"/>
  <c r="C216" i="5"/>
  <c r="D217" i="5" l="1"/>
  <c r="B218" i="5"/>
  <c r="C217" i="5"/>
  <c r="D218" i="5" l="1"/>
  <c r="B219" i="5"/>
  <c r="C218" i="5"/>
  <c r="D219" i="5" l="1"/>
  <c r="C219" i="5"/>
  <c r="B220" i="5"/>
  <c r="D220" i="5" l="1"/>
  <c r="C220" i="5"/>
  <c r="B221" i="5"/>
  <c r="D221" i="5" l="1"/>
  <c r="C221" i="5"/>
  <c r="B222" i="5"/>
  <c r="D222" i="5" l="1"/>
  <c r="C222" i="5"/>
  <c r="B223" i="5"/>
  <c r="D223" i="5" l="1"/>
  <c r="C223" i="5"/>
  <c r="B224" i="5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6" i="3"/>
  <c r="A6" i="3"/>
  <c r="A7" i="3" s="1"/>
  <c r="D224" i="5" l="1"/>
  <c r="C224" i="5"/>
  <c r="B225" i="5"/>
  <c r="C7" i="3"/>
  <c r="A8" i="3"/>
  <c r="B7" i="3"/>
  <c r="C6" i="3"/>
  <c r="B6" i="3"/>
  <c r="B8" i="3"/>
  <c r="D225" i="5" l="1"/>
  <c r="C225" i="5"/>
  <c r="B226" i="5"/>
  <c r="A9" i="3"/>
  <c r="C8" i="3"/>
  <c r="D226" i="5" l="1"/>
  <c r="C226" i="5"/>
  <c r="B227" i="5"/>
  <c r="A10" i="3"/>
  <c r="C9" i="3"/>
  <c r="B9" i="3"/>
  <c r="D227" i="5" l="1"/>
  <c r="C227" i="5"/>
  <c r="B228" i="5"/>
  <c r="A11" i="3"/>
  <c r="C10" i="3"/>
  <c r="B10" i="3"/>
  <c r="B9" i="2"/>
  <c r="B10" i="2"/>
  <c r="B11" i="2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8" i="2"/>
  <c r="E7" i="2"/>
  <c r="D7" i="2"/>
  <c r="C7" i="2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" i="1"/>
  <c r="H8" i="1"/>
  <c r="F14" i="1"/>
  <c r="H14" i="1" s="1"/>
  <c r="C7" i="1"/>
  <c r="B15" i="1"/>
  <c r="E15" i="1" s="1"/>
  <c r="D14" i="1"/>
  <c r="C5" i="1"/>
  <c r="D4" i="1"/>
  <c r="C4" i="1"/>
  <c r="E14" i="1"/>
  <c r="C14" i="1"/>
  <c r="D228" i="5" l="1"/>
  <c r="C228" i="5"/>
  <c r="B229" i="5"/>
  <c r="A12" i="3"/>
  <c r="C11" i="3"/>
  <c r="B11" i="3"/>
  <c r="E9" i="2"/>
  <c r="D9" i="2"/>
  <c r="E8" i="2"/>
  <c r="D8" i="2"/>
  <c r="C9" i="2"/>
  <c r="C8" i="2"/>
  <c r="F15" i="1"/>
  <c r="H15" i="1" s="1"/>
  <c r="H9" i="1"/>
  <c r="I9" i="1" s="1"/>
  <c r="B16" i="1"/>
  <c r="D15" i="1"/>
  <c r="C15" i="1"/>
  <c r="D229" i="5" l="1"/>
  <c r="B230" i="5"/>
  <c r="C229" i="5"/>
  <c r="A13" i="3"/>
  <c r="C12" i="3"/>
  <c r="B12" i="3"/>
  <c r="D10" i="2"/>
  <c r="E10" i="2"/>
  <c r="C10" i="2"/>
  <c r="B17" i="1"/>
  <c r="C17" i="1" s="1"/>
  <c r="F16" i="1"/>
  <c r="H16" i="1" s="1"/>
  <c r="C16" i="1"/>
  <c r="E16" i="1"/>
  <c r="D16" i="1"/>
  <c r="D230" i="5" l="1"/>
  <c r="C230" i="5"/>
  <c r="B231" i="5"/>
  <c r="A14" i="3"/>
  <c r="C13" i="3"/>
  <c r="B13" i="3"/>
  <c r="D11" i="2"/>
  <c r="E11" i="2"/>
  <c r="C11" i="2"/>
  <c r="B18" i="1"/>
  <c r="C18" i="1" s="1"/>
  <c r="F17" i="1"/>
  <c r="H17" i="1" s="1"/>
  <c r="D17" i="1"/>
  <c r="E17" i="1"/>
  <c r="D231" i="5" l="1"/>
  <c r="C231" i="5"/>
  <c r="B232" i="5"/>
  <c r="A15" i="3"/>
  <c r="C14" i="3"/>
  <c r="B14" i="3"/>
  <c r="D12" i="2"/>
  <c r="E12" i="2"/>
  <c r="C12" i="2"/>
  <c r="B19" i="1"/>
  <c r="C19" i="1" s="1"/>
  <c r="F18" i="1"/>
  <c r="H18" i="1" s="1"/>
  <c r="E18" i="1"/>
  <c r="D18" i="1"/>
  <c r="D232" i="5" l="1"/>
  <c r="C232" i="5"/>
  <c r="B233" i="5"/>
  <c r="A16" i="3"/>
  <c r="C15" i="3"/>
  <c r="B15" i="3"/>
  <c r="D13" i="2"/>
  <c r="E13" i="2"/>
  <c r="C13" i="2"/>
  <c r="B20" i="1"/>
  <c r="C20" i="1" s="1"/>
  <c r="F19" i="1"/>
  <c r="H19" i="1" s="1"/>
  <c r="D19" i="1"/>
  <c r="E19" i="1"/>
  <c r="D233" i="5" l="1"/>
  <c r="C233" i="5"/>
  <c r="B234" i="5"/>
  <c r="A17" i="3"/>
  <c r="C16" i="3"/>
  <c r="B16" i="3"/>
  <c r="D14" i="2"/>
  <c r="E14" i="2"/>
  <c r="C14" i="2"/>
  <c r="B21" i="1"/>
  <c r="C21" i="1" s="1"/>
  <c r="F20" i="1"/>
  <c r="H20" i="1" s="1"/>
  <c r="D20" i="1"/>
  <c r="E20" i="1"/>
  <c r="D234" i="5" l="1"/>
  <c r="C234" i="5"/>
  <c r="B235" i="5"/>
  <c r="A18" i="3"/>
  <c r="C17" i="3"/>
  <c r="B17" i="3"/>
  <c r="D15" i="2"/>
  <c r="E15" i="2"/>
  <c r="C15" i="2"/>
  <c r="B22" i="1"/>
  <c r="F21" i="1"/>
  <c r="H21" i="1" s="1"/>
  <c r="D21" i="1"/>
  <c r="E21" i="1"/>
  <c r="D235" i="5" l="1"/>
  <c r="C235" i="5"/>
  <c r="B236" i="5"/>
  <c r="A19" i="3"/>
  <c r="C18" i="3"/>
  <c r="B18" i="3"/>
  <c r="D16" i="2"/>
  <c r="E16" i="2"/>
  <c r="C16" i="2"/>
  <c r="B23" i="1"/>
  <c r="C23" i="1" s="1"/>
  <c r="F22" i="1"/>
  <c r="H22" i="1" s="1"/>
  <c r="D22" i="1"/>
  <c r="E22" i="1"/>
  <c r="C22" i="1"/>
  <c r="D236" i="5" l="1"/>
  <c r="B237" i="5"/>
  <c r="C236" i="5"/>
  <c r="A20" i="3"/>
  <c r="C19" i="3"/>
  <c r="B19" i="3"/>
  <c r="D17" i="2"/>
  <c r="E17" i="2"/>
  <c r="C17" i="2"/>
  <c r="B24" i="1"/>
  <c r="C24" i="1" s="1"/>
  <c r="F23" i="1"/>
  <c r="H23" i="1" s="1"/>
  <c r="E23" i="1"/>
  <c r="D23" i="1"/>
  <c r="D237" i="5" l="1"/>
  <c r="C237" i="5"/>
  <c r="B238" i="5"/>
  <c r="A21" i="3"/>
  <c r="C20" i="3"/>
  <c r="B20" i="3"/>
  <c r="D18" i="2"/>
  <c r="E18" i="2"/>
  <c r="C18" i="2"/>
  <c r="B25" i="1"/>
  <c r="C25" i="1" s="1"/>
  <c r="F24" i="1"/>
  <c r="H24" i="1" s="1"/>
  <c r="D24" i="1"/>
  <c r="E24" i="1"/>
  <c r="D238" i="5" l="1"/>
  <c r="C238" i="5"/>
  <c r="B239" i="5"/>
  <c r="A22" i="3"/>
  <c r="C21" i="3"/>
  <c r="B21" i="3"/>
  <c r="D19" i="2"/>
  <c r="E19" i="2"/>
  <c r="C19" i="2"/>
  <c r="B26" i="1"/>
  <c r="F25" i="1"/>
  <c r="H25" i="1" s="1"/>
  <c r="C26" i="1"/>
  <c r="D25" i="1"/>
  <c r="E25" i="1"/>
  <c r="D239" i="5" l="1"/>
  <c r="C239" i="5"/>
  <c r="B240" i="5"/>
  <c r="A23" i="3"/>
  <c r="C22" i="3"/>
  <c r="B22" i="3"/>
  <c r="D20" i="2"/>
  <c r="E20" i="2"/>
  <c r="C20" i="2"/>
  <c r="B27" i="1"/>
  <c r="F26" i="1"/>
  <c r="H26" i="1" s="1"/>
  <c r="D26" i="1"/>
  <c r="E26" i="1"/>
  <c r="D240" i="5" l="1"/>
  <c r="B241" i="5"/>
  <c r="C240" i="5"/>
  <c r="A24" i="3"/>
  <c r="C23" i="3"/>
  <c r="B23" i="3"/>
  <c r="D21" i="2"/>
  <c r="E21" i="2"/>
  <c r="C21" i="2"/>
  <c r="B28" i="1"/>
  <c r="C28" i="1" s="1"/>
  <c r="F27" i="1"/>
  <c r="H27" i="1" s="1"/>
  <c r="E27" i="1"/>
  <c r="D27" i="1"/>
  <c r="C27" i="1"/>
  <c r="D241" i="5" l="1"/>
  <c r="C241" i="5"/>
  <c r="B242" i="5"/>
  <c r="C24" i="3"/>
  <c r="A25" i="3"/>
  <c r="B24" i="3"/>
  <c r="D22" i="2"/>
  <c r="E22" i="2"/>
  <c r="C22" i="2"/>
  <c r="B29" i="1"/>
  <c r="C29" i="1" s="1"/>
  <c r="F28" i="1"/>
  <c r="H28" i="1" s="1"/>
  <c r="E28" i="1"/>
  <c r="D28" i="1"/>
  <c r="D242" i="5" l="1"/>
  <c r="B243" i="5"/>
  <c r="C242" i="5"/>
  <c r="C25" i="3"/>
  <c r="A26" i="3"/>
  <c r="B25" i="3"/>
  <c r="D23" i="2"/>
  <c r="E23" i="2"/>
  <c r="C23" i="2"/>
  <c r="B30" i="1"/>
  <c r="F29" i="1"/>
  <c r="H29" i="1" s="1"/>
  <c r="C30" i="1"/>
  <c r="E29" i="1"/>
  <c r="D29" i="1"/>
  <c r="D243" i="5" l="1"/>
  <c r="B244" i="5"/>
  <c r="C243" i="5"/>
  <c r="C26" i="3"/>
  <c r="A27" i="3"/>
  <c r="B26" i="3"/>
  <c r="D24" i="2"/>
  <c r="E24" i="2"/>
  <c r="C24" i="2"/>
  <c r="B31" i="1"/>
  <c r="C31" i="1" s="1"/>
  <c r="F30" i="1"/>
  <c r="H30" i="1" s="1"/>
  <c r="E30" i="1"/>
  <c r="D30" i="1"/>
  <c r="D244" i="5" l="1"/>
  <c r="C244" i="5"/>
  <c r="B245" i="5"/>
  <c r="C27" i="3"/>
  <c r="A28" i="3"/>
  <c r="B27" i="3"/>
  <c r="D25" i="2"/>
  <c r="E25" i="2"/>
  <c r="C25" i="2"/>
  <c r="B32" i="1"/>
  <c r="F31" i="1"/>
  <c r="H31" i="1" s="1"/>
  <c r="C32" i="1"/>
  <c r="E31" i="1"/>
  <c r="D31" i="1"/>
  <c r="D245" i="5" l="1"/>
  <c r="B246" i="5"/>
  <c r="C245" i="5"/>
  <c r="C28" i="3"/>
  <c r="B28" i="3"/>
  <c r="A29" i="3"/>
  <c r="D26" i="2"/>
  <c r="E26" i="2"/>
  <c r="C26" i="2"/>
  <c r="B33" i="1"/>
  <c r="F32" i="1"/>
  <c r="H32" i="1" s="1"/>
  <c r="C33" i="1"/>
  <c r="E32" i="1"/>
  <c r="D32" i="1"/>
  <c r="D246" i="5" l="1"/>
  <c r="B247" i="5"/>
  <c r="C246" i="5"/>
  <c r="C29" i="3"/>
  <c r="A30" i="3"/>
  <c r="B29" i="3"/>
  <c r="D27" i="2"/>
  <c r="E27" i="2"/>
  <c r="C27" i="2"/>
  <c r="B34" i="1"/>
  <c r="F33" i="1"/>
  <c r="H33" i="1" s="1"/>
  <c r="C34" i="1"/>
  <c r="D33" i="1"/>
  <c r="E33" i="1"/>
  <c r="D247" i="5" l="1"/>
  <c r="B248" i="5"/>
  <c r="C247" i="5"/>
  <c r="C30" i="3"/>
  <c r="A31" i="3"/>
  <c r="B30" i="3"/>
  <c r="D28" i="2"/>
  <c r="E28" i="2"/>
  <c r="C28" i="2"/>
  <c r="B35" i="1"/>
  <c r="F34" i="1"/>
  <c r="H34" i="1" s="1"/>
  <c r="C35" i="1"/>
  <c r="E34" i="1"/>
  <c r="D34" i="1"/>
  <c r="D248" i="5" l="1"/>
  <c r="C248" i="5"/>
  <c r="B249" i="5"/>
  <c r="C31" i="3"/>
  <c r="A32" i="3"/>
  <c r="B31" i="3"/>
  <c r="D29" i="2"/>
  <c r="E29" i="2"/>
  <c r="C29" i="2"/>
  <c r="B36" i="1"/>
  <c r="F35" i="1"/>
  <c r="H35" i="1" s="1"/>
  <c r="C36" i="1"/>
  <c r="E35" i="1"/>
  <c r="D35" i="1"/>
  <c r="D249" i="5" l="1"/>
  <c r="B250" i="5"/>
  <c r="C249" i="5"/>
  <c r="C32" i="3"/>
  <c r="A33" i="3"/>
  <c r="B32" i="3"/>
  <c r="E30" i="2"/>
  <c r="D30" i="2"/>
  <c r="C30" i="2"/>
  <c r="B37" i="1"/>
  <c r="F36" i="1"/>
  <c r="H36" i="1" s="1"/>
  <c r="C37" i="1"/>
  <c r="D36" i="1"/>
  <c r="E36" i="1"/>
  <c r="D250" i="5" l="1"/>
  <c r="C250" i="5"/>
  <c r="B251" i="5"/>
  <c r="C33" i="3"/>
  <c r="B33" i="3"/>
  <c r="A34" i="3"/>
  <c r="D31" i="2"/>
  <c r="E31" i="2"/>
  <c r="C31" i="2"/>
  <c r="B38" i="1"/>
  <c r="F37" i="1"/>
  <c r="H37" i="1" s="1"/>
  <c r="C38" i="1"/>
  <c r="D37" i="1"/>
  <c r="E37" i="1"/>
  <c r="D251" i="5" l="1"/>
  <c r="B252" i="5"/>
  <c r="C251" i="5"/>
  <c r="C34" i="3"/>
  <c r="B34" i="3"/>
  <c r="A35" i="3"/>
  <c r="D32" i="2"/>
  <c r="E32" i="2"/>
  <c r="C32" i="2"/>
  <c r="B39" i="1"/>
  <c r="F38" i="1"/>
  <c r="H38" i="1" s="1"/>
  <c r="C39" i="1"/>
  <c r="D38" i="1"/>
  <c r="E38" i="1"/>
  <c r="D252" i="5" l="1"/>
  <c r="B253" i="5"/>
  <c r="C252" i="5"/>
  <c r="C35" i="3"/>
  <c r="A36" i="3"/>
  <c r="B35" i="3"/>
  <c r="D33" i="2"/>
  <c r="E33" i="2"/>
  <c r="C33" i="2"/>
  <c r="B40" i="1"/>
  <c r="F39" i="1"/>
  <c r="H39" i="1" s="1"/>
  <c r="C40" i="1"/>
  <c r="E39" i="1"/>
  <c r="D39" i="1"/>
  <c r="D253" i="5" l="1"/>
  <c r="B254" i="5"/>
  <c r="C253" i="5"/>
  <c r="B36" i="3"/>
  <c r="A37" i="3"/>
  <c r="C36" i="3"/>
  <c r="D34" i="2"/>
  <c r="E34" i="2"/>
  <c r="C34" i="2"/>
  <c r="B41" i="1"/>
  <c r="F40" i="1"/>
  <c r="H40" i="1" s="1"/>
  <c r="C41" i="1"/>
  <c r="E40" i="1"/>
  <c r="D40" i="1"/>
  <c r="D254" i="5" l="1"/>
  <c r="C254" i="5"/>
  <c r="B255" i="5"/>
  <c r="B37" i="3"/>
  <c r="A38" i="3"/>
  <c r="C37" i="3"/>
  <c r="D35" i="2"/>
  <c r="E35" i="2"/>
  <c r="C35" i="2"/>
  <c r="B42" i="1"/>
  <c r="F41" i="1"/>
  <c r="H41" i="1" s="1"/>
  <c r="C42" i="1"/>
  <c r="E41" i="1"/>
  <c r="D41" i="1"/>
  <c r="D255" i="5" l="1"/>
  <c r="B256" i="5"/>
  <c r="C255" i="5"/>
  <c r="B38" i="3"/>
  <c r="C38" i="3"/>
  <c r="A39" i="3"/>
  <c r="D36" i="2"/>
  <c r="E36" i="2"/>
  <c r="C36" i="2"/>
  <c r="B43" i="1"/>
  <c r="F42" i="1"/>
  <c r="H42" i="1" s="1"/>
  <c r="C43" i="1"/>
  <c r="E42" i="1"/>
  <c r="D42" i="1"/>
  <c r="D256" i="5" l="1"/>
  <c r="B257" i="5"/>
  <c r="C256" i="5"/>
  <c r="C39" i="3"/>
  <c r="B39" i="3"/>
  <c r="A40" i="3"/>
  <c r="D37" i="2"/>
  <c r="E37" i="2"/>
  <c r="C37" i="2"/>
  <c r="B44" i="1"/>
  <c r="F43" i="1"/>
  <c r="H43" i="1" s="1"/>
  <c r="E43" i="1"/>
  <c r="D43" i="1"/>
  <c r="C44" i="1"/>
  <c r="D257" i="5" l="1"/>
  <c r="C257" i="5"/>
  <c r="B258" i="5"/>
  <c r="C40" i="3"/>
  <c r="B40" i="3"/>
  <c r="A41" i="3"/>
  <c r="D38" i="2"/>
  <c r="E38" i="2"/>
  <c r="C38" i="2"/>
  <c r="B45" i="1"/>
  <c r="F44" i="1"/>
  <c r="H44" i="1" s="1"/>
  <c r="E44" i="1"/>
  <c r="D44" i="1"/>
  <c r="C45" i="1"/>
  <c r="D258" i="5" l="1"/>
  <c r="B259" i="5"/>
  <c r="C258" i="5"/>
  <c r="C41" i="3"/>
  <c r="A42" i="3"/>
  <c r="B41" i="3"/>
  <c r="D39" i="2"/>
  <c r="E39" i="2"/>
  <c r="C39" i="2"/>
  <c r="B46" i="1"/>
  <c r="F45" i="1"/>
  <c r="H45" i="1" s="1"/>
  <c r="E45" i="1"/>
  <c r="D45" i="1"/>
  <c r="C46" i="1"/>
  <c r="D259" i="5" l="1"/>
  <c r="B260" i="5"/>
  <c r="C259" i="5"/>
  <c r="C42" i="3"/>
  <c r="B42" i="3"/>
  <c r="A43" i="3"/>
  <c r="D40" i="2"/>
  <c r="E40" i="2"/>
  <c r="C40" i="2"/>
  <c r="B47" i="1"/>
  <c r="F46" i="1"/>
  <c r="H46" i="1" s="1"/>
  <c r="D46" i="1"/>
  <c r="E46" i="1"/>
  <c r="C47" i="1"/>
  <c r="D260" i="5" l="1"/>
  <c r="B261" i="5"/>
  <c r="C260" i="5"/>
  <c r="C43" i="3"/>
  <c r="B43" i="3"/>
  <c r="A44" i="3"/>
  <c r="D41" i="2"/>
  <c r="E41" i="2"/>
  <c r="C41" i="2"/>
  <c r="B48" i="1"/>
  <c r="F47" i="1"/>
  <c r="H47" i="1" s="1"/>
  <c r="E47" i="1"/>
  <c r="D47" i="1"/>
  <c r="C48" i="1"/>
  <c r="D261" i="5" l="1"/>
  <c r="B262" i="5"/>
  <c r="C261" i="5"/>
  <c r="C44" i="3"/>
  <c r="B44" i="3"/>
  <c r="A45" i="3"/>
  <c r="E42" i="2"/>
  <c r="D42" i="2"/>
  <c r="C42" i="2"/>
  <c r="B49" i="1"/>
  <c r="F48" i="1"/>
  <c r="H48" i="1" s="1"/>
  <c r="D48" i="1"/>
  <c r="E48" i="1"/>
  <c r="C49" i="1"/>
  <c r="D262" i="5" l="1"/>
  <c r="C262" i="5"/>
  <c r="B263" i="5"/>
  <c r="B45" i="3"/>
  <c r="C45" i="3"/>
  <c r="A46" i="3"/>
  <c r="D43" i="2"/>
  <c r="E43" i="2"/>
  <c r="C43" i="2"/>
  <c r="B50" i="1"/>
  <c r="F49" i="1"/>
  <c r="H49" i="1" s="1"/>
  <c r="C50" i="1"/>
  <c r="D49" i="1"/>
  <c r="E49" i="1"/>
  <c r="D263" i="5" l="1"/>
  <c r="B264" i="5"/>
  <c r="C263" i="5"/>
  <c r="C46" i="3"/>
  <c r="B46" i="3"/>
  <c r="A47" i="3"/>
  <c r="E44" i="2"/>
  <c r="D44" i="2"/>
  <c r="C44" i="2"/>
  <c r="B51" i="1"/>
  <c r="F50" i="1"/>
  <c r="H50" i="1" s="1"/>
  <c r="C51" i="1"/>
  <c r="D50" i="1"/>
  <c r="E50" i="1"/>
  <c r="D264" i="5" l="1"/>
  <c r="C264" i="5"/>
  <c r="B265" i="5"/>
  <c r="A48" i="3"/>
  <c r="B47" i="3"/>
  <c r="C47" i="3"/>
  <c r="D45" i="2"/>
  <c r="E45" i="2"/>
  <c r="C45" i="2"/>
  <c r="B52" i="1"/>
  <c r="F51" i="1"/>
  <c r="H51" i="1" s="1"/>
  <c r="C52" i="1"/>
  <c r="E51" i="1"/>
  <c r="D51" i="1"/>
  <c r="D265" i="5" l="1"/>
  <c r="B266" i="5"/>
  <c r="C265" i="5"/>
  <c r="C48" i="3"/>
  <c r="B48" i="3"/>
  <c r="A49" i="3"/>
  <c r="D46" i="2"/>
  <c r="E46" i="2"/>
  <c r="C46" i="2"/>
  <c r="B53" i="1"/>
  <c r="F52" i="1"/>
  <c r="H52" i="1" s="1"/>
  <c r="C53" i="1"/>
  <c r="E52" i="1"/>
  <c r="D52" i="1"/>
  <c r="D266" i="5" l="1"/>
  <c r="C266" i="5"/>
  <c r="B267" i="5"/>
  <c r="C49" i="3"/>
  <c r="B49" i="3"/>
  <c r="A50" i="3"/>
  <c r="D47" i="2"/>
  <c r="E47" i="2"/>
  <c r="C47" i="2"/>
  <c r="B54" i="1"/>
  <c r="F53" i="1"/>
  <c r="H53" i="1" s="1"/>
  <c r="D53" i="1"/>
  <c r="E53" i="1"/>
  <c r="C54" i="1"/>
  <c r="D267" i="5" l="1"/>
  <c r="C267" i="5"/>
  <c r="B268" i="5"/>
  <c r="C50" i="3"/>
  <c r="B50" i="3"/>
  <c r="A51" i="3"/>
  <c r="D48" i="2"/>
  <c r="E48" i="2"/>
  <c r="C48" i="2"/>
  <c r="B55" i="1"/>
  <c r="F54" i="1"/>
  <c r="H54" i="1" s="1"/>
  <c r="C55" i="1"/>
  <c r="E54" i="1"/>
  <c r="D54" i="1"/>
  <c r="D268" i="5" l="1"/>
  <c r="C268" i="5"/>
  <c r="B269" i="5"/>
  <c r="C51" i="3"/>
  <c r="A52" i="3"/>
  <c r="B51" i="3"/>
  <c r="D49" i="2"/>
  <c r="E49" i="2"/>
  <c r="C49" i="2"/>
  <c r="B56" i="1"/>
  <c r="F55" i="1"/>
  <c r="H55" i="1" s="1"/>
  <c r="C56" i="1"/>
  <c r="D55" i="1"/>
  <c r="E55" i="1"/>
  <c r="D269" i="5" l="1"/>
  <c r="B270" i="5"/>
  <c r="C269" i="5"/>
  <c r="C52" i="3"/>
  <c r="A53" i="3"/>
  <c r="B52" i="3"/>
  <c r="D50" i="2"/>
  <c r="E50" i="2"/>
  <c r="C50" i="2"/>
  <c r="B57" i="1"/>
  <c r="F56" i="1"/>
  <c r="H56" i="1" s="1"/>
  <c r="C57" i="1"/>
  <c r="D56" i="1"/>
  <c r="E56" i="1"/>
  <c r="D270" i="5" l="1"/>
  <c r="C270" i="5"/>
  <c r="B271" i="5"/>
  <c r="C53" i="3"/>
  <c r="B53" i="3"/>
  <c r="A54" i="3"/>
  <c r="D51" i="2"/>
  <c r="E51" i="2"/>
  <c r="C51" i="2"/>
  <c r="B58" i="1"/>
  <c r="F57" i="1"/>
  <c r="H57" i="1" s="1"/>
  <c r="C58" i="1"/>
  <c r="D57" i="1"/>
  <c r="E57" i="1"/>
  <c r="D271" i="5" l="1"/>
  <c r="B272" i="5"/>
  <c r="C271" i="5"/>
  <c r="C54" i="3"/>
  <c r="B54" i="3"/>
  <c r="A55" i="3"/>
  <c r="D52" i="2"/>
  <c r="E52" i="2"/>
  <c r="C52" i="2"/>
  <c r="B59" i="1"/>
  <c r="F58" i="1"/>
  <c r="H58" i="1" s="1"/>
  <c r="D58" i="1"/>
  <c r="E58" i="1"/>
  <c r="C59" i="1"/>
  <c r="D272" i="5" l="1"/>
  <c r="C272" i="5"/>
  <c r="B273" i="5"/>
  <c r="B55" i="3"/>
  <c r="C55" i="3"/>
  <c r="A56" i="3"/>
  <c r="D53" i="2"/>
  <c r="E53" i="2"/>
  <c r="C53" i="2"/>
  <c r="B60" i="1"/>
  <c r="F59" i="1"/>
  <c r="H59" i="1" s="1"/>
  <c r="C60" i="1"/>
  <c r="E59" i="1"/>
  <c r="D59" i="1"/>
  <c r="D273" i="5" l="1"/>
  <c r="C273" i="5"/>
  <c r="B274" i="5"/>
  <c r="B56" i="3"/>
  <c r="C56" i="3"/>
  <c r="A57" i="3"/>
  <c r="D54" i="2"/>
  <c r="E54" i="2"/>
  <c r="C54" i="2"/>
  <c r="B61" i="1"/>
  <c r="C61" i="1" s="1"/>
  <c r="F60" i="1"/>
  <c r="H60" i="1" s="1"/>
  <c r="D60" i="1"/>
  <c r="E60" i="1"/>
  <c r="D274" i="5" l="1"/>
  <c r="C274" i="5"/>
  <c r="B275" i="5"/>
  <c r="C57" i="3"/>
  <c r="B57" i="3"/>
  <c r="A58" i="3"/>
  <c r="D55" i="2"/>
  <c r="E55" i="2"/>
  <c r="C55" i="2"/>
  <c r="B62" i="1"/>
  <c r="F61" i="1"/>
  <c r="H61" i="1" s="1"/>
  <c r="C62" i="1"/>
  <c r="D61" i="1"/>
  <c r="E61" i="1"/>
  <c r="D275" i="5" l="1"/>
  <c r="C275" i="5"/>
  <c r="B276" i="5"/>
  <c r="C58" i="3"/>
  <c r="B58" i="3"/>
  <c r="A59" i="3"/>
  <c r="D56" i="2"/>
  <c r="E56" i="2"/>
  <c r="C56" i="2"/>
  <c r="B63" i="1"/>
  <c r="F62" i="1"/>
  <c r="H62" i="1" s="1"/>
  <c r="C63" i="1"/>
  <c r="D62" i="1"/>
  <c r="E62" i="1"/>
  <c r="D276" i="5" l="1"/>
  <c r="B277" i="5"/>
  <c r="C276" i="5"/>
  <c r="C59" i="3"/>
  <c r="A60" i="3"/>
  <c r="B59" i="3"/>
  <c r="D57" i="2"/>
  <c r="E57" i="2"/>
  <c r="C57" i="2"/>
  <c r="B64" i="1"/>
  <c r="F63" i="1"/>
  <c r="H63" i="1" s="1"/>
  <c r="E63" i="1"/>
  <c r="D63" i="1"/>
  <c r="C64" i="1"/>
  <c r="D277" i="5" l="1"/>
  <c r="B278" i="5"/>
  <c r="C277" i="5"/>
  <c r="C60" i="3"/>
  <c r="B60" i="3"/>
  <c r="A61" i="3"/>
  <c r="D58" i="2"/>
  <c r="E58" i="2"/>
  <c r="C58" i="2"/>
  <c r="B65" i="1"/>
  <c r="F64" i="1"/>
  <c r="H64" i="1" s="1"/>
  <c r="D64" i="1"/>
  <c r="E64" i="1"/>
  <c r="D65" i="1"/>
  <c r="E65" i="1"/>
  <c r="C65" i="1"/>
  <c r="D278" i="5" l="1"/>
  <c r="B279" i="5"/>
  <c r="C278" i="5"/>
  <c r="C61" i="3"/>
  <c r="A62" i="3"/>
  <c r="B61" i="3"/>
  <c r="D59" i="2"/>
  <c r="E59" i="2"/>
  <c r="C59" i="2"/>
  <c r="B66" i="1"/>
  <c r="F65" i="1"/>
  <c r="H65" i="1" s="1"/>
  <c r="E66" i="1"/>
  <c r="D66" i="1"/>
  <c r="C66" i="1"/>
  <c r="D279" i="5" l="1"/>
  <c r="B280" i="5"/>
  <c r="C279" i="5"/>
  <c r="C62" i="3"/>
  <c r="B62" i="3"/>
  <c r="A63" i="3"/>
  <c r="D60" i="2"/>
  <c r="E60" i="2"/>
  <c r="C60" i="2"/>
  <c r="B67" i="1"/>
  <c r="F66" i="1"/>
  <c r="H66" i="1" s="1"/>
  <c r="D67" i="1"/>
  <c r="E67" i="1"/>
  <c r="C67" i="1"/>
  <c r="D280" i="5" l="1"/>
  <c r="C280" i="5"/>
  <c r="B281" i="5"/>
  <c r="C63" i="3"/>
  <c r="A64" i="3"/>
  <c r="B63" i="3"/>
  <c r="D61" i="2"/>
  <c r="E61" i="2"/>
  <c r="C61" i="2"/>
  <c r="B68" i="1"/>
  <c r="F67" i="1"/>
  <c r="H67" i="1" s="1"/>
  <c r="D68" i="1"/>
  <c r="E68" i="1"/>
  <c r="C68" i="1"/>
  <c r="D281" i="5" l="1"/>
  <c r="B282" i="5"/>
  <c r="C281" i="5"/>
  <c r="C64" i="3"/>
  <c r="A65" i="3"/>
  <c r="B64" i="3"/>
  <c r="D62" i="2"/>
  <c r="E62" i="2"/>
  <c r="C62" i="2"/>
  <c r="B69" i="1"/>
  <c r="F68" i="1"/>
  <c r="H68" i="1" s="1"/>
  <c r="D69" i="1"/>
  <c r="E69" i="1"/>
  <c r="C69" i="1"/>
  <c r="D282" i="5" l="1"/>
  <c r="B283" i="5"/>
  <c r="C282" i="5"/>
  <c r="C65" i="3"/>
  <c r="A66" i="3"/>
  <c r="B65" i="3"/>
  <c r="D63" i="2"/>
  <c r="E63" i="2"/>
  <c r="C63" i="2"/>
  <c r="B70" i="1"/>
  <c r="F69" i="1"/>
  <c r="H69" i="1" s="1"/>
  <c r="E70" i="1"/>
  <c r="D70" i="1"/>
  <c r="C70" i="1"/>
  <c r="D283" i="5" l="1"/>
  <c r="B284" i="5"/>
  <c r="C283" i="5"/>
  <c r="C66" i="3"/>
  <c r="B66" i="3"/>
  <c r="A67" i="3"/>
  <c r="E64" i="2"/>
  <c r="D64" i="2"/>
  <c r="C64" i="2"/>
  <c r="B71" i="1"/>
  <c r="F70" i="1"/>
  <c r="H70" i="1" s="1"/>
  <c r="D71" i="1"/>
  <c r="E71" i="1"/>
  <c r="C71" i="1"/>
  <c r="D284" i="5" l="1"/>
  <c r="B285" i="5"/>
  <c r="C284" i="5"/>
  <c r="C67" i="3"/>
  <c r="A68" i="3"/>
  <c r="B67" i="3"/>
  <c r="D65" i="2"/>
  <c r="E65" i="2"/>
  <c r="C65" i="2"/>
  <c r="B72" i="1"/>
  <c r="F71" i="1"/>
  <c r="H71" i="1" s="1"/>
  <c r="E72" i="1"/>
  <c r="D72" i="1"/>
  <c r="C72" i="1"/>
  <c r="D285" i="5" l="1"/>
  <c r="C285" i="5"/>
  <c r="B286" i="5"/>
  <c r="B68" i="3"/>
  <c r="A69" i="3"/>
  <c r="C68" i="3"/>
  <c r="E66" i="2"/>
  <c r="D66" i="2"/>
  <c r="C66" i="2"/>
  <c r="B73" i="1"/>
  <c r="F72" i="1"/>
  <c r="H72" i="1" s="1"/>
  <c r="D73" i="1"/>
  <c r="E73" i="1"/>
  <c r="C73" i="1"/>
  <c r="D286" i="5" l="1"/>
  <c r="B287" i="5"/>
  <c r="C286" i="5"/>
  <c r="B69" i="3"/>
  <c r="C69" i="3"/>
  <c r="A70" i="3"/>
  <c r="D67" i="2"/>
  <c r="E67" i="2"/>
  <c r="C67" i="2"/>
  <c r="B74" i="1"/>
  <c r="F73" i="1"/>
  <c r="H73" i="1" s="1"/>
  <c r="D74" i="1"/>
  <c r="E74" i="1"/>
  <c r="C74" i="1"/>
  <c r="D287" i="5" l="1"/>
  <c r="C287" i="5"/>
  <c r="B288" i="5"/>
  <c r="C70" i="3"/>
  <c r="B70" i="3"/>
  <c r="A71" i="3"/>
  <c r="D68" i="2"/>
  <c r="E68" i="2"/>
  <c r="C68" i="2"/>
  <c r="B75" i="1"/>
  <c r="F74" i="1"/>
  <c r="H74" i="1" s="1"/>
  <c r="E75" i="1"/>
  <c r="D75" i="1"/>
  <c r="C75" i="1"/>
  <c r="D288" i="5" l="1"/>
  <c r="B289" i="5"/>
  <c r="C288" i="5"/>
  <c r="C71" i="3"/>
  <c r="A72" i="3"/>
  <c r="B71" i="3"/>
  <c r="D69" i="2"/>
  <c r="E69" i="2"/>
  <c r="C69" i="2"/>
  <c r="B76" i="1"/>
  <c r="F75" i="1"/>
  <c r="H75" i="1" s="1"/>
  <c r="D76" i="1"/>
  <c r="E76" i="1"/>
  <c r="C76" i="1"/>
  <c r="D289" i="5" l="1"/>
  <c r="B290" i="5"/>
  <c r="C289" i="5"/>
  <c r="C72" i="3"/>
  <c r="A73" i="3"/>
  <c r="B72" i="3"/>
  <c r="D70" i="2"/>
  <c r="E70" i="2"/>
  <c r="C70" i="2"/>
  <c r="B77" i="1"/>
  <c r="F76" i="1"/>
  <c r="H76" i="1" s="1"/>
  <c r="D77" i="1"/>
  <c r="E77" i="1"/>
  <c r="C77" i="1"/>
  <c r="D290" i="5" l="1"/>
  <c r="C290" i="5"/>
  <c r="B291" i="5"/>
  <c r="C73" i="3"/>
  <c r="B73" i="3"/>
  <c r="A74" i="3"/>
  <c r="D71" i="2"/>
  <c r="E71" i="2"/>
  <c r="C71" i="2"/>
  <c r="B78" i="1"/>
  <c r="F77" i="1"/>
  <c r="H77" i="1" s="1"/>
  <c r="E78" i="1"/>
  <c r="D78" i="1"/>
  <c r="C78" i="1"/>
  <c r="D291" i="5" l="1"/>
  <c r="B292" i="5"/>
  <c r="C291" i="5"/>
  <c r="C74" i="3"/>
  <c r="A75" i="3"/>
  <c r="B74" i="3"/>
  <c r="D72" i="2"/>
  <c r="E72" i="2"/>
  <c r="C72" i="2"/>
  <c r="B79" i="1"/>
  <c r="F78" i="1"/>
  <c r="H78" i="1" s="1"/>
  <c r="E79" i="1"/>
  <c r="D79" i="1"/>
  <c r="C79" i="1"/>
  <c r="D292" i="5" l="1"/>
  <c r="B293" i="5"/>
  <c r="C292" i="5"/>
  <c r="C75" i="3"/>
  <c r="B75" i="3"/>
  <c r="A76" i="3"/>
  <c r="D73" i="2"/>
  <c r="E73" i="2"/>
  <c r="C73" i="2"/>
  <c r="B80" i="1"/>
  <c r="F79" i="1"/>
  <c r="H79" i="1" s="1"/>
  <c r="E80" i="1"/>
  <c r="D80" i="1"/>
  <c r="C80" i="1"/>
  <c r="D293" i="5" l="1"/>
  <c r="C293" i="5"/>
  <c r="B294" i="5"/>
  <c r="C76" i="3"/>
  <c r="B76" i="3"/>
  <c r="A77" i="3"/>
  <c r="D74" i="2"/>
  <c r="E74" i="2"/>
  <c r="C74" i="2"/>
  <c r="B81" i="1"/>
  <c r="F80" i="1"/>
  <c r="H80" i="1" s="1"/>
  <c r="E81" i="1"/>
  <c r="D81" i="1"/>
  <c r="C81" i="1"/>
  <c r="D294" i="5" l="1"/>
  <c r="C294" i="5"/>
  <c r="B295" i="5"/>
  <c r="C77" i="3"/>
  <c r="A78" i="3"/>
  <c r="B77" i="3"/>
  <c r="D75" i="2"/>
  <c r="E75" i="2"/>
  <c r="C75" i="2"/>
  <c r="B82" i="1"/>
  <c r="F81" i="1"/>
  <c r="H81" i="1" s="1"/>
  <c r="E82" i="1"/>
  <c r="D82" i="1"/>
  <c r="C82" i="1"/>
  <c r="D295" i="5" l="1"/>
  <c r="C295" i="5"/>
  <c r="B296" i="5"/>
  <c r="C78" i="3"/>
  <c r="B78" i="3"/>
  <c r="A79" i="3"/>
  <c r="E76" i="2"/>
  <c r="D76" i="2"/>
  <c r="C76" i="2"/>
  <c r="B83" i="1"/>
  <c r="F82" i="1"/>
  <c r="H82" i="1" s="1"/>
  <c r="D83" i="1"/>
  <c r="E83" i="1"/>
  <c r="C83" i="1"/>
  <c r="D296" i="5" l="1"/>
  <c r="C296" i="5"/>
  <c r="B297" i="5"/>
  <c r="C79" i="3"/>
  <c r="B79" i="3"/>
  <c r="A80" i="3"/>
  <c r="D77" i="2"/>
  <c r="E77" i="2"/>
  <c r="C77" i="2"/>
  <c r="B84" i="1"/>
  <c r="F83" i="1"/>
  <c r="H83" i="1" s="1"/>
  <c r="E84" i="1"/>
  <c r="D84" i="1"/>
  <c r="C84" i="1"/>
  <c r="D297" i="5" l="1"/>
  <c r="C297" i="5"/>
  <c r="B298" i="5"/>
  <c r="C80" i="3"/>
  <c r="B80" i="3"/>
  <c r="A81" i="3"/>
  <c r="E78" i="2"/>
  <c r="D78" i="2"/>
  <c r="C78" i="2"/>
  <c r="B85" i="1"/>
  <c r="F84" i="1"/>
  <c r="H84" i="1" s="1"/>
  <c r="D85" i="1"/>
  <c r="E85" i="1"/>
  <c r="C85" i="1"/>
  <c r="D298" i="5" l="1"/>
  <c r="C298" i="5"/>
  <c r="B299" i="5"/>
  <c r="C81" i="3"/>
  <c r="B81" i="3"/>
  <c r="A82" i="3"/>
  <c r="D79" i="2"/>
  <c r="E79" i="2"/>
  <c r="C79" i="2"/>
  <c r="B86" i="1"/>
  <c r="F85" i="1"/>
  <c r="H85" i="1" s="1"/>
  <c r="E86" i="1"/>
  <c r="D86" i="1"/>
  <c r="C86" i="1"/>
  <c r="D299" i="5" l="1"/>
  <c r="B300" i="5"/>
  <c r="C299" i="5"/>
  <c r="C82" i="3"/>
  <c r="B82" i="3"/>
  <c r="A83" i="3"/>
  <c r="D80" i="2"/>
  <c r="E80" i="2"/>
  <c r="C80" i="2"/>
  <c r="B87" i="1"/>
  <c r="F86" i="1"/>
  <c r="H86" i="1" s="1"/>
  <c r="E87" i="1"/>
  <c r="D87" i="1"/>
  <c r="C87" i="1"/>
  <c r="D300" i="5" l="1"/>
  <c r="B301" i="5"/>
  <c r="C300" i="5"/>
  <c r="C83" i="3"/>
  <c r="A84" i="3"/>
  <c r="B83" i="3"/>
  <c r="E81" i="2"/>
  <c r="D81" i="2"/>
  <c r="C81" i="2"/>
  <c r="B88" i="1"/>
  <c r="F87" i="1"/>
  <c r="H87" i="1" s="1"/>
  <c r="E88" i="1"/>
  <c r="D88" i="1"/>
  <c r="C88" i="1"/>
  <c r="D301" i="5" l="1"/>
  <c r="B302" i="5"/>
  <c r="C301" i="5"/>
  <c r="C84" i="3"/>
  <c r="B84" i="3"/>
  <c r="A85" i="3"/>
  <c r="D82" i="2"/>
  <c r="E82" i="2"/>
  <c r="C82" i="2"/>
  <c r="B89" i="1"/>
  <c r="F88" i="1"/>
  <c r="H88" i="1" s="1"/>
  <c r="D89" i="1"/>
  <c r="E89" i="1"/>
  <c r="C89" i="1"/>
  <c r="D302" i="5" l="1"/>
  <c r="B303" i="5"/>
  <c r="C302" i="5"/>
  <c r="C85" i="3"/>
  <c r="B85" i="3"/>
  <c r="A86" i="3"/>
  <c r="D83" i="2"/>
  <c r="E83" i="2"/>
  <c r="C83" i="2"/>
  <c r="B90" i="1"/>
  <c r="F89" i="1"/>
  <c r="H89" i="1" s="1"/>
  <c r="D90" i="1"/>
  <c r="E90" i="1"/>
  <c r="C90" i="1"/>
  <c r="D303" i="5" l="1"/>
  <c r="C303" i="5"/>
  <c r="B304" i="5"/>
  <c r="C86" i="3"/>
  <c r="B86" i="3"/>
  <c r="A87" i="3"/>
  <c r="D84" i="2"/>
  <c r="E84" i="2"/>
  <c r="C84" i="2"/>
  <c r="B91" i="1"/>
  <c r="F90" i="1"/>
  <c r="H90" i="1" s="1"/>
  <c r="C91" i="1"/>
  <c r="D304" i="5" l="1"/>
  <c r="C304" i="5"/>
  <c r="B305" i="5"/>
  <c r="C87" i="3"/>
  <c r="A88" i="3"/>
  <c r="B87" i="3"/>
  <c r="D85" i="2"/>
  <c r="E85" i="2"/>
  <c r="C85" i="2"/>
  <c r="B92" i="1"/>
  <c r="E92" i="1" s="1"/>
  <c r="F91" i="1"/>
  <c r="H91" i="1" s="1"/>
  <c r="D91" i="1"/>
  <c r="E91" i="1"/>
  <c r="C92" i="1"/>
  <c r="D305" i="5" l="1"/>
  <c r="B306" i="5"/>
  <c r="C305" i="5"/>
  <c r="C88" i="3"/>
  <c r="A89" i="3"/>
  <c r="B88" i="3"/>
  <c r="D86" i="2"/>
  <c r="E86" i="2"/>
  <c r="C86" i="2"/>
  <c r="D92" i="1"/>
  <c r="B93" i="1"/>
  <c r="F92" i="1"/>
  <c r="H92" i="1" s="1"/>
  <c r="E93" i="1"/>
  <c r="D93" i="1"/>
  <c r="C93" i="1"/>
  <c r="D306" i="5" l="1"/>
  <c r="C306" i="5"/>
  <c r="B307" i="5"/>
  <c r="C89" i="3"/>
  <c r="B89" i="3"/>
  <c r="A90" i="3"/>
  <c r="D87" i="2"/>
  <c r="E87" i="2"/>
  <c r="C87" i="2"/>
  <c r="B94" i="1"/>
  <c r="E94" i="1" s="1"/>
  <c r="F93" i="1"/>
  <c r="H93" i="1" s="1"/>
  <c r="C94" i="1"/>
  <c r="D307" i="5" l="1"/>
  <c r="C307" i="5"/>
  <c r="B308" i="5"/>
  <c r="C90" i="3"/>
  <c r="A91" i="3"/>
  <c r="B90" i="3"/>
  <c r="D88" i="2"/>
  <c r="E88" i="2"/>
  <c r="C88" i="2"/>
  <c r="D94" i="1"/>
  <c r="B95" i="1"/>
  <c r="F94" i="1"/>
  <c r="H94" i="1" s="1"/>
  <c r="D95" i="1"/>
  <c r="E95" i="1"/>
  <c r="C95" i="1"/>
  <c r="D308" i="5" l="1"/>
  <c r="C308" i="5"/>
  <c r="B309" i="5"/>
  <c r="C91" i="3"/>
  <c r="B91" i="3"/>
  <c r="A92" i="3"/>
  <c r="D89" i="2"/>
  <c r="E89" i="2"/>
  <c r="C89" i="2"/>
  <c r="B96" i="1"/>
  <c r="E96" i="1" s="1"/>
  <c r="F95" i="1"/>
  <c r="H95" i="1" s="1"/>
  <c r="C96" i="1"/>
  <c r="D309" i="5" l="1"/>
  <c r="C309" i="5"/>
  <c r="B310" i="5"/>
  <c r="C92" i="3"/>
  <c r="A93" i="3"/>
  <c r="B92" i="3"/>
  <c r="D90" i="2"/>
  <c r="E90" i="2"/>
  <c r="C90" i="2"/>
  <c r="D96" i="1"/>
  <c r="B97" i="1"/>
  <c r="F96" i="1"/>
  <c r="H96" i="1" s="1"/>
  <c r="D97" i="1"/>
  <c r="E97" i="1"/>
  <c r="C97" i="1"/>
  <c r="D310" i="5" l="1"/>
  <c r="B311" i="5"/>
  <c r="C310" i="5"/>
  <c r="C93" i="3"/>
  <c r="B93" i="3"/>
  <c r="A94" i="3"/>
  <c r="D91" i="2"/>
  <c r="E91" i="2"/>
  <c r="C91" i="2"/>
  <c r="B98" i="1"/>
  <c r="D98" i="1" s="1"/>
  <c r="F97" i="1"/>
  <c r="H97" i="1" s="1"/>
  <c r="C98" i="1"/>
  <c r="D311" i="5" l="1"/>
  <c r="B312" i="5"/>
  <c r="C311" i="5"/>
  <c r="C94" i="3"/>
  <c r="A95" i="3"/>
  <c r="B94" i="3"/>
  <c r="D92" i="2"/>
  <c r="E92" i="2"/>
  <c r="C92" i="2"/>
  <c r="E98" i="1"/>
  <c r="B99" i="1"/>
  <c r="F98" i="1"/>
  <c r="H98" i="1" s="1"/>
  <c r="E99" i="1"/>
  <c r="D99" i="1"/>
  <c r="C99" i="1"/>
  <c r="D312" i="5" l="1"/>
  <c r="C312" i="5"/>
  <c r="B313" i="5"/>
  <c r="C95" i="3"/>
  <c r="A96" i="3"/>
  <c r="B95" i="3"/>
  <c r="D93" i="2"/>
  <c r="E93" i="2"/>
  <c r="C93" i="2"/>
  <c r="B100" i="1"/>
  <c r="F99" i="1"/>
  <c r="H99" i="1" s="1"/>
  <c r="D100" i="1"/>
  <c r="E100" i="1"/>
  <c r="C100" i="1"/>
  <c r="D313" i="5" l="1"/>
  <c r="B314" i="5"/>
  <c r="C313" i="5"/>
  <c r="C96" i="3"/>
  <c r="A97" i="3"/>
  <c r="B96" i="3"/>
  <c r="D94" i="2"/>
  <c r="E94" i="2"/>
  <c r="C94" i="2"/>
  <c r="B101" i="1"/>
  <c r="F100" i="1"/>
  <c r="H100" i="1" s="1"/>
  <c r="D101" i="1"/>
  <c r="E101" i="1"/>
  <c r="C101" i="1"/>
  <c r="D314" i="5" l="1"/>
  <c r="C314" i="5"/>
  <c r="B315" i="5"/>
  <c r="C97" i="3"/>
  <c r="A98" i="3"/>
  <c r="B97" i="3"/>
  <c r="D95" i="2"/>
  <c r="E95" i="2"/>
  <c r="C95" i="2"/>
  <c r="B102" i="1"/>
  <c r="F101" i="1"/>
  <c r="H101" i="1" s="1"/>
  <c r="E102" i="1"/>
  <c r="D102" i="1"/>
  <c r="C102" i="1"/>
  <c r="D315" i="5" l="1"/>
  <c r="C315" i="5"/>
  <c r="B316" i="5"/>
  <c r="C98" i="3"/>
  <c r="A99" i="3"/>
  <c r="B98" i="3"/>
  <c r="D96" i="2"/>
  <c r="E96" i="2"/>
  <c r="C96" i="2"/>
  <c r="B103" i="1"/>
  <c r="F102" i="1"/>
  <c r="H102" i="1" s="1"/>
  <c r="E103" i="1"/>
  <c r="D103" i="1"/>
  <c r="C103" i="1"/>
  <c r="D316" i="5" l="1"/>
  <c r="C316" i="5"/>
  <c r="B317" i="5"/>
  <c r="C99" i="3"/>
  <c r="A100" i="3"/>
  <c r="B99" i="3"/>
  <c r="D97" i="2"/>
  <c r="E97" i="2"/>
  <c r="C97" i="2"/>
  <c r="B104" i="1"/>
  <c r="F103" i="1"/>
  <c r="H103" i="1" s="1"/>
  <c r="D104" i="1"/>
  <c r="E104" i="1"/>
  <c r="C104" i="1"/>
  <c r="D317" i="5" l="1"/>
  <c r="C317" i="5"/>
  <c r="B318" i="5"/>
  <c r="C100" i="3"/>
  <c r="B100" i="3"/>
  <c r="A101" i="3"/>
  <c r="D98" i="2"/>
  <c r="E98" i="2"/>
  <c r="C98" i="2"/>
  <c r="B105" i="1"/>
  <c r="F104" i="1"/>
  <c r="H104" i="1" s="1"/>
  <c r="D105" i="1"/>
  <c r="E105" i="1"/>
  <c r="C105" i="1"/>
  <c r="D318" i="5" l="1"/>
  <c r="C318" i="5"/>
  <c r="B319" i="5"/>
  <c r="C101" i="3"/>
  <c r="A102" i="3"/>
  <c r="B101" i="3"/>
  <c r="D99" i="2"/>
  <c r="E99" i="2"/>
  <c r="C99" i="2"/>
  <c r="B106" i="1"/>
  <c r="F105" i="1"/>
  <c r="H105" i="1" s="1"/>
  <c r="D319" i="5" l="1"/>
  <c r="C319" i="5"/>
  <c r="B320" i="5"/>
  <c r="C102" i="3"/>
  <c r="B102" i="3"/>
  <c r="A103" i="3"/>
  <c r="D100" i="2"/>
  <c r="E100" i="2"/>
  <c r="C100" i="2"/>
  <c r="B107" i="1"/>
  <c r="D107" i="1" s="1"/>
  <c r="F106" i="1"/>
  <c r="H106" i="1" s="1"/>
  <c r="E106" i="1"/>
  <c r="C106" i="1"/>
  <c r="D106" i="1"/>
  <c r="D320" i="5" l="1"/>
  <c r="B321" i="5"/>
  <c r="C320" i="5"/>
  <c r="C103" i="3"/>
  <c r="A104" i="3"/>
  <c r="B103" i="3"/>
  <c r="D101" i="2"/>
  <c r="E101" i="2"/>
  <c r="C101" i="2"/>
  <c r="E107" i="1"/>
  <c r="C107" i="1"/>
  <c r="B108" i="1"/>
  <c r="F107" i="1"/>
  <c r="H107" i="1" s="1"/>
  <c r="E108" i="1"/>
  <c r="D108" i="1"/>
  <c r="C108" i="1"/>
  <c r="D321" i="5" l="1"/>
  <c r="C321" i="5"/>
  <c r="B322" i="5"/>
  <c r="C104" i="3"/>
  <c r="A105" i="3"/>
  <c r="B104" i="3"/>
  <c r="D102" i="2"/>
  <c r="E102" i="2"/>
  <c r="C102" i="2"/>
  <c r="B109" i="1"/>
  <c r="D109" i="1" s="1"/>
  <c r="F108" i="1"/>
  <c r="H108" i="1" s="1"/>
  <c r="C109" i="1"/>
  <c r="D322" i="5" l="1"/>
  <c r="B323" i="5"/>
  <c r="C322" i="5"/>
  <c r="C105" i="3"/>
  <c r="B105" i="3"/>
  <c r="A106" i="3"/>
  <c r="D103" i="2"/>
  <c r="E103" i="2"/>
  <c r="C103" i="2"/>
  <c r="B110" i="1"/>
  <c r="F109" i="1"/>
  <c r="H109" i="1" s="1"/>
  <c r="E109" i="1"/>
  <c r="D323" i="5" l="1"/>
  <c r="C323" i="5"/>
  <c r="B324" i="5"/>
  <c r="C106" i="3"/>
  <c r="B106" i="3"/>
  <c r="A107" i="3"/>
  <c r="D104" i="2"/>
  <c r="E104" i="2"/>
  <c r="C104" i="2"/>
  <c r="B111" i="1"/>
  <c r="D111" i="1" s="1"/>
  <c r="F110" i="1"/>
  <c r="H110" i="1" s="1"/>
  <c r="C110" i="1"/>
  <c r="D110" i="1"/>
  <c r="E110" i="1"/>
  <c r="D324" i="5" l="1"/>
  <c r="C324" i="5"/>
  <c r="B325" i="5"/>
  <c r="C107" i="3"/>
  <c r="A108" i="3"/>
  <c r="B107" i="3"/>
  <c r="D105" i="2"/>
  <c r="E105" i="2"/>
  <c r="C105" i="2"/>
  <c r="B112" i="1"/>
  <c r="F111" i="1"/>
  <c r="H111" i="1" s="1"/>
  <c r="C111" i="1"/>
  <c r="E111" i="1"/>
  <c r="E112" i="1"/>
  <c r="D112" i="1"/>
  <c r="C112" i="1"/>
  <c r="D325" i="5" l="1"/>
  <c r="B326" i="5"/>
  <c r="C325" i="5"/>
  <c r="C108" i="3"/>
  <c r="A109" i="3"/>
  <c r="B108" i="3"/>
  <c r="E106" i="2"/>
  <c r="D106" i="2"/>
  <c r="C106" i="2"/>
  <c r="B113" i="1"/>
  <c r="F112" i="1"/>
  <c r="H112" i="1" s="1"/>
  <c r="D113" i="1"/>
  <c r="E113" i="1"/>
  <c r="C113" i="1"/>
  <c r="D326" i="5" l="1"/>
  <c r="C326" i="5"/>
  <c r="B327" i="5"/>
  <c r="C109" i="3"/>
  <c r="B109" i="3"/>
  <c r="A110" i="3"/>
  <c r="D107" i="2"/>
  <c r="E107" i="2"/>
  <c r="C107" i="2"/>
  <c r="B114" i="1"/>
  <c r="F113" i="1"/>
  <c r="H113" i="1" s="1"/>
  <c r="D114" i="1"/>
  <c r="E114" i="1"/>
  <c r="C114" i="1"/>
  <c r="D327" i="5" l="1"/>
  <c r="B328" i="5"/>
  <c r="C327" i="5"/>
  <c r="C110" i="3"/>
  <c r="B110" i="3"/>
  <c r="A111" i="3"/>
  <c r="D108" i="2"/>
  <c r="E108" i="2"/>
  <c r="C108" i="2"/>
  <c r="B115" i="1"/>
  <c r="F114" i="1"/>
  <c r="H114" i="1" s="1"/>
  <c r="D328" i="5" l="1"/>
  <c r="C328" i="5"/>
  <c r="B329" i="5"/>
  <c r="C111" i="3"/>
  <c r="B111" i="3"/>
  <c r="A112" i="3"/>
  <c r="D109" i="2"/>
  <c r="E109" i="2"/>
  <c r="C109" i="2"/>
  <c r="C115" i="1"/>
  <c r="F115" i="1"/>
  <c r="H115" i="1" s="1"/>
  <c r="B116" i="1"/>
  <c r="D115" i="1"/>
  <c r="E115" i="1"/>
  <c r="D329" i="5" l="1"/>
  <c r="C329" i="5"/>
  <c r="B330" i="5"/>
  <c r="C112" i="3"/>
  <c r="B112" i="3"/>
  <c r="A113" i="3"/>
  <c r="D110" i="2"/>
  <c r="E110" i="2"/>
  <c r="C110" i="2"/>
  <c r="E116" i="1"/>
  <c r="F116" i="1"/>
  <c r="H116" i="1" s="1"/>
  <c r="D116" i="1"/>
  <c r="C116" i="1"/>
  <c r="B117" i="1"/>
  <c r="D330" i="5" l="1"/>
  <c r="C330" i="5"/>
  <c r="B331" i="5"/>
  <c r="C113" i="3"/>
  <c r="B113" i="3"/>
  <c r="A114" i="3"/>
  <c r="D111" i="2"/>
  <c r="E111" i="2"/>
  <c r="C111" i="2"/>
  <c r="D117" i="1"/>
  <c r="F117" i="1"/>
  <c r="H117" i="1" s="1"/>
  <c r="E117" i="1"/>
  <c r="B118" i="1"/>
  <c r="C117" i="1"/>
  <c r="D331" i="5" l="1"/>
  <c r="B332" i="5"/>
  <c r="C331" i="5"/>
  <c r="C114" i="3"/>
  <c r="B114" i="3"/>
  <c r="A115" i="3"/>
  <c r="D112" i="2"/>
  <c r="E112" i="2"/>
  <c r="C112" i="2"/>
  <c r="F118" i="1"/>
  <c r="H118" i="1" s="1"/>
  <c r="C118" i="1"/>
  <c r="E118" i="1"/>
  <c r="B119" i="1"/>
  <c r="D118" i="1"/>
  <c r="D332" i="5" l="1"/>
  <c r="C332" i="5"/>
  <c r="B333" i="5"/>
  <c r="C115" i="3"/>
  <c r="B115" i="3"/>
  <c r="A116" i="3"/>
  <c r="D113" i="2"/>
  <c r="E113" i="2"/>
  <c r="C113" i="2"/>
  <c r="F119" i="1"/>
  <c r="H119" i="1" s="1"/>
  <c r="D119" i="1"/>
  <c r="B120" i="1"/>
  <c r="C119" i="1"/>
  <c r="E119" i="1"/>
  <c r="D333" i="5" l="1"/>
  <c r="B334" i="5"/>
  <c r="C333" i="5"/>
  <c r="C116" i="3"/>
  <c r="A117" i="3"/>
  <c r="B116" i="3"/>
  <c r="E114" i="2"/>
  <c r="D114" i="2"/>
  <c r="C114" i="2"/>
  <c r="F120" i="1"/>
  <c r="H120" i="1" s="1"/>
  <c r="D120" i="1"/>
  <c r="E120" i="1"/>
  <c r="B121" i="1"/>
  <c r="C120" i="1"/>
  <c r="D334" i="5" l="1"/>
  <c r="C334" i="5"/>
  <c r="B335" i="5"/>
  <c r="C117" i="3"/>
  <c r="B117" i="3"/>
  <c r="A118" i="3"/>
  <c r="D115" i="2"/>
  <c r="E115" i="2"/>
  <c r="C115" i="2"/>
  <c r="F121" i="1"/>
  <c r="H121" i="1" s="1"/>
  <c r="D121" i="1"/>
  <c r="E121" i="1"/>
  <c r="C121" i="1"/>
  <c r="B122" i="1"/>
  <c r="D335" i="5" l="1"/>
  <c r="B336" i="5"/>
  <c r="C335" i="5"/>
  <c r="C118" i="3"/>
  <c r="B118" i="3"/>
  <c r="A119" i="3"/>
  <c r="E116" i="2"/>
  <c r="D116" i="2"/>
  <c r="C116" i="2"/>
  <c r="F122" i="1"/>
  <c r="H122" i="1" s="1"/>
  <c r="C122" i="1"/>
  <c r="D122" i="1"/>
  <c r="B123" i="1"/>
  <c r="E122" i="1"/>
  <c r="D336" i="5" l="1"/>
  <c r="C336" i="5"/>
  <c r="B337" i="5"/>
  <c r="C119" i="3"/>
  <c r="A120" i="3"/>
  <c r="B119" i="3"/>
  <c r="E117" i="2"/>
  <c r="D117" i="2"/>
  <c r="C117" i="2"/>
  <c r="F123" i="1"/>
  <c r="H123" i="1" s="1"/>
  <c r="E123" i="1"/>
  <c r="B124" i="1"/>
  <c r="C123" i="1"/>
  <c r="D123" i="1"/>
  <c r="D337" i="5" l="1"/>
  <c r="B338" i="5"/>
  <c r="C337" i="5"/>
  <c r="C120" i="3"/>
  <c r="B120" i="3"/>
  <c r="A121" i="3"/>
  <c r="D118" i="2"/>
  <c r="E118" i="2"/>
  <c r="C118" i="2"/>
  <c r="B125" i="1"/>
  <c r="F124" i="1"/>
  <c r="H124" i="1" s="1"/>
  <c r="C124" i="1"/>
  <c r="D124" i="1"/>
  <c r="E124" i="1"/>
  <c r="D338" i="5" l="1"/>
  <c r="B339" i="5"/>
  <c r="C338" i="5"/>
  <c r="C121" i="3"/>
  <c r="A122" i="3"/>
  <c r="B121" i="3"/>
  <c r="D119" i="2"/>
  <c r="E119" i="2"/>
  <c r="C119" i="2"/>
  <c r="F125" i="1"/>
  <c r="H125" i="1" s="1"/>
  <c r="C125" i="1"/>
  <c r="B126" i="1"/>
  <c r="E125" i="1"/>
  <c r="D125" i="1"/>
  <c r="D339" i="5" l="1"/>
  <c r="B340" i="5"/>
  <c r="C339" i="5"/>
  <c r="C122" i="3"/>
  <c r="B122" i="3"/>
  <c r="A123" i="3"/>
  <c r="D120" i="2"/>
  <c r="E120" i="2"/>
  <c r="C120" i="2"/>
  <c r="F126" i="1"/>
  <c r="H126" i="1" s="1"/>
  <c r="C126" i="1"/>
  <c r="B127" i="1"/>
  <c r="E126" i="1"/>
  <c r="D126" i="1"/>
  <c r="D340" i="5" l="1"/>
  <c r="C340" i="5"/>
  <c r="B341" i="5"/>
  <c r="C123" i="3"/>
  <c r="A124" i="3"/>
  <c r="B123" i="3"/>
  <c r="D121" i="2"/>
  <c r="E121" i="2"/>
  <c r="C121" i="2"/>
  <c r="F127" i="1"/>
  <c r="H127" i="1" s="1"/>
  <c r="D127" i="1"/>
  <c r="E127" i="1"/>
  <c r="C127" i="1"/>
  <c r="B128" i="1"/>
  <c r="D341" i="5" l="1"/>
  <c r="C341" i="5"/>
  <c r="B342" i="5"/>
  <c r="C124" i="3"/>
  <c r="B124" i="3"/>
  <c r="A125" i="3"/>
  <c r="D122" i="2"/>
  <c r="E122" i="2"/>
  <c r="C122" i="2"/>
  <c r="F128" i="1"/>
  <c r="H128" i="1" s="1"/>
  <c r="B129" i="1"/>
  <c r="D128" i="1"/>
  <c r="C128" i="1"/>
  <c r="E128" i="1"/>
  <c r="D342" i="5" l="1"/>
  <c r="B343" i="5"/>
  <c r="C342" i="5"/>
  <c r="C125" i="3"/>
  <c r="A126" i="3"/>
  <c r="B125" i="3"/>
  <c r="D123" i="2"/>
  <c r="E123" i="2"/>
  <c r="C123" i="2"/>
  <c r="F129" i="1"/>
  <c r="H129" i="1" s="1"/>
  <c r="D129" i="1"/>
  <c r="B130" i="1"/>
  <c r="E129" i="1"/>
  <c r="C129" i="1"/>
  <c r="D343" i="5" l="1"/>
  <c r="C343" i="5"/>
  <c r="B344" i="5"/>
  <c r="C126" i="3"/>
  <c r="B126" i="3"/>
  <c r="A127" i="3"/>
  <c r="D124" i="2"/>
  <c r="E124" i="2"/>
  <c r="C124" i="2"/>
  <c r="F130" i="1"/>
  <c r="H130" i="1" s="1"/>
  <c r="B131" i="1"/>
  <c r="E130" i="1"/>
  <c r="C130" i="1"/>
  <c r="D130" i="1"/>
  <c r="D344" i="5" l="1"/>
  <c r="C344" i="5"/>
  <c r="B345" i="5"/>
  <c r="C127" i="3"/>
  <c r="A128" i="3"/>
  <c r="B127" i="3"/>
  <c r="D125" i="2"/>
  <c r="E125" i="2"/>
  <c r="C125" i="2"/>
  <c r="F131" i="1"/>
  <c r="H131" i="1" s="1"/>
  <c r="D131" i="1"/>
  <c r="B132" i="1"/>
  <c r="E131" i="1"/>
  <c r="C131" i="1"/>
  <c r="D345" i="5" l="1"/>
  <c r="C345" i="5"/>
  <c r="B346" i="5"/>
  <c r="C128" i="3"/>
  <c r="B128" i="3"/>
  <c r="A129" i="3"/>
  <c r="D126" i="2"/>
  <c r="E126" i="2"/>
  <c r="C126" i="2"/>
  <c r="F132" i="1"/>
  <c r="H132" i="1" s="1"/>
  <c r="D132" i="1"/>
  <c r="B133" i="1"/>
  <c r="C132" i="1"/>
  <c r="E132" i="1"/>
  <c r="D346" i="5" l="1"/>
  <c r="B347" i="5"/>
  <c r="C346" i="5"/>
  <c r="C129" i="3"/>
  <c r="A130" i="3"/>
  <c r="B129" i="3"/>
  <c r="D127" i="2"/>
  <c r="E127" i="2"/>
  <c r="C127" i="2"/>
  <c r="F133" i="1"/>
  <c r="H133" i="1" s="1"/>
  <c r="D133" i="1"/>
  <c r="B134" i="1"/>
  <c r="C133" i="1"/>
  <c r="E133" i="1"/>
  <c r="D347" i="5" l="1"/>
  <c r="C347" i="5"/>
  <c r="B348" i="5"/>
  <c r="C130" i="3"/>
  <c r="B130" i="3"/>
  <c r="A131" i="3"/>
  <c r="D128" i="2"/>
  <c r="E128" i="2"/>
  <c r="C128" i="2"/>
  <c r="F134" i="1"/>
  <c r="H134" i="1" s="1"/>
  <c r="D134" i="1"/>
  <c r="E134" i="1"/>
  <c r="B135" i="1"/>
  <c r="C134" i="1"/>
  <c r="D348" i="5" l="1"/>
  <c r="C348" i="5"/>
  <c r="B349" i="5"/>
  <c r="C131" i="3"/>
  <c r="A132" i="3"/>
  <c r="B131" i="3"/>
  <c r="D129" i="2"/>
  <c r="E129" i="2"/>
  <c r="C129" i="2"/>
  <c r="F135" i="1"/>
  <c r="H135" i="1" s="1"/>
  <c r="E135" i="1"/>
  <c r="D135" i="1"/>
  <c r="C135" i="1"/>
  <c r="B136" i="1"/>
  <c r="D349" i="5" l="1"/>
  <c r="B350" i="5"/>
  <c r="C349" i="5"/>
  <c r="C132" i="3"/>
  <c r="B132" i="3"/>
  <c r="A133" i="3"/>
  <c r="D130" i="2"/>
  <c r="E130" i="2"/>
  <c r="C130" i="2"/>
  <c r="F136" i="1"/>
  <c r="H136" i="1" s="1"/>
  <c r="B137" i="1"/>
  <c r="D136" i="1"/>
  <c r="C136" i="1"/>
  <c r="E136" i="1"/>
  <c r="D350" i="5" l="1"/>
  <c r="C350" i="5"/>
  <c r="B351" i="5"/>
  <c r="B133" i="3"/>
  <c r="A134" i="3"/>
  <c r="C133" i="3"/>
  <c r="E131" i="2"/>
  <c r="D131" i="2"/>
  <c r="C131" i="2"/>
  <c r="F137" i="1"/>
  <c r="H137" i="1" s="1"/>
  <c r="D137" i="1"/>
  <c r="E137" i="1"/>
  <c r="C137" i="1"/>
  <c r="B138" i="1"/>
  <c r="D351" i="5" l="1"/>
  <c r="B352" i="5"/>
  <c r="C351" i="5"/>
  <c r="B134" i="3"/>
  <c r="A135" i="3"/>
  <c r="C134" i="3"/>
  <c r="D132" i="2"/>
  <c r="E132" i="2"/>
  <c r="C132" i="2"/>
  <c r="F138" i="1"/>
  <c r="H138" i="1" s="1"/>
  <c r="D138" i="1"/>
  <c r="E138" i="1"/>
  <c r="C138" i="1"/>
  <c r="B139" i="1"/>
  <c r="D352" i="5" l="1"/>
  <c r="C352" i="5"/>
  <c r="B353" i="5"/>
  <c r="A136" i="3"/>
  <c r="B135" i="3"/>
  <c r="C135" i="3"/>
  <c r="D133" i="2"/>
  <c r="E133" i="2"/>
  <c r="C133" i="2"/>
  <c r="F139" i="1"/>
  <c r="H139" i="1" s="1"/>
  <c r="B140" i="1"/>
  <c r="D139" i="1"/>
  <c r="C139" i="1"/>
  <c r="E139" i="1"/>
  <c r="D353" i="5" l="1"/>
  <c r="B354" i="5"/>
  <c r="C353" i="5"/>
  <c r="C136" i="3"/>
  <c r="A137" i="3"/>
  <c r="B136" i="3"/>
  <c r="D134" i="2"/>
  <c r="E134" i="2"/>
  <c r="C134" i="2"/>
  <c r="F140" i="1"/>
  <c r="H140" i="1" s="1"/>
  <c r="B141" i="1"/>
  <c r="D140" i="1"/>
  <c r="C140" i="1"/>
  <c r="E140" i="1"/>
  <c r="D354" i="5" l="1"/>
  <c r="C354" i="5"/>
  <c r="B355" i="5"/>
  <c r="C137" i="3"/>
  <c r="B137" i="3"/>
  <c r="A138" i="3"/>
  <c r="D135" i="2"/>
  <c r="E135" i="2"/>
  <c r="C135" i="2"/>
  <c r="F141" i="1"/>
  <c r="H141" i="1" s="1"/>
  <c r="D141" i="1"/>
  <c r="B142" i="1"/>
  <c r="C141" i="1"/>
  <c r="E141" i="1"/>
  <c r="D355" i="5" l="1"/>
  <c r="C355" i="5"/>
  <c r="B356" i="5"/>
  <c r="C138" i="3"/>
  <c r="B138" i="3"/>
  <c r="A139" i="3"/>
  <c r="E136" i="2"/>
  <c r="D136" i="2"/>
  <c r="C136" i="2"/>
  <c r="F142" i="1"/>
  <c r="H142" i="1" s="1"/>
  <c r="D142" i="1"/>
  <c r="B143" i="1"/>
  <c r="C142" i="1"/>
  <c r="E142" i="1"/>
  <c r="D356" i="5" l="1"/>
  <c r="C356" i="5"/>
  <c r="B357" i="5"/>
  <c r="C139" i="3"/>
  <c r="B139" i="3"/>
  <c r="A140" i="3"/>
  <c r="D137" i="2"/>
  <c r="E137" i="2"/>
  <c r="C137" i="2"/>
  <c r="F143" i="1"/>
  <c r="H143" i="1" s="1"/>
  <c r="D143" i="1"/>
  <c r="E143" i="1"/>
  <c r="C143" i="1"/>
  <c r="B144" i="1"/>
  <c r="D357" i="5" l="1"/>
  <c r="B358" i="5"/>
  <c r="C357" i="5"/>
  <c r="C140" i="3"/>
  <c r="B140" i="3"/>
  <c r="A141" i="3"/>
  <c r="F144" i="1"/>
  <c r="H144" i="1" s="1"/>
  <c r="D144" i="1"/>
  <c r="C144" i="1"/>
  <c r="E144" i="1"/>
  <c r="D358" i="5" l="1"/>
  <c r="C358" i="5"/>
  <c r="B359" i="5"/>
  <c r="C141" i="3"/>
  <c r="A142" i="3"/>
  <c r="B141" i="3"/>
  <c r="D359" i="5" l="1"/>
  <c r="C359" i="5"/>
  <c r="B360" i="5"/>
  <c r="B142" i="3"/>
  <c r="C142" i="3"/>
  <c r="A143" i="3"/>
  <c r="D360" i="5" l="1"/>
  <c r="B361" i="5"/>
  <c r="C360" i="5"/>
  <c r="C143" i="3"/>
  <c r="B143" i="3"/>
  <c r="A144" i="3"/>
  <c r="D361" i="5" l="1"/>
  <c r="C361" i="5"/>
  <c r="B362" i="5"/>
  <c r="B144" i="3"/>
  <c r="C144" i="3"/>
  <c r="A145" i="3"/>
  <c r="D362" i="5" l="1"/>
  <c r="C362" i="5"/>
  <c r="B363" i="5"/>
  <c r="A146" i="3"/>
  <c r="B145" i="3"/>
  <c r="C145" i="3"/>
  <c r="D363" i="5" l="1"/>
  <c r="C363" i="5"/>
  <c r="B364" i="5"/>
  <c r="C146" i="3"/>
  <c r="B146" i="3"/>
  <c r="A147" i="3"/>
  <c r="D364" i="5" l="1"/>
  <c r="B365" i="5"/>
  <c r="C364" i="5"/>
  <c r="C147" i="3"/>
  <c r="B147" i="3"/>
  <c r="A148" i="3"/>
  <c r="D365" i="5" l="1"/>
  <c r="B366" i="5"/>
  <c r="C365" i="5"/>
  <c r="C148" i="3"/>
  <c r="A149" i="3"/>
  <c r="B148" i="3"/>
  <c r="D366" i="5" l="1"/>
  <c r="C366" i="5"/>
  <c r="B367" i="5"/>
  <c r="C149" i="3"/>
  <c r="B149" i="3"/>
  <c r="A150" i="3"/>
  <c r="D367" i="5" l="1"/>
  <c r="B368" i="5"/>
  <c r="C367" i="5"/>
  <c r="C150" i="3"/>
  <c r="B150" i="3"/>
  <c r="A151" i="3"/>
  <c r="D368" i="5" l="1"/>
  <c r="C368" i="5"/>
  <c r="B369" i="5"/>
  <c r="C151" i="3"/>
  <c r="A152" i="3"/>
  <c r="B151" i="3"/>
  <c r="D369" i="5" l="1"/>
  <c r="C369" i="5"/>
  <c r="B370" i="5"/>
  <c r="B152" i="3"/>
  <c r="C152" i="3"/>
  <c r="A153" i="3"/>
  <c r="D370" i="5" l="1"/>
  <c r="C370" i="5"/>
  <c r="B371" i="5"/>
  <c r="A154" i="3"/>
  <c r="C153" i="3"/>
  <c r="B153" i="3"/>
  <c r="D371" i="5" l="1"/>
  <c r="B372" i="5"/>
  <c r="C371" i="5"/>
  <c r="C154" i="3"/>
  <c r="B154" i="3"/>
  <c r="A155" i="3"/>
  <c r="D372" i="5" l="1"/>
  <c r="C372" i="5"/>
  <c r="B373" i="5"/>
  <c r="C155" i="3"/>
  <c r="B155" i="3"/>
  <c r="A156" i="3"/>
  <c r="D373" i="5" l="1"/>
  <c r="C373" i="5"/>
  <c r="B374" i="5"/>
  <c r="C156" i="3"/>
  <c r="B156" i="3"/>
  <c r="D374" i="5" l="1"/>
  <c r="B375" i="5"/>
  <c r="C374" i="5"/>
  <c r="D375" i="5" l="1"/>
  <c r="B376" i="5"/>
  <c r="C375" i="5"/>
  <c r="D376" i="5" l="1"/>
  <c r="B377" i="5"/>
  <c r="C376" i="5"/>
  <c r="D377" i="5" l="1"/>
  <c r="C377" i="5"/>
  <c r="B378" i="5"/>
  <c r="D378" i="5" l="1"/>
  <c r="B379" i="5"/>
  <c r="C378" i="5"/>
  <c r="D379" i="5" l="1"/>
  <c r="B380" i="5"/>
  <c r="C379" i="5"/>
  <c r="D380" i="5" l="1"/>
  <c r="C380" i="5"/>
  <c r="B381" i="5"/>
  <c r="D381" i="5" l="1"/>
  <c r="C381" i="5"/>
  <c r="B382" i="5"/>
  <c r="D382" i="5" l="1"/>
  <c r="B383" i="5"/>
  <c r="C382" i="5"/>
  <c r="D383" i="5" l="1"/>
  <c r="C383" i="5"/>
  <c r="B384" i="5"/>
  <c r="D384" i="5" l="1"/>
  <c r="B385" i="5"/>
  <c r="C384" i="5"/>
  <c r="D385" i="5" l="1"/>
  <c r="B386" i="5"/>
  <c r="C385" i="5"/>
  <c r="D386" i="5" l="1"/>
  <c r="C386" i="5"/>
  <c r="B387" i="5"/>
  <c r="D387" i="5" l="1"/>
  <c r="C387" i="5"/>
  <c r="B388" i="5"/>
  <c r="D388" i="5" l="1"/>
  <c r="B389" i="5"/>
  <c r="C388" i="5"/>
  <c r="D389" i="5" l="1"/>
  <c r="C389" i="5"/>
  <c r="B390" i="5"/>
  <c r="D390" i="5" l="1"/>
  <c r="B391" i="5"/>
  <c r="C390" i="5"/>
  <c r="D391" i="5" l="1"/>
  <c r="B392" i="5"/>
  <c r="C391" i="5"/>
  <c r="D392" i="5" l="1"/>
  <c r="B393" i="5"/>
  <c r="C392" i="5"/>
  <c r="D393" i="5" l="1"/>
  <c r="B394" i="5"/>
  <c r="C393" i="5"/>
  <c r="D394" i="5" l="1"/>
  <c r="C394" i="5"/>
  <c r="B395" i="5"/>
  <c r="D395" i="5" l="1"/>
  <c r="B396" i="5"/>
  <c r="C395" i="5"/>
  <c r="D396" i="5" l="1"/>
  <c r="B397" i="5"/>
  <c r="C396" i="5"/>
  <c r="D397" i="5" l="1"/>
  <c r="B398" i="5"/>
  <c r="C397" i="5"/>
  <c r="D398" i="5" l="1"/>
  <c r="C398" i="5"/>
  <c r="B399" i="5"/>
  <c r="D399" i="5" l="1"/>
  <c r="C399" i="5"/>
  <c r="B400" i="5"/>
  <c r="D400" i="5" l="1"/>
  <c r="C400" i="5"/>
  <c r="B401" i="5"/>
  <c r="D401" i="5" l="1"/>
  <c r="C401" i="5"/>
  <c r="B402" i="5"/>
  <c r="D402" i="5" l="1"/>
  <c r="C402" i="5"/>
  <c r="B403" i="5"/>
  <c r="D403" i="5" l="1"/>
  <c r="C403" i="5"/>
  <c r="B404" i="5"/>
  <c r="D404" i="5" l="1"/>
  <c r="C404" i="5"/>
  <c r="B405" i="5"/>
  <c r="D405" i="5" l="1"/>
  <c r="B406" i="5"/>
  <c r="C405" i="5"/>
  <c r="D406" i="5" l="1"/>
  <c r="C406" i="5"/>
  <c r="B407" i="5"/>
  <c r="D407" i="5" l="1"/>
  <c r="C407" i="5"/>
  <c r="B408" i="5"/>
  <c r="D408" i="5" l="1"/>
  <c r="B409" i="5"/>
  <c r="C408" i="5"/>
  <c r="D409" i="5" l="1"/>
  <c r="B410" i="5"/>
  <c r="C409" i="5"/>
  <c r="D410" i="5" l="1"/>
  <c r="C410" i="5"/>
  <c r="B411" i="5"/>
  <c r="D411" i="5" l="1"/>
  <c r="C411" i="5"/>
  <c r="B412" i="5"/>
  <c r="D412" i="5" l="1"/>
  <c r="C412" i="5"/>
  <c r="B413" i="5"/>
  <c r="D413" i="5" l="1"/>
  <c r="B414" i="5"/>
  <c r="C413" i="5"/>
  <c r="D414" i="5" l="1"/>
  <c r="C414" i="5"/>
  <c r="B415" i="5"/>
  <c r="D415" i="5" l="1"/>
  <c r="C415" i="5"/>
  <c r="B416" i="5"/>
  <c r="D416" i="5" l="1"/>
  <c r="C416" i="5"/>
  <c r="B417" i="5"/>
  <c r="D417" i="5" l="1"/>
  <c r="C417" i="5"/>
  <c r="B418" i="5"/>
  <c r="D418" i="5" l="1"/>
  <c r="C418" i="5"/>
  <c r="B419" i="5"/>
  <c r="D419" i="5" l="1"/>
  <c r="B420" i="5"/>
  <c r="C419" i="5"/>
  <c r="D420" i="5" l="1"/>
  <c r="B421" i="5"/>
  <c r="C420" i="5"/>
  <c r="D421" i="5" l="1"/>
  <c r="C421" i="5"/>
  <c r="B422" i="5"/>
  <c r="D422" i="5" l="1"/>
  <c r="B423" i="5"/>
  <c r="C422" i="5"/>
  <c r="D423" i="5" l="1"/>
  <c r="C423" i="5"/>
  <c r="B424" i="5"/>
  <c r="D424" i="5" l="1"/>
  <c r="C424" i="5"/>
  <c r="B425" i="5"/>
  <c r="D425" i="5" l="1"/>
  <c r="C425" i="5"/>
  <c r="B426" i="5"/>
  <c r="D426" i="5" l="1"/>
  <c r="C426" i="5"/>
  <c r="B427" i="5"/>
  <c r="D427" i="5" l="1"/>
  <c r="B428" i="5"/>
  <c r="C427" i="5"/>
  <c r="D428" i="5" l="1"/>
  <c r="C428" i="5"/>
  <c r="B429" i="5"/>
  <c r="D429" i="5" l="1"/>
  <c r="C429" i="5"/>
  <c r="B430" i="5"/>
  <c r="D430" i="5" l="1"/>
  <c r="C430" i="5"/>
  <c r="B431" i="5"/>
  <c r="D431" i="5" l="1"/>
  <c r="C431" i="5"/>
  <c r="B432" i="5"/>
  <c r="D432" i="5" l="1"/>
  <c r="C432" i="5"/>
  <c r="B433" i="5"/>
  <c r="D433" i="5" l="1"/>
  <c r="C433" i="5"/>
  <c r="B434" i="5"/>
  <c r="D434" i="5" l="1"/>
  <c r="C434" i="5"/>
  <c r="B435" i="5"/>
  <c r="D435" i="5" l="1"/>
  <c r="C435" i="5"/>
  <c r="B436" i="5"/>
  <c r="D436" i="5" l="1"/>
  <c r="C436" i="5"/>
  <c r="B437" i="5"/>
  <c r="D437" i="5" l="1"/>
  <c r="C437" i="5"/>
  <c r="B438" i="5"/>
  <c r="D438" i="5" l="1"/>
  <c r="C438" i="5"/>
  <c r="B439" i="5"/>
  <c r="D439" i="5" l="1"/>
  <c r="B440" i="5"/>
  <c r="C439" i="5"/>
  <c r="D440" i="5" l="1"/>
  <c r="B441" i="5"/>
  <c r="C440" i="5"/>
  <c r="D441" i="5" l="1"/>
  <c r="C441" i="5"/>
  <c r="B442" i="5"/>
  <c r="D442" i="5" l="1"/>
  <c r="B443" i="5"/>
  <c r="C442" i="5"/>
  <c r="D443" i="5" l="1"/>
  <c r="C443" i="5"/>
  <c r="B444" i="5"/>
  <c r="D444" i="5" l="1"/>
  <c r="B445" i="5"/>
  <c r="C444" i="5"/>
  <c r="D445" i="5" l="1"/>
  <c r="C445" i="5"/>
  <c r="B446" i="5"/>
  <c r="D446" i="5" l="1"/>
  <c r="B447" i="5"/>
  <c r="C446" i="5"/>
  <c r="D447" i="5" l="1"/>
  <c r="B448" i="5"/>
  <c r="C447" i="5"/>
  <c r="C448" i="5" l="1"/>
  <c r="D448" i="5"/>
  <c r="B449" i="5"/>
  <c r="B450" i="5" l="1"/>
  <c r="D449" i="5"/>
  <c r="C449" i="5"/>
  <c r="D450" i="5" l="1"/>
  <c r="C450" i="5"/>
  <c r="B451" i="5"/>
  <c r="D451" i="5" l="1"/>
  <c r="C451" i="5"/>
  <c r="B452" i="5"/>
  <c r="D452" i="5" l="1"/>
  <c r="C452" i="5"/>
  <c r="B453" i="5"/>
  <c r="D453" i="5" l="1"/>
  <c r="B454" i="5"/>
  <c r="C453" i="5"/>
  <c r="D454" i="5" l="1"/>
  <c r="B455" i="5"/>
  <c r="C454" i="5"/>
  <c r="D455" i="5" l="1"/>
  <c r="C455" i="5"/>
  <c r="B456" i="5"/>
  <c r="D456" i="5" l="1"/>
  <c r="C456" i="5"/>
  <c r="B457" i="5"/>
  <c r="D457" i="5" l="1"/>
  <c r="B458" i="5"/>
  <c r="C457" i="5"/>
  <c r="D458" i="5" l="1"/>
  <c r="B459" i="5"/>
  <c r="C458" i="5"/>
  <c r="D459" i="5" l="1"/>
  <c r="B460" i="5"/>
  <c r="C459" i="5"/>
  <c r="D460" i="5" l="1"/>
  <c r="B461" i="5"/>
  <c r="C460" i="5"/>
  <c r="D461" i="5" l="1"/>
  <c r="B462" i="5"/>
  <c r="C461" i="5"/>
  <c r="D462" i="5" l="1"/>
  <c r="B463" i="5"/>
  <c r="C462" i="5"/>
  <c r="D463" i="5" l="1"/>
  <c r="B464" i="5"/>
  <c r="C463" i="5"/>
  <c r="D464" i="5" l="1"/>
  <c r="C464" i="5"/>
  <c r="B465" i="5"/>
  <c r="D465" i="5" l="1"/>
  <c r="C465" i="5"/>
  <c r="B466" i="5"/>
  <c r="D466" i="5" l="1"/>
  <c r="C466" i="5"/>
  <c r="B467" i="5"/>
  <c r="D467" i="5" l="1"/>
  <c r="C467" i="5"/>
  <c r="B468" i="5"/>
  <c r="D468" i="5" l="1"/>
  <c r="C468" i="5"/>
  <c r="B469" i="5"/>
  <c r="D469" i="5" l="1"/>
  <c r="B470" i="5"/>
  <c r="C469" i="5"/>
  <c r="D470" i="5" l="1"/>
  <c r="C470" i="5"/>
  <c r="B471" i="5"/>
  <c r="D471" i="5" l="1"/>
  <c r="C471" i="5"/>
  <c r="B472" i="5"/>
  <c r="D472" i="5" l="1"/>
  <c r="B473" i="5"/>
  <c r="C472" i="5"/>
  <c r="D473" i="5" l="1"/>
  <c r="C473" i="5"/>
  <c r="B474" i="5"/>
  <c r="D474" i="5" l="1"/>
  <c r="C474" i="5"/>
  <c r="B475" i="5"/>
  <c r="D475" i="5" l="1"/>
  <c r="B476" i="5"/>
  <c r="C475" i="5"/>
  <c r="D476" i="5" l="1"/>
  <c r="C476" i="5"/>
  <c r="B477" i="5"/>
  <c r="D477" i="5" l="1"/>
  <c r="C477" i="5"/>
  <c r="B478" i="5"/>
  <c r="D478" i="5" l="1"/>
  <c r="B479" i="5"/>
  <c r="C478" i="5"/>
  <c r="D479" i="5" l="1"/>
  <c r="B480" i="5"/>
  <c r="C479" i="5"/>
  <c r="D480" i="5" l="1"/>
  <c r="C480" i="5"/>
  <c r="B481" i="5"/>
  <c r="D481" i="5" l="1"/>
  <c r="B482" i="5"/>
  <c r="C481" i="5"/>
  <c r="D482" i="5" l="1"/>
  <c r="B483" i="5"/>
  <c r="C482" i="5"/>
  <c r="D483" i="5" l="1"/>
  <c r="C483" i="5"/>
  <c r="B484" i="5"/>
  <c r="D484" i="5" l="1"/>
  <c r="B485" i="5"/>
  <c r="C484" i="5"/>
  <c r="D485" i="5" l="1"/>
  <c r="B486" i="5"/>
  <c r="C485" i="5"/>
  <c r="D486" i="5" l="1"/>
  <c r="B487" i="5"/>
  <c r="C486" i="5"/>
  <c r="C487" i="5" l="1"/>
  <c r="B488" i="5"/>
  <c r="D487" i="5"/>
  <c r="D488" i="5" l="1"/>
  <c r="C488" i="5"/>
  <c r="B489" i="5"/>
  <c r="C489" i="5" l="1"/>
  <c r="D489" i="5"/>
  <c r="B490" i="5"/>
  <c r="D490" i="5" l="1"/>
  <c r="C490" i="5"/>
  <c r="B491" i="5"/>
  <c r="D491" i="5" l="1"/>
  <c r="C491" i="5"/>
  <c r="B492" i="5"/>
  <c r="D492" i="5" l="1"/>
  <c r="C492" i="5"/>
  <c r="B493" i="5"/>
  <c r="D493" i="5" l="1"/>
  <c r="C493" i="5"/>
  <c r="B494" i="5"/>
  <c r="D494" i="5" l="1"/>
  <c r="B495" i="5"/>
  <c r="C494" i="5"/>
  <c r="D495" i="5" l="1"/>
  <c r="C495" i="5"/>
  <c r="B496" i="5"/>
  <c r="D496" i="5" l="1"/>
  <c r="B497" i="5"/>
  <c r="C496" i="5"/>
  <c r="D497" i="5" l="1"/>
  <c r="C497" i="5"/>
  <c r="B498" i="5"/>
  <c r="D498" i="5" l="1"/>
  <c r="C498" i="5"/>
  <c r="B499" i="5"/>
  <c r="D499" i="5" l="1"/>
  <c r="B500" i="5"/>
  <c r="C499" i="5"/>
  <c r="D500" i="5" l="1"/>
  <c r="C500" i="5"/>
  <c r="B501" i="5"/>
  <c r="D501" i="5" l="1"/>
  <c r="C501" i="5"/>
  <c r="B502" i="5"/>
  <c r="D502" i="5" l="1"/>
  <c r="C502" i="5"/>
  <c r="B503" i="5"/>
  <c r="D503" i="5" l="1"/>
  <c r="C503" i="5"/>
  <c r="B504" i="5"/>
  <c r="D504" i="5" l="1"/>
  <c r="B505" i="5"/>
  <c r="C504" i="5"/>
  <c r="D505" i="5" l="1"/>
  <c r="B506" i="5"/>
  <c r="C505" i="5"/>
  <c r="D506" i="5" l="1"/>
  <c r="B507" i="5"/>
  <c r="C506" i="5"/>
  <c r="D507" i="5" l="1"/>
  <c r="C507" i="5"/>
  <c r="B508" i="5"/>
  <c r="D508" i="5" l="1"/>
  <c r="C508" i="5"/>
  <c r="B509" i="5"/>
  <c r="D509" i="5" l="1"/>
  <c r="C509" i="5"/>
  <c r="B510" i="5"/>
  <c r="D510" i="5" l="1"/>
  <c r="B511" i="5"/>
  <c r="C510" i="5"/>
  <c r="D511" i="5" l="1"/>
  <c r="B512" i="5"/>
  <c r="C511" i="5"/>
  <c r="D512" i="5" l="1"/>
  <c r="B513" i="5"/>
  <c r="C512" i="5"/>
  <c r="D513" i="5" l="1"/>
  <c r="C513" i="5"/>
  <c r="B514" i="5"/>
  <c r="D514" i="5" l="1"/>
  <c r="B515" i="5"/>
  <c r="C514" i="5"/>
  <c r="D515" i="5" l="1"/>
  <c r="B516" i="5"/>
  <c r="C515" i="5"/>
  <c r="D516" i="5" l="1"/>
  <c r="C516" i="5"/>
  <c r="B517" i="5"/>
  <c r="D517" i="5" l="1"/>
  <c r="C517" i="5"/>
  <c r="B518" i="5"/>
  <c r="D518" i="5" l="1"/>
  <c r="B519" i="5"/>
  <c r="C518" i="5"/>
  <c r="D519" i="5" l="1"/>
  <c r="B520" i="5"/>
  <c r="C519" i="5"/>
  <c r="D520" i="5" l="1"/>
  <c r="B521" i="5"/>
  <c r="C520" i="5"/>
  <c r="D521" i="5" l="1"/>
  <c r="B522" i="5"/>
  <c r="C521" i="5"/>
  <c r="D522" i="5" l="1"/>
  <c r="B523" i="5"/>
  <c r="C522" i="5"/>
  <c r="D523" i="5" l="1"/>
  <c r="B524" i="5"/>
  <c r="C523" i="5"/>
  <c r="D524" i="5" l="1"/>
  <c r="C524" i="5"/>
  <c r="B525" i="5"/>
  <c r="D525" i="5" l="1"/>
  <c r="B526" i="5"/>
  <c r="C525" i="5"/>
  <c r="D526" i="5" l="1"/>
  <c r="C526" i="5"/>
  <c r="B527" i="5"/>
  <c r="D527" i="5" l="1"/>
  <c r="B528" i="5"/>
  <c r="C527" i="5"/>
  <c r="D528" i="5" l="1"/>
  <c r="C528" i="5"/>
  <c r="B529" i="5"/>
  <c r="D529" i="5" l="1"/>
  <c r="C529" i="5"/>
  <c r="B530" i="5"/>
  <c r="D530" i="5" l="1"/>
  <c r="C530" i="5"/>
  <c r="B531" i="5"/>
  <c r="D531" i="5" l="1"/>
  <c r="B532" i="5"/>
  <c r="C531" i="5"/>
  <c r="D532" i="5" l="1"/>
  <c r="B533" i="5"/>
  <c r="C532" i="5"/>
  <c r="D533" i="5" l="1"/>
  <c r="B534" i="5"/>
  <c r="C533" i="5"/>
  <c r="D534" i="5" l="1"/>
  <c r="B535" i="5"/>
  <c r="C534" i="5"/>
  <c r="D535" i="5" l="1"/>
  <c r="C535" i="5"/>
  <c r="B536" i="5"/>
  <c r="D536" i="5" l="1"/>
  <c r="C536" i="5"/>
  <c r="B537" i="5"/>
  <c r="D537" i="5" l="1"/>
  <c r="B538" i="5"/>
  <c r="C537" i="5"/>
  <c r="D538" i="5" l="1"/>
  <c r="C538" i="5"/>
  <c r="B539" i="5"/>
  <c r="D539" i="5" l="1"/>
  <c r="C539" i="5"/>
  <c r="B540" i="5"/>
  <c r="D540" i="5" l="1"/>
  <c r="C540" i="5"/>
  <c r="B541" i="5"/>
  <c r="D541" i="5" l="1"/>
  <c r="C541" i="5"/>
  <c r="B542" i="5"/>
  <c r="D542" i="5" l="1"/>
  <c r="C542" i="5"/>
  <c r="B543" i="5"/>
  <c r="D543" i="5" l="1"/>
  <c r="B544" i="5"/>
  <c r="C543" i="5"/>
  <c r="D544" i="5" l="1"/>
  <c r="B545" i="5"/>
  <c r="C544" i="5"/>
  <c r="D545" i="5" l="1"/>
  <c r="B546" i="5"/>
  <c r="C545" i="5"/>
  <c r="D546" i="5" l="1"/>
  <c r="B547" i="5"/>
  <c r="C546" i="5"/>
  <c r="D547" i="5" l="1"/>
  <c r="C547" i="5"/>
  <c r="B548" i="5"/>
  <c r="D548" i="5" l="1"/>
  <c r="C548" i="5"/>
  <c r="B549" i="5"/>
  <c r="D549" i="5" l="1"/>
  <c r="B550" i="5"/>
  <c r="C549" i="5"/>
  <c r="D550" i="5" l="1"/>
  <c r="C550" i="5"/>
  <c r="B551" i="5"/>
  <c r="D551" i="5" l="1"/>
  <c r="C551" i="5"/>
  <c r="B552" i="5"/>
  <c r="D552" i="5" l="1"/>
  <c r="B553" i="5"/>
  <c r="C552" i="5"/>
  <c r="D553" i="5" l="1"/>
  <c r="C553" i="5"/>
  <c r="B554" i="5"/>
  <c r="D554" i="5" l="1"/>
  <c r="B555" i="5"/>
  <c r="C554" i="5"/>
  <c r="D555" i="5" l="1"/>
  <c r="C555" i="5"/>
  <c r="B556" i="5"/>
  <c r="D556" i="5" l="1"/>
  <c r="C556" i="5"/>
  <c r="B557" i="5"/>
  <c r="D557" i="5" l="1"/>
  <c r="C557" i="5"/>
  <c r="B558" i="5"/>
  <c r="D558" i="5" l="1"/>
  <c r="C558" i="5"/>
  <c r="B559" i="5"/>
  <c r="D559" i="5" l="1"/>
  <c r="B560" i="5"/>
  <c r="C559" i="5"/>
  <c r="D560" i="5" l="1"/>
  <c r="B561" i="5"/>
  <c r="C560" i="5"/>
  <c r="D561" i="5" l="1"/>
  <c r="B562" i="5"/>
  <c r="C561" i="5"/>
  <c r="D562" i="5" l="1"/>
  <c r="C562" i="5"/>
  <c r="B563" i="5"/>
  <c r="D563" i="5" l="1"/>
  <c r="B564" i="5"/>
  <c r="C563" i="5"/>
  <c r="D564" i="5" l="1"/>
  <c r="C564" i="5"/>
  <c r="B565" i="5"/>
  <c r="D565" i="5" l="1"/>
  <c r="C565" i="5"/>
  <c r="B566" i="5"/>
  <c r="D566" i="5" l="1"/>
  <c r="B567" i="5"/>
  <c r="C566" i="5"/>
  <c r="D567" i="5" l="1"/>
  <c r="B568" i="5"/>
  <c r="C567" i="5"/>
  <c r="D568" i="5" l="1"/>
  <c r="B569" i="5"/>
  <c r="C568" i="5"/>
  <c r="D569" i="5" l="1"/>
  <c r="B570" i="5"/>
  <c r="C569" i="5"/>
  <c r="D570" i="5" l="1"/>
  <c r="C570" i="5"/>
  <c r="B571" i="5"/>
  <c r="D571" i="5" l="1"/>
  <c r="B572" i="5"/>
  <c r="C571" i="5"/>
  <c r="D572" i="5" l="1"/>
  <c r="C572" i="5"/>
  <c r="B573" i="5"/>
  <c r="D573" i="5" l="1"/>
  <c r="B574" i="5"/>
  <c r="C573" i="5"/>
  <c r="D574" i="5" l="1"/>
  <c r="B575" i="5"/>
  <c r="C574" i="5"/>
  <c r="D575" i="5" l="1"/>
  <c r="B576" i="5"/>
  <c r="C575" i="5"/>
  <c r="D576" i="5" l="1"/>
  <c r="B577" i="5"/>
  <c r="C576" i="5"/>
  <c r="D577" i="5" l="1"/>
  <c r="B578" i="5"/>
  <c r="C577" i="5"/>
  <c r="D578" i="5" l="1"/>
  <c r="B579" i="5"/>
  <c r="C578" i="5"/>
  <c r="D579" i="5" l="1"/>
  <c r="B580" i="5"/>
  <c r="C579" i="5"/>
  <c r="D580" i="5" l="1"/>
  <c r="C580" i="5"/>
  <c r="B581" i="5"/>
  <c r="D581" i="5" l="1"/>
  <c r="B582" i="5"/>
  <c r="C581" i="5"/>
  <c r="D582" i="5" l="1"/>
  <c r="B583" i="5"/>
  <c r="C582" i="5"/>
  <c r="D583" i="5" l="1"/>
  <c r="C583" i="5"/>
  <c r="B584" i="5"/>
  <c r="D584" i="5" l="1"/>
  <c r="B585" i="5"/>
  <c r="C584" i="5"/>
  <c r="D585" i="5" l="1"/>
  <c r="C585" i="5"/>
  <c r="B586" i="5"/>
  <c r="D586" i="5" l="1"/>
  <c r="C586" i="5"/>
  <c r="B587" i="5"/>
  <c r="D587" i="5" l="1"/>
  <c r="C587" i="5"/>
  <c r="B588" i="5"/>
  <c r="D588" i="5" l="1"/>
  <c r="C588" i="5"/>
  <c r="B589" i="5"/>
  <c r="D589" i="5" l="1"/>
  <c r="B590" i="5"/>
  <c r="C589" i="5"/>
  <c r="D590" i="5" l="1"/>
  <c r="B591" i="5"/>
  <c r="C590" i="5"/>
  <c r="D591" i="5" l="1"/>
  <c r="C591" i="5"/>
  <c r="B592" i="5"/>
  <c r="D592" i="5" l="1"/>
  <c r="C592" i="5"/>
  <c r="B593" i="5"/>
  <c r="D593" i="5" l="1"/>
  <c r="B594" i="5"/>
  <c r="C593" i="5"/>
  <c r="D594" i="5" l="1"/>
  <c r="C594" i="5"/>
  <c r="B595" i="5"/>
  <c r="C595" i="5" l="1"/>
  <c r="D595" i="5"/>
</calcChain>
</file>

<file path=xl/sharedStrings.xml><?xml version="1.0" encoding="utf-8"?>
<sst xmlns="http://schemas.openxmlformats.org/spreadsheetml/2006/main" count="118" uniqueCount="55">
  <si>
    <t>Media</t>
  </si>
  <si>
    <t>Desviación estándar</t>
  </si>
  <si>
    <t>µ</t>
  </si>
  <si>
    <t>σ</t>
  </si>
  <si>
    <t>x</t>
  </si>
  <si>
    <t>Función de densidad de probabilidad</t>
  </si>
  <si>
    <t>f(x)</t>
  </si>
  <si>
    <t>Función de distribución acumulada</t>
  </si>
  <si>
    <t>Probability density function (PDF)</t>
  </si>
  <si>
    <t>F(x)</t>
  </si>
  <si>
    <t>Cumulative distribution function (CDF)</t>
  </si>
  <si>
    <t>Distribución Normal Estándar</t>
  </si>
  <si>
    <t>z</t>
  </si>
  <si>
    <t>N(0, 1)</t>
  </si>
  <si>
    <t>N(10, 2^2)</t>
  </si>
  <si>
    <t>N(-5,2, 5^2)</t>
  </si>
  <si>
    <t>Mínimo</t>
  </si>
  <si>
    <t>Más probable</t>
  </si>
  <si>
    <t>Máximo</t>
  </si>
  <si>
    <t>a</t>
  </si>
  <si>
    <t>b</t>
  </si>
  <si>
    <t>c</t>
  </si>
  <si>
    <t>(500, 1000, 2000)</t>
  </si>
  <si>
    <t>(500, 1200, 2000)</t>
  </si>
  <si>
    <t>(500, 1700, 2000)</t>
  </si>
  <si>
    <t>Prob.</t>
  </si>
  <si>
    <t>Parámetros:</t>
  </si>
  <si>
    <t>Uniforme continua:</t>
  </si>
  <si>
    <t>Min.</t>
  </si>
  <si>
    <t>Máx.</t>
  </si>
  <si>
    <t>Aleatorio</t>
  </si>
  <si>
    <t>Triangular:</t>
  </si>
  <si>
    <t>Normal:</t>
  </si>
  <si>
    <t>Desviación Estándar</t>
  </si>
  <si>
    <t>Lognormal:</t>
  </si>
  <si>
    <t>UNIFORME:</t>
  </si>
  <si>
    <t>Bernoulli:</t>
  </si>
  <si>
    <t>Éxito</t>
  </si>
  <si>
    <t>Fracaso</t>
  </si>
  <si>
    <t>Probabilidad</t>
  </si>
  <si>
    <t>Binomial</t>
  </si>
  <si>
    <t>Número éxitos</t>
  </si>
  <si>
    <t>Número ensayos</t>
  </si>
  <si>
    <t>Prob. Éxito</t>
  </si>
  <si>
    <t>Prob. Compra</t>
  </si>
  <si>
    <t>Personas</t>
  </si>
  <si>
    <t>Prob. de compra</t>
  </si>
  <si>
    <t>Prob. de compra acumulada</t>
  </si>
  <si>
    <t>Escenario</t>
  </si>
  <si>
    <t>Ventas</t>
  </si>
  <si>
    <t>Probabilidad de ocurrencia</t>
  </si>
  <si>
    <t>Probabilidad de ocurrencia acumulada</t>
  </si>
  <si>
    <t>Precio</t>
  </si>
  <si>
    <t>Frecuencia</t>
  </si>
  <si>
    <t>Iteración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</si>
</sst>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164" formatCode="0.0%"/>
    <numFmt numFmtId="165" formatCode="0.0"/>
    <numFmt numFmtId="166" formatCode="0.000%"/>
    <numFmt numFmtId="167" formatCode="#,##0.0000"/>
    <numFmt numFmtId="168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Tahoma"/>
      <family val="2"/>
    </font>
    <font>
      <sz val="11"/>
      <color rgb="FF14085C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1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9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6" fontId="2" fillId="0" borderId="0" xfId="1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8" fontId="0" fillId="0" borderId="0" xfId="0" applyNumberFormat="1"/>
    <xf numFmtId="1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1408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effectLst/>
              </a:rPr>
              <a:t>Función de densidad de probabilidad</a:t>
            </a:r>
            <a:endParaRPr lang="es-CO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Normal!$C$13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Normal!$B$14:$B$144</c:f>
              <c:numCache>
                <c:formatCode>General</c:formatCode>
                <c:ptCount val="13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  <c:pt idx="100">
                  <c:v>135</c:v>
                </c:pt>
                <c:pt idx="101">
                  <c:v>136</c:v>
                </c:pt>
                <c:pt idx="102">
                  <c:v>137</c:v>
                </c:pt>
                <c:pt idx="103">
                  <c:v>138</c:v>
                </c:pt>
                <c:pt idx="104">
                  <c:v>139</c:v>
                </c:pt>
                <c:pt idx="105">
                  <c:v>140</c:v>
                </c:pt>
                <c:pt idx="106">
                  <c:v>141</c:v>
                </c:pt>
                <c:pt idx="107">
                  <c:v>142</c:v>
                </c:pt>
                <c:pt idx="108">
                  <c:v>143</c:v>
                </c:pt>
                <c:pt idx="109">
                  <c:v>144</c:v>
                </c:pt>
                <c:pt idx="110">
                  <c:v>145</c:v>
                </c:pt>
                <c:pt idx="111">
                  <c:v>146</c:v>
                </c:pt>
                <c:pt idx="112">
                  <c:v>147</c:v>
                </c:pt>
                <c:pt idx="113">
                  <c:v>148</c:v>
                </c:pt>
                <c:pt idx="114">
                  <c:v>149</c:v>
                </c:pt>
                <c:pt idx="115">
                  <c:v>150</c:v>
                </c:pt>
                <c:pt idx="116">
                  <c:v>151</c:v>
                </c:pt>
                <c:pt idx="117">
                  <c:v>152</c:v>
                </c:pt>
                <c:pt idx="118">
                  <c:v>153</c:v>
                </c:pt>
                <c:pt idx="119">
                  <c:v>154</c:v>
                </c:pt>
                <c:pt idx="120">
                  <c:v>155</c:v>
                </c:pt>
                <c:pt idx="121">
                  <c:v>156</c:v>
                </c:pt>
                <c:pt idx="122">
                  <c:v>157</c:v>
                </c:pt>
                <c:pt idx="123">
                  <c:v>158</c:v>
                </c:pt>
                <c:pt idx="124">
                  <c:v>159</c:v>
                </c:pt>
                <c:pt idx="125">
                  <c:v>160</c:v>
                </c:pt>
                <c:pt idx="126">
                  <c:v>161</c:v>
                </c:pt>
                <c:pt idx="127">
                  <c:v>162</c:v>
                </c:pt>
                <c:pt idx="128">
                  <c:v>163</c:v>
                </c:pt>
                <c:pt idx="129">
                  <c:v>164</c:v>
                </c:pt>
                <c:pt idx="130">
                  <c:v>165</c:v>
                </c:pt>
              </c:numCache>
            </c:numRef>
          </c:cat>
          <c:val>
            <c:numRef>
              <c:f>Normal!$C$14:$C$144</c:f>
              <c:numCache>
                <c:formatCode>0.0%</c:formatCode>
                <c:ptCount val="131"/>
                <c:pt idx="0">
                  <c:v>1.0145240286498842E-4</c:v>
                </c:pt>
                <c:pt idx="1">
                  <c:v>1.1920441007324202E-4</c:v>
                </c:pt>
                <c:pt idx="2">
                  <c:v>1.3971292074397236E-4</c:v>
                </c:pt>
                <c:pt idx="3">
                  <c:v>1.6334095280999593E-4</c:v>
                </c:pt>
                <c:pt idx="4">
                  <c:v>1.9048810491109055E-4</c:v>
                </c:pt>
                <c:pt idx="5">
                  <c:v>2.2159242059690038E-4</c:v>
                </c:pt>
                <c:pt idx="6">
                  <c:v>2.5713204615269698E-4</c:v>
                </c:pt>
                <c:pt idx="7">
                  <c:v>2.9762662098879272E-4</c:v>
                </c:pt>
                <c:pt idx="8">
                  <c:v>3.4363833453069856E-4</c:v>
                </c:pt>
                <c:pt idx="9">
                  <c:v>3.9577257914899847E-4</c:v>
                </c:pt>
                <c:pt idx="10">
                  <c:v>4.546781250795527E-4</c:v>
                </c:pt>
                <c:pt idx="11">
                  <c:v>5.2104674072112956E-4</c:v>
                </c:pt>
                <c:pt idx="12">
                  <c:v>5.9561218038025904E-4</c:v>
                </c:pt>
                <c:pt idx="13">
                  <c:v>6.7914846168428073E-4</c:v>
                </c:pt>
                <c:pt idx="14">
                  <c:v>7.7246735671975876E-4</c:v>
                </c:pt>
                <c:pt idx="15">
                  <c:v>8.7641502467842713E-4</c:v>
                </c:pt>
                <c:pt idx="16">
                  <c:v>9.9186771958976582E-4</c:v>
                </c:pt>
                <c:pt idx="17">
                  <c:v>1.1197265147421451E-3</c:v>
                </c:pt>
                <c:pt idx="18">
                  <c:v>1.2609109957597193E-3</c:v>
                </c:pt>
                <c:pt idx="19">
                  <c:v>1.4163518870800595E-3</c:v>
                </c:pt>
                <c:pt idx="20">
                  <c:v>1.5869825917833712E-3</c:v>
                </c:pt>
                <c:pt idx="21">
                  <c:v>1.7737296423115713E-3</c:v>
                </c:pt>
                <c:pt idx="22">
                  <c:v>1.9775020794685111E-3</c:v>
                </c:pt>
                <c:pt idx="23">
                  <c:v>2.1991797990213598E-3</c:v>
                </c:pt>
                <c:pt idx="24">
                  <c:v>2.4396009289591384E-3</c:v>
                </c:pt>
                <c:pt idx="25">
                  <c:v>2.6995483256594031E-3</c:v>
                </c:pt>
                <c:pt idx="26">
                  <c:v>2.979735303440804E-3</c:v>
                </c:pt>
                <c:pt idx="27">
                  <c:v>3.2807907387338302E-3</c:v>
                </c:pt>
                <c:pt idx="28">
                  <c:v>3.6032437168109E-3</c:v>
                </c:pt>
                <c:pt idx="29">
                  <c:v>3.9475079150447078E-3</c:v>
                </c:pt>
                <c:pt idx="30">
                  <c:v>4.3138659413255766E-3</c:v>
                </c:pt>
                <c:pt idx="31">
                  <c:v>4.7024538688443477E-3</c:v>
                </c:pt>
                <c:pt idx="32">
                  <c:v>5.1132462281989017E-3</c:v>
                </c:pt>
                <c:pt idx="33">
                  <c:v>5.5460417339727782E-3</c:v>
                </c:pt>
                <c:pt idx="34">
                  <c:v>6.0004500348492798E-3</c:v>
                </c:pt>
                <c:pt idx="35">
                  <c:v>6.4758797832945875E-3</c:v>
                </c:pt>
                <c:pt idx="36">
                  <c:v>6.9715283222680146E-3</c:v>
                </c:pt>
                <c:pt idx="37">
                  <c:v>7.4863732817872447E-3</c:v>
                </c:pt>
                <c:pt idx="38">
                  <c:v>8.0191663670959798E-3</c:v>
                </c:pt>
                <c:pt idx="39">
                  <c:v>8.5684296023903674E-3</c:v>
                </c:pt>
                <c:pt idx="40">
                  <c:v>9.1324542694510968E-3</c:v>
                </c:pt>
                <c:pt idx="41">
                  <c:v>9.7093027491606497E-3</c:v>
                </c:pt>
                <c:pt idx="42">
                  <c:v>1.0296813435998741E-2</c:v>
                </c:pt>
                <c:pt idx="43">
                  <c:v>1.0892608851627529E-2</c:v>
                </c:pt>
                <c:pt idx="44">
                  <c:v>1.1494107034211651E-2</c:v>
                </c:pt>
                <c:pt idx="45">
                  <c:v>1.209853622595717E-2</c:v>
                </c:pt>
                <c:pt idx="46">
                  <c:v>1.2702952823459453E-2</c:v>
                </c:pt>
                <c:pt idx="47">
                  <c:v>1.3304262494937743E-2</c:v>
                </c:pt>
                <c:pt idx="48">
                  <c:v>1.3899244306549825E-2</c:v>
                </c:pt>
                <c:pt idx="49">
                  <c:v>1.4484577638074137E-2</c:v>
                </c:pt>
                <c:pt idx="50">
                  <c:v>1.5056871607740222E-2</c:v>
                </c:pt>
                <c:pt idx="51">
                  <c:v>1.5612696668338064E-2</c:v>
                </c:pt>
                <c:pt idx="52">
                  <c:v>1.6148617983395716E-2</c:v>
                </c:pt>
                <c:pt idx="53">
                  <c:v>1.6661230144589985E-2</c:v>
                </c:pt>
                <c:pt idx="54">
                  <c:v>1.7147192750969195E-2</c:v>
                </c:pt>
                <c:pt idx="55">
                  <c:v>1.7603266338214976E-2</c:v>
                </c:pt>
                <c:pt idx="56">
                  <c:v>1.80263481230824E-2</c:v>
                </c:pt>
                <c:pt idx="57">
                  <c:v>1.841350701516617E-2</c:v>
                </c:pt>
                <c:pt idx="58">
                  <c:v>1.8762017345846899E-2</c:v>
                </c:pt>
                <c:pt idx="59">
                  <c:v>1.9069390773026208E-2</c:v>
                </c:pt>
                <c:pt idx="60">
                  <c:v>1.9333405840142464E-2</c:v>
                </c:pt>
                <c:pt idx="61">
                  <c:v>1.9552134698772795E-2</c:v>
                </c:pt>
                <c:pt idx="62">
                  <c:v>1.9723966545394447E-2</c:v>
                </c:pt>
                <c:pt idx="63">
                  <c:v>1.9847627373850592E-2</c:v>
                </c:pt>
                <c:pt idx="64">
                  <c:v>1.9922195704738205E-2</c:v>
                </c:pt>
                <c:pt idx="65">
                  <c:v>1.9947114020071637E-2</c:v>
                </c:pt>
                <c:pt idx="66">
                  <c:v>1.9922195704738205E-2</c:v>
                </c:pt>
                <c:pt idx="67">
                  <c:v>1.9847627373850592E-2</c:v>
                </c:pt>
                <c:pt idx="68">
                  <c:v>1.9723966545394447E-2</c:v>
                </c:pt>
                <c:pt idx="69">
                  <c:v>1.9552134698772795E-2</c:v>
                </c:pt>
                <c:pt idx="70">
                  <c:v>1.9333405840142464E-2</c:v>
                </c:pt>
                <c:pt idx="71">
                  <c:v>1.9069390773026208E-2</c:v>
                </c:pt>
                <c:pt idx="72">
                  <c:v>1.8762017345846899E-2</c:v>
                </c:pt>
                <c:pt idx="73">
                  <c:v>1.841350701516617E-2</c:v>
                </c:pt>
                <c:pt idx="74">
                  <c:v>1.80263481230824E-2</c:v>
                </c:pt>
                <c:pt idx="75">
                  <c:v>1.7603266338214976E-2</c:v>
                </c:pt>
                <c:pt idx="76">
                  <c:v>1.7147192750969195E-2</c:v>
                </c:pt>
                <c:pt idx="77">
                  <c:v>1.6661230144589985E-2</c:v>
                </c:pt>
                <c:pt idx="78">
                  <c:v>1.6148617983395716E-2</c:v>
                </c:pt>
                <c:pt idx="79">
                  <c:v>1.5612696668338064E-2</c:v>
                </c:pt>
                <c:pt idx="80">
                  <c:v>1.5056871607740222E-2</c:v>
                </c:pt>
                <c:pt idx="81">
                  <c:v>1.4484577638074137E-2</c:v>
                </c:pt>
                <c:pt idx="82">
                  <c:v>1.3899244306549825E-2</c:v>
                </c:pt>
                <c:pt idx="83">
                  <c:v>1.3304262494937743E-2</c:v>
                </c:pt>
                <c:pt idx="84">
                  <c:v>1.2702952823459453E-2</c:v>
                </c:pt>
                <c:pt idx="85">
                  <c:v>1.209853622595717E-2</c:v>
                </c:pt>
                <c:pt idx="86">
                  <c:v>1.1494107034211651E-2</c:v>
                </c:pt>
                <c:pt idx="87">
                  <c:v>1.0892608851627529E-2</c:v>
                </c:pt>
                <c:pt idx="88">
                  <c:v>1.0296813435998741E-2</c:v>
                </c:pt>
                <c:pt idx="89">
                  <c:v>9.7093027491606497E-3</c:v>
                </c:pt>
                <c:pt idx="90">
                  <c:v>9.1324542694510968E-3</c:v>
                </c:pt>
                <c:pt idx="91">
                  <c:v>8.5684296023903674E-3</c:v>
                </c:pt>
                <c:pt idx="92">
                  <c:v>8.0191663670959798E-3</c:v>
                </c:pt>
                <c:pt idx="93">
                  <c:v>7.4863732817872447E-3</c:v>
                </c:pt>
                <c:pt idx="94">
                  <c:v>6.9715283222680146E-3</c:v>
                </c:pt>
                <c:pt idx="95">
                  <c:v>6.4758797832945875E-3</c:v>
                </c:pt>
                <c:pt idx="96">
                  <c:v>6.0004500348492798E-3</c:v>
                </c:pt>
                <c:pt idx="97">
                  <c:v>5.5460417339727782E-3</c:v>
                </c:pt>
                <c:pt idx="98">
                  <c:v>5.1132462281989017E-3</c:v>
                </c:pt>
                <c:pt idx="99">
                  <c:v>4.7024538688443477E-3</c:v>
                </c:pt>
                <c:pt idx="100">
                  <c:v>4.3138659413255766E-3</c:v>
                </c:pt>
                <c:pt idx="101">
                  <c:v>3.9475079150447078E-3</c:v>
                </c:pt>
                <c:pt idx="102">
                  <c:v>3.6032437168109E-3</c:v>
                </c:pt>
                <c:pt idx="103">
                  <c:v>3.2807907387338302E-3</c:v>
                </c:pt>
                <c:pt idx="104">
                  <c:v>2.979735303440804E-3</c:v>
                </c:pt>
                <c:pt idx="105">
                  <c:v>2.6995483256594031E-3</c:v>
                </c:pt>
                <c:pt idx="106">
                  <c:v>2.4396009289591384E-3</c:v>
                </c:pt>
                <c:pt idx="107">
                  <c:v>2.1991797990213598E-3</c:v>
                </c:pt>
                <c:pt idx="108">
                  <c:v>1.9775020794685111E-3</c:v>
                </c:pt>
                <c:pt idx="109">
                  <c:v>1.7737296423115713E-3</c:v>
                </c:pt>
                <c:pt idx="110">
                  <c:v>1.5869825917833712E-3</c:v>
                </c:pt>
                <c:pt idx="111">
                  <c:v>1.4163518870800595E-3</c:v>
                </c:pt>
                <c:pt idx="112">
                  <c:v>1.2609109957597193E-3</c:v>
                </c:pt>
                <c:pt idx="113">
                  <c:v>1.1197265147421451E-3</c:v>
                </c:pt>
                <c:pt idx="114">
                  <c:v>9.9186771958976582E-4</c:v>
                </c:pt>
                <c:pt idx="115">
                  <c:v>8.7641502467842713E-4</c:v>
                </c:pt>
                <c:pt idx="116">
                  <c:v>7.7246735671975876E-4</c:v>
                </c:pt>
                <c:pt idx="117">
                  <c:v>6.7914846168428073E-4</c:v>
                </c:pt>
                <c:pt idx="118">
                  <c:v>5.9561218038025904E-4</c:v>
                </c:pt>
                <c:pt idx="119">
                  <c:v>5.2104674072112956E-4</c:v>
                </c:pt>
                <c:pt idx="120">
                  <c:v>4.546781250795527E-4</c:v>
                </c:pt>
                <c:pt idx="121">
                  <c:v>3.9577257914899847E-4</c:v>
                </c:pt>
                <c:pt idx="122">
                  <c:v>3.4363833453069856E-4</c:v>
                </c:pt>
                <c:pt idx="123">
                  <c:v>2.9762662098879272E-4</c:v>
                </c:pt>
                <c:pt idx="124">
                  <c:v>2.5713204615269698E-4</c:v>
                </c:pt>
                <c:pt idx="125">
                  <c:v>2.2159242059690038E-4</c:v>
                </c:pt>
                <c:pt idx="126">
                  <c:v>1.9048810491109055E-4</c:v>
                </c:pt>
                <c:pt idx="127">
                  <c:v>1.6334095280999593E-4</c:v>
                </c:pt>
                <c:pt idx="128">
                  <c:v>1.3971292074397236E-4</c:v>
                </c:pt>
                <c:pt idx="129">
                  <c:v>1.1920441007324202E-4</c:v>
                </c:pt>
                <c:pt idx="130">
                  <c:v>1.0145240286498842E-4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E-4FD3-BA95-31068A63B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91297023"/>
        <c:axId val="791293695"/>
      </c:barChart>
      <c:catAx>
        <c:axId val="79129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auto val="1"/>
        <c:lblAlgn val="ctr"/>
        <c:lblOffset val="100"/>
        <c:noMultiLvlLbl val="0"/>
      </c:catAx>
      <c:valAx>
        <c:axId val="791293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effectLst/>
              </a:rPr>
              <a:t>Función de distribución acumulada</a:t>
            </a:r>
            <a:endParaRPr lang="es-CO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Normal!$E$13</c:f>
              <c:strCache>
                <c:ptCount val="1"/>
                <c:pt idx="0">
                  <c:v>F(x)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Normal!$B$14:$B$144</c:f>
              <c:numCache>
                <c:formatCode>General</c:formatCode>
                <c:ptCount val="13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  <c:pt idx="100">
                  <c:v>135</c:v>
                </c:pt>
                <c:pt idx="101">
                  <c:v>136</c:v>
                </c:pt>
                <c:pt idx="102">
                  <c:v>137</c:v>
                </c:pt>
                <c:pt idx="103">
                  <c:v>138</c:v>
                </c:pt>
                <c:pt idx="104">
                  <c:v>139</c:v>
                </c:pt>
                <c:pt idx="105">
                  <c:v>140</c:v>
                </c:pt>
                <c:pt idx="106">
                  <c:v>141</c:v>
                </c:pt>
                <c:pt idx="107">
                  <c:v>142</c:v>
                </c:pt>
                <c:pt idx="108">
                  <c:v>143</c:v>
                </c:pt>
                <c:pt idx="109">
                  <c:v>144</c:v>
                </c:pt>
                <c:pt idx="110">
                  <c:v>145</c:v>
                </c:pt>
                <c:pt idx="111">
                  <c:v>146</c:v>
                </c:pt>
                <c:pt idx="112">
                  <c:v>147</c:v>
                </c:pt>
                <c:pt idx="113">
                  <c:v>148</c:v>
                </c:pt>
                <c:pt idx="114">
                  <c:v>149</c:v>
                </c:pt>
                <c:pt idx="115">
                  <c:v>150</c:v>
                </c:pt>
                <c:pt idx="116">
                  <c:v>151</c:v>
                </c:pt>
                <c:pt idx="117">
                  <c:v>152</c:v>
                </c:pt>
                <c:pt idx="118">
                  <c:v>153</c:v>
                </c:pt>
                <c:pt idx="119">
                  <c:v>154</c:v>
                </c:pt>
                <c:pt idx="120">
                  <c:v>155</c:v>
                </c:pt>
                <c:pt idx="121">
                  <c:v>156</c:v>
                </c:pt>
                <c:pt idx="122">
                  <c:v>157</c:v>
                </c:pt>
                <c:pt idx="123">
                  <c:v>158</c:v>
                </c:pt>
                <c:pt idx="124">
                  <c:v>159</c:v>
                </c:pt>
                <c:pt idx="125">
                  <c:v>160</c:v>
                </c:pt>
                <c:pt idx="126">
                  <c:v>161</c:v>
                </c:pt>
                <c:pt idx="127">
                  <c:v>162</c:v>
                </c:pt>
                <c:pt idx="128">
                  <c:v>163</c:v>
                </c:pt>
                <c:pt idx="129">
                  <c:v>164</c:v>
                </c:pt>
                <c:pt idx="130">
                  <c:v>165</c:v>
                </c:pt>
              </c:numCache>
            </c:numRef>
          </c:cat>
          <c:val>
            <c:numRef>
              <c:f>Normal!$E$14:$E$144</c:f>
              <c:numCache>
                <c:formatCode>0.0%</c:formatCode>
                <c:ptCount val="131"/>
                <c:pt idx="0">
                  <c:v>5.7702504239076603E-4</c:v>
                </c:pt>
                <c:pt idx="1">
                  <c:v>6.8713793791584719E-4</c:v>
                </c:pt>
                <c:pt idx="2">
                  <c:v>8.1635231282856167E-4</c:v>
                </c:pt>
                <c:pt idx="3">
                  <c:v>9.676032132183561E-4</c:v>
                </c:pt>
                <c:pt idx="4">
                  <c:v>1.1442068310226975E-3</c:v>
                </c:pt>
                <c:pt idx="5">
                  <c:v>1.3498980316300933E-3</c:v>
                </c:pt>
                <c:pt idx="6">
                  <c:v>1.5888696473648663E-3</c:v>
                </c:pt>
                <c:pt idx="7">
                  <c:v>1.8658133003840378E-3</c:v>
                </c:pt>
                <c:pt idx="8">
                  <c:v>2.1859614549132396E-3</c:v>
                </c:pt>
                <c:pt idx="9">
                  <c:v>2.5551303304279312E-3</c:v>
                </c:pt>
                <c:pt idx="10">
                  <c:v>2.9797632350545551E-3</c:v>
                </c:pt>
                <c:pt idx="11">
                  <c:v>3.4669738030406643E-3</c:v>
                </c:pt>
                <c:pt idx="12">
                  <c:v>4.0245885427583044E-3</c:v>
                </c:pt>
                <c:pt idx="13">
                  <c:v>4.6611880237187476E-3</c:v>
                </c:pt>
                <c:pt idx="14">
                  <c:v>5.3861459540666869E-3</c:v>
                </c:pt>
                <c:pt idx="15">
                  <c:v>6.2096653257761331E-3</c:v>
                </c:pt>
                <c:pt idx="16">
                  <c:v>7.1428107352714144E-3</c:v>
                </c:pt>
                <c:pt idx="17">
                  <c:v>8.1975359245961311E-3</c:v>
                </c:pt>
                <c:pt idx="18">
                  <c:v>9.3867055348385697E-3</c:v>
                </c:pt>
                <c:pt idx="19">
                  <c:v>1.0724110021675811E-2</c:v>
                </c:pt>
                <c:pt idx="20">
                  <c:v>1.2224472655044696E-2</c:v>
                </c:pt>
                <c:pt idx="21">
                  <c:v>1.3903447513498597E-2</c:v>
                </c:pt>
                <c:pt idx="22">
                  <c:v>1.5777607391090503E-2</c:v>
                </c:pt>
                <c:pt idx="23">
                  <c:v>1.7864420562816546E-2</c:v>
                </c:pt>
                <c:pt idx="24">
                  <c:v>2.0182215405704397E-2</c:v>
                </c:pt>
                <c:pt idx="25">
                  <c:v>2.2750131948179191E-2</c:v>
                </c:pt>
                <c:pt idx="26">
                  <c:v>2.5588059521638607E-2</c:v>
                </c:pt>
                <c:pt idx="27">
                  <c:v>2.87165598160018E-2</c:v>
                </c:pt>
                <c:pt idx="28">
                  <c:v>3.2156774795613713E-2</c:v>
                </c:pt>
                <c:pt idx="29">
                  <c:v>3.5930319112925789E-2</c:v>
                </c:pt>
                <c:pt idx="30">
                  <c:v>4.00591568638171E-2</c:v>
                </c:pt>
                <c:pt idx="31">
                  <c:v>4.4565462758543041E-2</c:v>
                </c:pt>
                <c:pt idx="32">
                  <c:v>4.9471468033648096E-2</c:v>
                </c:pt>
                <c:pt idx="33">
                  <c:v>5.4799291699557967E-2</c:v>
                </c:pt>
                <c:pt idx="34">
                  <c:v>6.057075800205898E-2</c:v>
                </c:pt>
                <c:pt idx="35">
                  <c:v>6.6807201268858057E-2</c:v>
                </c:pt>
                <c:pt idx="36">
                  <c:v>7.3529259609648373E-2</c:v>
                </c:pt>
                <c:pt idx="37">
                  <c:v>8.0756659233771053E-2</c:v>
                </c:pt>
                <c:pt idx="38">
                  <c:v>8.8507991437401998E-2</c:v>
                </c:pt>
                <c:pt idx="39">
                  <c:v>9.6800484585610316E-2</c:v>
                </c:pt>
                <c:pt idx="40">
                  <c:v>0.10564977366685525</c:v>
                </c:pt>
                <c:pt idx="41">
                  <c:v>0.11506967022170828</c:v>
                </c:pt>
                <c:pt idx="42">
                  <c:v>0.12507193563715024</c:v>
                </c:pt>
                <c:pt idx="43">
                  <c:v>0.13566606094638264</c:v>
                </c:pt>
                <c:pt idx="44">
                  <c:v>0.14685905637589594</c:v>
                </c:pt>
                <c:pt idx="45">
                  <c:v>0.15865525393145699</c:v>
                </c:pt>
                <c:pt idx="46">
                  <c:v>0.17105612630848185</c:v>
                </c:pt>
                <c:pt idx="47">
                  <c:v>0.1840601253467595</c:v>
                </c:pt>
                <c:pt idx="48">
                  <c:v>0.19766254312269238</c:v>
                </c:pt>
                <c:pt idx="49">
                  <c:v>0.21185539858339661</c:v>
                </c:pt>
                <c:pt idx="50">
                  <c:v>0.22662735237686821</c:v>
                </c:pt>
                <c:pt idx="51">
                  <c:v>0.24196365222307298</c:v>
                </c:pt>
                <c:pt idx="52">
                  <c:v>0.25784611080586467</c:v>
                </c:pt>
                <c:pt idx="53">
                  <c:v>0.27425311775007355</c:v>
                </c:pt>
                <c:pt idx="54">
                  <c:v>0.29115968678834636</c:v>
                </c:pt>
                <c:pt idx="55">
                  <c:v>0.30853753872598688</c:v>
                </c:pt>
                <c:pt idx="56">
                  <c:v>0.32635522028791997</c:v>
                </c:pt>
                <c:pt idx="57">
                  <c:v>0.34457825838967576</c:v>
                </c:pt>
                <c:pt idx="58">
                  <c:v>0.3631693488243809</c:v>
                </c:pt>
                <c:pt idx="59">
                  <c:v>0.38208857781104733</c:v>
                </c:pt>
                <c:pt idx="60">
                  <c:v>0.4012936743170763</c:v>
                </c:pt>
                <c:pt idx="61">
                  <c:v>0.42074029056089696</c:v>
                </c:pt>
                <c:pt idx="62">
                  <c:v>0.4403823076297575</c:v>
                </c:pt>
                <c:pt idx="63">
                  <c:v>0.46017216272297101</c:v>
                </c:pt>
                <c:pt idx="64">
                  <c:v>0.48006119416162751</c:v>
                </c:pt>
                <c:pt idx="65">
                  <c:v>0.5</c:v>
                </c:pt>
                <c:pt idx="66">
                  <c:v>0.51993880583837249</c:v>
                </c:pt>
                <c:pt idx="67">
                  <c:v>0.53982783727702899</c:v>
                </c:pt>
                <c:pt idx="68">
                  <c:v>0.5596176923702425</c:v>
                </c:pt>
                <c:pt idx="69">
                  <c:v>0.57925970943910299</c:v>
                </c:pt>
                <c:pt idx="70">
                  <c:v>0.5987063256829237</c:v>
                </c:pt>
                <c:pt idx="71">
                  <c:v>0.61791142218895267</c:v>
                </c:pt>
                <c:pt idx="72">
                  <c:v>0.6368306511756191</c:v>
                </c:pt>
                <c:pt idx="73">
                  <c:v>0.65542174161032429</c:v>
                </c:pt>
                <c:pt idx="74">
                  <c:v>0.67364477971208003</c:v>
                </c:pt>
                <c:pt idx="75">
                  <c:v>0.69146246127401312</c:v>
                </c:pt>
                <c:pt idx="76">
                  <c:v>0.70884031321165364</c:v>
                </c:pt>
                <c:pt idx="77">
                  <c:v>0.72574688224992645</c:v>
                </c:pt>
                <c:pt idx="78">
                  <c:v>0.74215388919413527</c:v>
                </c:pt>
                <c:pt idx="79">
                  <c:v>0.75803634777692697</c:v>
                </c:pt>
                <c:pt idx="80">
                  <c:v>0.77337264762313174</c:v>
                </c:pt>
                <c:pt idx="81">
                  <c:v>0.78814460141660336</c:v>
                </c:pt>
                <c:pt idx="82">
                  <c:v>0.80233745687730762</c:v>
                </c:pt>
                <c:pt idx="83">
                  <c:v>0.81593987465324047</c:v>
                </c:pt>
                <c:pt idx="84">
                  <c:v>0.82894387369151812</c:v>
                </c:pt>
                <c:pt idx="85">
                  <c:v>0.84134474606854304</c:v>
                </c:pt>
                <c:pt idx="86">
                  <c:v>0.85314094362410409</c:v>
                </c:pt>
                <c:pt idx="87">
                  <c:v>0.86433393905361733</c:v>
                </c:pt>
                <c:pt idx="88">
                  <c:v>0.87492806436284976</c:v>
                </c:pt>
                <c:pt idx="89">
                  <c:v>0.88493032977829178</c:v>
                </c:pt>
                <c:pt idx="90">
                  <c:v>0.89435022633314476</c:v>
                </c:pt>
                <c:pt idx="91">
                  <c:v>0.9031995154143897</c:v>
                </c:pt>
                <c:pt idx="92">
                  <c:v>0.91149200856259804</c:v>
                </c:pt>
                <c:pt idx="93">
                  <c:v>0.91924334076622893</c:v>
                </c:pt>
                <c:pt idx="94">
                  <c:v>0.9264707403903516</c:v>
                </c:pt>
                <c:pt idx="95">
                  <c:v>0.93319279873114191</c:v>
                </c:pt>
                <c:pt idx="96">
                  <c:v>0.93942924199794098</c:v>
                </c:pt>
                <c:pt idx="97">
                  <c:v>0.94520070830044201</c:v>
                </c:pt>
                <c:pt idx="98">
                  <c:v>0.9505285319663519</c:v>
                </c:pt>
                <c:pt idx="99">
                  <c:v>0.95543453724145699</c:v>
                </c:pt>
                <c:pt idx="100">
                  <c:v>0.95994084313618289</c:v>
                </c:pt>
                <c:pt idx="101">
                  <c:v>0.96406968088707423</c:v>
                </c:pt>
                <c:pt idx="102">
                  <c:v>0.96784322520438626</c:v>
                </c:pt>
                <c:pt idx="103">
                  <c:v>0.97128344018399815</c:v>
                </c:pt>
                <c:pt idx="104">
                  <c:v>0.97441194047836144</c:v>
                </c:pt>
                <c:pt idx="105">
                  <c:v>0.97724986805182079</c:v>
                </c:pt>
                <c:pt idx="106">
                  <c:v>0.97981778459429558</c:v>
                </c:pt>
                <c:pt idx="107">
                  <c:v>0.98213557943718344</c:v>
                </c:pt>
                <c:pt idx="108">
                  <c:v>0.98422239260890954</c:v>
                </c:pt>
                <c:pt idx="109">
                  <c:v>0.98609655248650141</c:v>
                </c:pt>
                <c:pt idx="110">
                  <c:v>0.98777552734495533</c:v>
                </c:pt>
                <c:pt idx="111">
                  <c:v>0.98927588997832416</c:v>
                </c:pt>
                <c:pt idx="112">
                  <c:v>0.99061329446516144</c:v>
                </c:pt>
                <c:pt idx="113">
                  <c:v>0.99180246407540384</c:v>
                </c:pt>
                <c:pt idx="114">
                  <c:v>0.99285718926472855</c:v>
                </c:pt>
                <c:pt idx="115">
                  <c:v>0.99379033467422384</c:v>
                </c:pt>
                <c:pt idx="116">
                  <c:v>0.99461385404593328</c:v>
                </c:pt>
                <c:pt idx="117">
                  <c:v>0.99533881197628127</c:v>
                </c:pt>
                <c:pt idx="118">
                  <c:v>0.99597541145724167</c:v>
                </c:pt>
                <c:pt idx="119">
                  <c:v>0.99653302619695938</c:v>
                </c:pt>
                <c:pt idx="120">
                  <c:v>0.99702023676494544</c:v>
                </c:pt>
                <c:pt idx="121">
                  <c:v>0.99744486966957202</c:v>
                </c:pt>
                <c:pt idx="122">
                  <c:v>0.99781403854508677</c:v>
                </c:pt>
                <c:pt idx="123">
                  <c:v>0.99813418669961596</c:v>
                </c:pt>
                <c:pt idx="124">
                  <c:v>0.99841113035263518</c:v>
                </c:pt>
                <c:pt idx="125">
                  <c:v>0.9986501019683699</c:v>
                </c:pt>
                <c:pt idx="126">
                  <c:v>0.99885579316897732</c:v>
                </c:pt>
                <c:pt idx="127">
                  <c:v>0.99903239678678168</c:v>
                </c:pt>
                <c:pt idx="128">
                  <c:v>0.99918364768717138</c:v>
                </c:pt>
                <c:pt idx="129">
                  <c:v>0.99931286206208414</c:v>
                </c:pt>
                <c:pt idx="130">
                  <c:v>0.99942297495760923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3-4A60-899B-F8B91134F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297023"/>
        <c:axId val="791293695"/>
      </c:lineChart>
      <c:catAx>
        <c:axId val="79129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auto val="1"/>
        <c:lblAlgn val="ctr"/>
        <c:lblOffset val="100"/>
        <c:noMultiLvlLbl val="0"/>
      </c:catAx>
      <c:valAx>
        <c:axId val="79129369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Normal!$C$13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Normal!$B$14:$B$144</c:f>
              <c:numCache>
                <c:formatCode>General</c:formatCode>
                <c:ptCount val="13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  <c:pt idx="100">
                  <c:v>135</c:v>
                </c:pt>
                <c:pt idx="101">
                  <c:v>136</c:v>
                </c:pt>
                <c:pt idx="102">
                  <c:v>137</c:v>
                </c:pt>
                <c:pt idx="103">
                  <c:v>138</c:v>
                </c:pt>
                <c:pt idx="104">
                  <c:v>139</c:v>
                </c:pt>
                <c:pt idx="105">
                  <c:v>140</c:v>
                </c:pt>
                <c:pt idx="106">
                  <c:v>141</c:v>
                </c:pt>
                <c:pt idx="107">
                  <c:v>142</c:v>
                </c:pt>
                <c:pt idx="108">
                  <c:v>143</c:v>
                </c:pt>
                <c:pt idx="109">
                  <c:v>144</c:v>
                </c:pt>
                <c:pt idx="110">
                  <c:v>145</c:v>
                </c:pt>
                <c:pt idx="111">
                  <c:v>146</c:v>
                </c:pt>
                <c:pt idx="112">
                  <c:v>147</c:v>
                </c:pt>
                <c:pt idx="113">
                  <c:v>148</c:v>
                </c:pt>
                <c:pt idx="114">
                  <c:v>149</c:v>
                </c:pt>
                <c:pt idx="115">
                  <c:v>150</c:v>
                </c:pt>
                <c:pt idx="116">
                  <c:v>151</c:v>
                </c:pt>
                <c:pt idx="117">
                  <c:v>152</c:v>
                </c:pt>
                <c:pt idx="118">
                  <c:v>153</c:v>
                </c:pt>
                <c:pt idx="119">
                  <c:v>154</c:v>
                </c:pt>
                <c:pt idx="120">
                  <c:v>155</c:v>
                </c:pt>
                <c:pt idx="121">
                  <c:v>156</c:v>
                </c:pt>
                <c:pt idx="122">
                  <c:v>157</c:v>
                </c:pt>
                <c:pt idx="123">
                  <c:v>158</c:v>
                </c:pt>
                <c:pt idx="124">
                  <c:v>159</c:v>
                </c:pt>
                <c:pt idx="125">
                  <c:v>160</c:v>
                </c:pt>
                <c:pt idx="126">
                  <c:v>161</c:v>
                </c:pt>
                <c:pt idx="127">
                  <c:v>162</c:v>
                </c:pt>
                <c:pt idx="128">
                  <c:v>163</c:v>
                </c:pt>
                <c:pt idx="129">
                  <c:v>164</c:v>
                </c:pt>
                <c:pt idx="130">
                  <c:v>165</c:v>
                </c:pt>
              </c:numCache>
            </c:numRef>
          </c:cat>
          <c:val>
            <c:numRef>
              <c:f>Normal!$C$14:$C$144</c:f>
              <c:numCache>
                <c:formatCode>0.0%</c:formatCode>
                <c:ptCount val="131"/>
                <c:pt idx="0">
                  <c:v>1.0145240286498842E-4</c:v>
                </c:pt>
                <c:pt idx="1">
                  <c:v>1.1920441007324202E-4</c:v>
                </c:pt>
                <c:pt idx="2">
                  <c:v>1.3971292074397236E-4</c:v>
                </c:pt>
                <c:pt idx="3">
                  <c:v>1.6334095280999593E-4</c:v>
                </c:pt>
                <c:pt idx="4">
                  <c:v>1.9048810491109055E-4</c:v>
                </c:pt>
                <c:pt idx="5">
                  <c:v>2.2159242059690038E-4</c:v>
                </c:pt>
                <c:pt idx="6">
                  <c:v>2.5713204615269698E-4</c:v>
                </c:pt>
                <c:pt idx="7">
                  <c:v>2.9762662098879272E-4</c:v>
                </c:pt>
                <c:pt idx="8">
                  <c:v>3.4363833453069856E-4</c:v>
                </c:pt>
                <c:pt idx="9">
                  <c:v>3.9577257914899847E-4</c:v>
                </c:pt>
                <c:pt idx="10">
                  <c:v>4.546781250795527E-4</c:v>
                </c:pt>
                <c:pt idx="11">
                  <c:v>5.2104674072112956E-4</c:v>
                </c:pt>
                <c:pt idx="12">
                  <c:v>5.9561218038025904E-4</c:v>
                </c:pt>
                <c:pt idx="13">
                  <c:v>6.7914846168428073E-4</c:v>
                </c:pt>
                <c:pt idx="14">
                  <c:v>7.7246735671975876E-4</c:v>
                </c:pt>
                <c:pt idx="15">
                  <c:v>8.7641502467842713E-4</c:v>
                </c:pt>
                <c:pt idx="16">
                  <c:v>9.9186771958976582E-4</c:v>
                </c:pt>
                <c:pt idx="17">
                  <c:v>1.1197265147421451E-3</c:v>
                </c:pt>
                <c:pt idx="18">
                  <c:v>1.2609109957597193E-3</c:v>
                </c:pt>
                <c:pt idx="19">
                  <c:v>1.4163518870800595E-3</c:v>
                </c:pt>
                <c:pt idx="20">
                  <c:v>1.5869825917833712E-3</c:v>
                </c:pt>
                <c:pt idx="21">
                  <c:v>1.7737296423115713E-3</c:v>
                </c:pt>
                <c:pt idx="22">
                  <c:v>1.9775020794685111E-3</c:v>
                </c:pt>
                <c:pt idx="23">
                  <c:v>2.1991797990213598E-3</c:v>
                </c:pt>
                <c:pt idx="24">
                  <c:v>2.4396009289591384E-3</c:v>
                </c:pt>
                <c:pt idx="25">
                  <c:v>2.6995483256594031E-3</c:v>
                </c:pt>
                <c:pt idx="26">
                  <c:v>2.979735303440804E-3</c:v>
                </c:pt>
                <c:pt idx="27">
                  <c:v>3.2807907387338302E-3</c:v>
                </c:pt>
                <c:pt idx="28">
                  <c:v>3.6032437168109E-3</c:v>
                </c:pt>
                <c:pt idx="29">
                  <c:v>3.9475079150447078E-3</c:v>
                </c:pt>
                <c:pt idx="30">
                  <c:v>4.3138659413255766E-3</c:v>
                </c:pt>
                <c:pt idx="31">
                  <c:v>4.7024538688443477E-3</c:v>
                </c:pt>
                <c:pt idx="32">
                  <c:v>5.1132462281989017E-3</c:v>
                </c:pt>
                <c:pt idx="33">
                  <c:v>5.5460417339727782E-3</c:v>
                </c:pt>
                <c:pt idx="34">
                  <c:v>6.0004500348492798E-3</c:v>
                </c:pt>
                <c:pt idx="35">
                  <c:v>6.4758797832945875E-3</c:v>
                </c:pt>
                <c:pt idx="36">
                  <c:v>6.9715283222680146E-3</c:v>
                </c:pt>
                <c:pt idx="37">
                  <c:v>7.4863732817872447E-3</c:v>
                </c:pt>
                <c:pt idx="38">
                  <c:v>8.0191663670959798E-3</c:v>
                </c:pt>
                <c:pt idx="39">
                  <c:v>8.5684296023903674E-3</c:v>
                </c:pt>
                <c:pt idx="40">
                  <c:v>9.1324542694510968E-3</c:v>
                </c:pt>
                <c:pt idx="41">
                  <c:v>9.7093027491606497E-3</c:v>
                </c:pt>
                <c:pt idx="42">
                  <c:v>1.0296813435998741E-2</c:v>
                </c:pt>
                <c:pt idx="43">
                  <c:v>1.0892608851627529E-2</c:v>
                </c:pt>
                <c:pt idx="44">
                  <c:v>1.1494107034211651E-2</c:v>
                </c:pt>
                <c:pt idx="45">
                  <c:v>1.209853622595717E-2</c:v>
                </c:pt>
                <c:pt idx="46">
                  <c:v>1.2702952823459453E-2</c:v>
                </c:pt>
                <c:pt idx="47">
                  <c:v>1.3304262494937743E-2</c:v>
                </c:pt>
                <c:pt idx="48">
                  <c:v>1.3899244306549825E-2</c:v>
                </c:pt>
                <c:pt idx="49">
                  <c:v>1.4484577638074137E-2</c:v>
                </c:pt>
                <c:pt idx="50">
                  <c:v>1.5056871607740222E-2</c:v>
                </c:pt>
                <c:pt idx="51">
                  <c:v>1.5612696668338064E-2</c:v>
                </c:pt>
                <c:pt idx="52">
                  <c:v>1.6148617983395716E-2</c:v>
                </c:pt>
                <c:pt idx="53">
                  <c:v>1.6661230144589985E-2</c:v>
                </c:pt>
                <c:pt idx="54">
                  <c:v>1.7147192750969195E-2</c:v>
                </c:pt>
                <c:pt idx="55">
                  <c:v>1.7603266338214976E-2</c:v>
                </c:pt>
                <c:pt idx="56">
                  <c:v>1.80263481230824E-2</c:v>
                </c:pt>
                <c:pt idx="57">
                  <c:v>1.841350701516617E-2</c:v>
                </c:pt>
                <c:pt idx="58">
                  <c:v>1.8762017345846899E-2</c:v>
                </c:pt>
                <c:pt idx="59">
                  <c:v>1.9069390773026208E-2</c:v>
                </c:pt>
                <c:pt idx="60">
                  <c:v>1.9333405840142464E-2</c:v>
                </c:pt>
                <c:pt idx="61">
                  <c:v>1.9552134698772795E-2</c:v>
                </c:pt>
                <c:pt idx="62">
                  <c:v>1.9723966545394447E-2</c:v>
                </c:pt>
                <c:pt idx="63">
                  <c:v>1.9847627373850592E-2</c:v>
                </c:pt>
                <c:pt idx="64">
                  <c:v>1.9922195704738205E-2</c:v>
                </c:pt>
                <c:pt idx="65">
                  <c:v>1.9947114020071637E-2</c:v>
                </c:pt>
                <c:pt idx="66">
                  <c:v>1.9922195704738205E-2</c:v>
                </c:pt>
                <c:pt idx="67">
                  <c:v>1.9847627373850592E-2</c:v>
                </c:pt>
                <c:pt idx="68">
                  <c:v>1.9723966545394447E-2</c:v>
                </c:pt>
                <c:pt idx="69">
                  <c:v>1.9552134698772795E-2</c:v>
                </c:pt>
                <c:pt idx="70">
                  <c:v>1.9333405840142464E-2</c:v>
                </c:pt>
                <c:pt idx="71">
                  <c:v>1.9069390773026208E-2</c:v>
                </c:pt>
                <c:pt idx="72">
                  <c:v>1.8762017345846899E-2</c:v>
                </c:pt>
                <c:pt idx="73">
                  <c:v>1.841350701516617E-2</c:v>
                </c:pt>
                <c:pt idx="74">
                  <c:v>1.80263481230824E-2</c:v>
                </c:pt>
                <c:pt idx="75">
                  <c:v>1.7603266338214976E-2</c:v>
                </c:pt>
                <c:pt idx="76">
                  <c:v>1.7147192750969195E-2</c:v>
                </c:pt>
                <c:pt idx="77">
                  <c:v>1.6661230144589985E-2</c:v>
                </c:pt>
                <c:pt idx="78">
                  <c:v>1.6148617983395716E-2</c:v>
                </c:pt>
                <c:pt idx="79">
                  <c:v>1.5612696668338064E-2</c:v>
                </c:pt>
                <c:pt idx="80">
                  <c:v>1.5056871607740222E-2</c:v>
                </c:pt>
                <c:pt idx="81">
                  <c:v>1.4484577638074137E-2</c:v>
                </c:pt>
                <c:pt idx="82">
                  <c:v>1.3899244306549825E-2</c:v>
                </c:pt>
                <c:pt idx="83">
                  <c:v>1.3304262494937743E-2</c:v>
                </c:pt>
                <c:pt idx="84">
                  <c:v>1.2702952823459453E-2</c:v>
                </c:pt>
                <c:pt idx="85">
                  <c:v>1.209853622595717E-2</c:v>
                </c:pt>
                <c:pt idx="86">
                  <c:v>1.1494107034211651E-2</c:v>
                </c:pt>
                <c:pt idx="87">
                  <c:v>1.0892608851627529E-2</c:v>
                </c:pt>
                <c:pt idx="88">
                  <c:v>1.0296813435998741E-2</c:v>
                </c:pt>
                <c:pt idx="89">
                  <c:v>9.7093027491606497E-3</c:v>
                </c:pt>
                <c:pt idx="90">
                  <c:v>9.1324542694510968E-3</c:v>
                </c:pt>
                <c:pt idx="91">
                  <c:v>8.5684296023903674E-3</c:v>
                </c:pt>
                <c:pt idx="92">
                  <c:v>8.0191663670959798E-3</c:v>
                </c:pt>
                <c:pt idx="93">
                  <c:v>7.4863732817872447E-3</c:v>
                </c:pt>
                <c:pt idx="94">
                  <c:v>6.9715283222680146E-3</c:v>
                </c:pt>
                <c:pt idx="95">
                  <c:v>6.4758797832945875E-3</c:v>
                </c:pt>
                <c:pt idx="96">
                  <c:v>6.0004500348492798E-3</c:v>
                </c:pt>
                <c:pt idx="97">
                  <c:v>5.5460417339727782E-3</c:v>
                </c:pt>
                <c:pt idx="98">
                  <c:v>5.1132462281989017E-3</c:v>
                </c:pt>
                <c:pt idx="99">
                  <c:v>4.7024538688443477E-3</c:v>
                </c:pt>
                <c:pt idx="100">
                  <c:v>4.3138659413255766E-3</c:v>
                </c:pt>
                <c:pt idx="101">
                  <c:v>3.9475079150447078E-3</c:v>
                </c:pt>
                <c:pt idx="102">
                  <c:v>3.6032437168109E-3</c:v>
                </c:pt>
                <c:pt idx="103">
                  <c:v>3.2807907387338302E-3</c:v>
                </c:pt>
                <c:pt idx="104">
                  <c:v>2.979735303440804E-3</c:v>
                </c:pt>
                <c:pt idx="105">
                  <c:v>2.6995483256594031E-3</c:v>
                </c:pt>
                <c:pt idx="106">
                  <c:v>2.4396009289591384E-3</c:v>
                </c:pt>
                <c:pt idx="107">
                  <c:v>2.1991797990213598E-3</c:v>
                </c:pt>
                <c:pt idx="108">
                  <c:v>1.9775020794685111E-3</c:v>
                </c:pt>
                <c:pt idx="109">
                  <c:v>1.7737296423115713E-3</c:v>
                </c:pt>
                <c:pt idx="110">
                  <c:v>1.5869825917833712E-3</c:v>
                </c:pt>
                <c:pt idx="111">
                  <c:v>1.4163518870800595E-3</c:v>
                </c:pt>
                <c:pt idx="112">
                  <c:v>1.2609109957597193E-3</c:v>
                </c:pt>
                <c:pt idx="113">
                  <c:v>1.1197265147421451E-3</c:v>
                </c:pt>
                <c:pt idx="114">
                  <c:v>9.9186771958976582E-4</c:v>
                </c:pt>
                <c:pt idx="115">
                  <c:v>8.7641502467842713E-4</c:v>
                </c:pt>
                <c:pt idx="116">
                  <c:v>7.7246735671975876E-4</c:v>
                </c:pt>
                <c:pt idx="117">
                  <c:v>6.7914846168428073E-4</c:v>
                </c:pt>
                <c:pt idx="118">
                  <c:v>5.9561218038025904E-4</c:v>
                </c:pt>
                <c:pt idx="119">
                  <c:v>5.2104674072112956E-4</c:v>
                </c:pt>
                <c:pt idx="120">
                  <c:v>4.546781250795527E-4</c:v>
                </c:pt>
                <c:pt idx="121">
                  <c:v>3.9577257914899847E-4</c:v>
                </c:pt>
                <c:pt idx="122">
                  <c:v>3.4363833453069856E-4</c:v>
                </c:pt>
                <c:pt idx="123">
                  <c:v>2.9762662098879272E-4</c:v>
                </c:pt>
                <c:pt idx="124">
                  <c:v>2.5713204615269698E-4</c:v>
                </c:pt>
                <c:pt idx="125">
                  <c:v>2.2159242059690038E-4</c:v>
                </c:pt>
                <c:pt idx="126">
                  <c:v>1.9048810491109055E-4</c:v>
                </c:pt>
                <c:pt idx="127">
                  <c:v>1.6334095280999593E-4</c:v>
                </c:pt>
                <c:pt idx="128">
                  <c:v>1.3971292074397236E-4</c:v>
                </c:pt>
                <c:pt idx="129">
                  <c:v>1.1920441007324202E-4</c:v>
                </c:pt>
                <c:pt idx="130">
                  <c:v>1.0145240286498842E-4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F-4E41-8541-6856577C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91297023"/>
        <c:axId val="791293695"/>
      </c:barChart>
      <c:lineChart>
        <c:grouping val="standard"/>
        <c:varyColors val="0"/>
        <c:ser>
          <c:idx val="1"/>
          <c:order val="1"/>
          <c:tx>
            <c:strRef>
              <c:f>Normal!$E$13</c:f>
              <c:strCache>
                <c:ptCount val="1"/>
                <c:pt idx="0">
                  <c:v>F(x)</c:v>
                </c:pt>
              </c:strCache>
            </c:strRef>
          </c:tx>
          <c:spPr>
            <a:ln w="12700" cap="flat" cmpd="sng" algn="ctr">
              <a:solidFill>
                <a:schemeClr val="tx1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numRef>
              <c:f>Normal!$B$14:$B$144</c:f>
              <c:numCache>
                <c:formatCode>General</c:formatCode>
                <c:ptCount val="13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  <c:pt idx="100">
                  <c:v>135</c:v>
                </c:pt>
                <c:pt idx="101">
                  <c:v>136</c:v>
                </c:pt>
                <c:pt idx="102">
                  <c:v>137</c:v>
                </c:pt>
                <c:pt idx="103">
                  <c:v>138</c:v>
                </c:pt>
                <c:pt idx="104">
                  <c:v>139</c:v>
                </c:pt>
                <c:pt idx="105">
                  <c:v>140</c:v>
                </c:pt>
                <c:pt idx="106">
                  <c:v>141</c:v>
                </c:pt>
                <c:pt idx="107">
                  <c:v>142</c:v>
                </c:pt>
                <c:pt idx="108">
                  <c:v>143</c:v>
                </c:pt>
                <c:pt idx="109">
                  <c:v>144</c:v>
                </c:pt>
                <c:pt idx="110">
                  <c:v>145</c:v>
                </c:pt>
                <c:pt idx="111">
                  <c:v>146</c:v>
                </c:pt>
                <c:pt idx="112">
                  <c:v>147</c:v>
                </c:pt>
                <c:pt idx="113">
                  <c:v>148</c:v>
                </c:pt>
                <c:pt idx="114">
                  <c:v>149</c:v>
                </c:pt>
                <c:pt idx="115">
                  <c:v>150</c:v>
                </c:pt>
                <c:pt idx="116">
                  <c:v>151</c:v>
                </c:pt>
                <c:pt idx="117">
                  <c:v>152</c:v>
                </c:pt>
                <c:pt idx="118">
                  <c:v>153</c:v>
                </c:pt>
                <c:pt idx="119">
                  <c:v>154</c:v>
                </c:pt>
                <c:pt idx="120">
                  <c:v>155</c:v>
                </c:pt>
                <c:pt idx="121">
                  <c:v>156</c:v>
                </c:pt>
                <c:pt idx="122">
                  <c:v>157</c:v>
                </c:pt>
                <c:pt idx="123">
                  <c:v>158</c:v>
                </c:pt>
                <c:pt idx="124">
                  <c:v>159</c:v>
                </c:pt>
                <c:pt idx="125">
                  <c:v>160</c:v>
                </c:pt>
                <c:pt idx="126">
                  <c:v>161</c:v>
                </c:pt>
                <c:pt idx="127">
                  <c:v>162</c:v>
                </c:pt>
                <c:pt idx="128">
                  <c:v>163</c:v>
                </c:pt>
                <c:pt idx="129">
                  <c:v>164</c:v>
                </c:pt>
                <c:pt idx="130">
                  <c:v>165</c:v>
                </c:pt>
              </c:numCache>
            </c:numRef>
          </c:cat>
          <c:val>
            <c:numRef>
              <c:f>Normal!$E$14:$E$144</c:f>
              <c:numCache>
                <c:formatCode>0.0%</c:formatCode>
                <c:ptCount val="131"/>
                <c:pt idx="0">
                  <c:v>5.7702504239076603E-4</c:v>
                </c:pt>
                <c:pt idx="1">
                  <c:v>6.8713793791584719E-4</c:v>
                </c:pt>
                <c:pt idx="2">
                  <c:v>8.1635231282856167E-4</c:v>
                </c:pt>
                <c:pt idx="3">
                  <c:v>9.676032132183561E-4</c:v>
                </c:pt>
                <c:pt idx="4">
                  <c:v>1.1442068310226975E-3</c:v>
                </c:pt>
                <c:pt idx="5">
                  <c:v>1.3498980316300933E-3</c:v>
                </c:pt>
                <c:pt idx="6">
                  <c:v>1.5888696473648663E-3</c:v>
                </c:pt>
                <c:pt idx="7">
                  <c:v>1.8658133003840378E-3</c:v>
                </c:pt>
                <c:pt idx="8">
                  <c:v>2.1859614549132396E-3</c:v>
                </c:pt>
                <c:pt idx="9">
                  <c:v>2.5551303304279312E-3</c:v>
                </c:pt>
                <c:pt idx="10">
                  <c:v>2.9797632350545551E-3</c:v>
                </c:pt>
                <c:pt idx="11">
                  <c:v>3.4669738030406643E-3</c:v>
                </c:pt>
                <c:pt idx="12">
                  <c:v>4.0245885427583044E-3</c:v>
                </c:pt>
                <c:pt idx="13">
                  <c:v>4.6611880237187476E-3</c:v>
                </c:pt>
                <c:pt idx="14">
                  <c:v>5.3861459540666869E-3</c:v>
                </c:pt>
                <c:pt idx="15">
                  <c:v>6.2096653257761331E-3</c:v>
                </c:pt>
                <c:pt idx="16">
                  <c:v>7.1428107352714144E-3</c:v>
                </c:pt>
                <c:pt idx="17">
                  <c:v>8.1975359245961311E-3</c:v>
                </c:pt>
                <c:pt idx="18">
                  <c:v>9.3867055348385697E-3</c:v>
                </c:pt>
                <c:pt idx="19">
                  <c:v>1.0724110021675811E-2</c:v>
                </c:pt>
                <c:pt idx="20">
                  <c:v>1.2224472655044696E-2</c:v>
                </c:pt>
                <c:pt idx="21">
                  <c:v>1.3903447513498597E-2</c:v>
                </c:pt>
                <c:pt idx="22">
                  <c:v>1.5777607391090503E-2</c:v>
                </c:pt>
                <c:pt idx="23">
                  <c:v>1.7864420562816546E-2</c:v>
                </c:pt>
                <c:pt idx="24">
                  <c:v>2.0182215405704397E-2</c:v>
                </c:pt>
                <c:pt idx="25">
                  <c:v>2.2750131948179191E-2</c:v>
                </c:pt>
                <c:pt idx="26">
                  <c:v>2.5588059521638607E-2</c:v>
                </c:pt>
                <c:pt idx="27">
                  <c:v>2.87165598160018E-2</c:v>
                </c:pt>
                <c:pt idx="28">
                  <c:v>3.2156774795613713E-2</c:v>
                </c:pt>
                <c:pt idx="29">
                  <c:v>3.5930319112925789E-2</c:v>
                </c:pt>
                <c:pt idx="30">
                  <c:v>4.00591568638171E-2</c:v>
                </c:pt>
                <c:pt idx="31">
                  <c:v>4.4565462758543041E-2</c:v>
                </c:pt>
                <c:pt idx="32">
                  <c:v>4.9471468033648096E-2</c:v>
                </c:pt>
                <c:pt idx="33">
                  <c:v>5.4799291699557967E-2</c:v>
                </c:pt>
                <c:pt idx="34">
                  <c:v>6.057075800205898E-2</c:v>
                </c:pt>
                <c:pt idx="35">
                  <c:v>6.6807201268858057E-2</c:v>
                </c:pt>
                <c:pt idx="36">
                  <c:v>7.3529259609648373E-2</c:v>
                </c:pt>
                <c:pt idx="37">
                  <c:v>8.0756659233771053E-2</c:v>
                </c:pt>
                <c:pt idx="38">
                  <c:v>8.8507991437401998E-2</c:v>
                </c:pt>
                <c:pt idx="39">
                  <c:v>9.6800484585610316E-2</c:v>
                </c:pt>
                <c:pt idx="40">
                  <c:v>0.10564977366685525</c:v>
                </c:pt>
                <c:pt idx="41">
                  <c:v>0.11506967022170828</c:v>
                </c:pt>
                <c:pt idx="42">
                  <c:v>0.12507193563715024</c:v>
                </c:pt>
                <c:pt idx="43">
                  <c:v>0.13566606094638264</c:v>
                </c:pt>
                <c:pt idx="44">
                  <c:v>0.14685905637589594</c:v>
                </c:pt>
                <c:pt idx="45">
                  <c:v>0.15865525393145699</c:v>
                </c:pt>
                <c:pt idx="46">
                  <c:v>0.17105612630848185</c:v>
                </c:pt>
                <c:pt idx="47">
                  <c:v>0.1840601253467595</c:v>
                </c:pt>
                <c:pt idx="48">
                  <c:v>0.19766254312269238</c:v>
                </c:pt>
                <c:pt idx="49">
                  <c:v>0.21185539858339661</c:v>
                </c:pt>
                <c:pt idx="50">
                  <c:v>0.22662735237686821</c:v>
                </c:pt>
                <c:pt idx="51">
                  <c:v>0.24196365222307298</c:v>
                </c:pt>
                <c:pt idx="52">
                  <c:v>0.25784611080586467</c:v>
                </c:pt>
                <c:pt idx="53">
                  <c:v>0.27425311775007355</c:v>
                </c:pt>
                <c:pt idx="54">
                  <c:v>0.29115968678834636</c:v>
                </c:pt>
                <c:pt idx="55">
                  <c:v>0.30853753872598688</c:v>
                </c:pt>
                <c:pt idx="56">
                  <c:v>0.32635522028791997</c:v>
                </c:pt>
                <c:pt idx="57">
                  <c:v>0.34457825838967576</c:v>
                </c:pt>
                <c:pt idx="58">
                  <c:v>0.3631693488243809</c:v>
                </c:pt>
                <c:pt idx="59">
                  <c:v>0.38208857781104733</c:v>
                </c:pt>
                <c:pt idx="60">
                  <c:v>0.4012936743170763</c:v>
                </c:pt>
                <c:pt idx="61">
                  <c:v>0.42074029056089696</c:v>
                </c:pt>
                <c:pt idx="62">
                  <c:v>0.4403823076297575</c:v>
                </c:pt>
                <c:pt idx="63">
                  <c:v>0.46017216272297101</c:v>
                </c:pt>
                <c:pt idx="64">
                  <c:v>0.48006119416162751</c:v>
                </c:pt>
                <c:pt idx="65">
                  <c:v>0.5</c:v>
                </c:pt>
                <c:pt idx="66">
                  <c:v>0.51993880583837249</c:v>
                </c:pt>
                <c:pt idx="67">
                  <c:v>0.53982783727702899</c:v>
                </c:pt>
                <c:pt idx="68">
                  <c:v>0.5596176923702425</c:v>
                </c:pt>
                <c:pt idx="69">
                  <c:v>0.57925970943910299</c:v>
                </c:pt>
                <c:pt idx="70">
                  <c:v>0.5987063256829237</c:v>
                </c:pt>
                <c:pt idx="71">
                  <c:v>0.61791142218895267</c:v>
                </c:pt>
                <c:pt idx="72">
                  <c:v>0.6368306511756191</c:v>
                </c:pt>
                <c:pt idx="73">
                  <c:v>0.65542174161032429</c:v>
                </c:pt>
                <c:pt idx="74">
                  <c:v>0.67364477971208003</c:v>
                </c:pt>
                <c:pt idx="75">
                  <c:v>0.69146246127401312</c:v>
                </c:pt>
                <c:pt idx="76">
                  <c:v>0.70884031321165364</c:v>
                </c:pt>
                <c:pt idx="77">
                  <c:v>0.72574688224992645</c:v>
                </c:pt>
                <c:pt idx="78">
                  <c:v>0.74215388919413527</c:v>
                </c:pt>
                <c:pt idx="79">
                  <c:v>0.75803634777692697</c:v>
                </c:pt>
                <c:pt idx="80">
                  <c:v>0.77337264762313174</c:v>
                </c:pt>
                <c:pt idx="81">
                  <c:v>0.78814460141660336</c:v>
                </c:pt>
                <c:pt idx="82">
                  <c:v>0.80233745687730762</c:v>
                </c:pt>
                <c:pt idx="83">
                  <c:v>0.81593987465324047</c:v>
                </c:pt>
                <c:pt idx="84">
                  <c:v>0.82894387369151812</c:v>
                </c:pt>
                <c:pt idx="85">
                  <c:v>0.84134474606854304</c:v>
                </c:pt>
                <c:pt idx="86">
                  <c:v>0.85314094362410409</c:v>
                </c:pt>
                <c:pt idx="87">
                  <c:v>0.86433393905361733</c:v>
                </c:pt>
                <c:pt idx="88">
                  <c:v>0.87492806436284976</c:v>
                </c:pt>
                <c:pt idx="89">
                  <c:v>0.88493032977829178</c:v>
                </c:pt>
                <c:pt idx="90">
                  <c:v>0.89435022633314476</c:v>
                </c:pt>
                <c:pt idx="91">
                  <c:v>0.9031995154143897</c:v>
                </c:pt>
                <c:pt idx="92">
                  <c:v>0.91149200856259804</c:v>
                </c:pt>
                <c:pt idx="93">
                  <c:v>0.91924334076622893</c:v>
                </c:pt>
                <c:pt idx="94">
                  <c:v>0.9264707403903516</c:v>
                </c:pt>
                <c:pt idx="95">
                  <c:v>0.93319279873114191</c:v>
                </c:pt>
                <c:pt idx="96">
                  <c:v>0.93942924199794098</c:v>
                </c:pt>
                <c:pt idx="97">
                  <c:v>0.94520070830044201</c:v>
                </c:pt>
                <c:pt idx="98">
                  <c:v>0.9505285319663519</c:v>
                </c:pt>
                <c:pt idx="99">
                  <c:v>0.95543453724145699</c:v>
                </c:pt>
                <c:pt idx="100">
                  <c:v>0.95994084313618289</c:v>
                </c:pt>
                <c:pt idx="101">
                  <c:v>0.96406968088707423</c:v>
                </c:pt>
                <c:pt idx="102">
                  <c:v>0.96784322520438626</c:v>
                </c:pt>
                <c:pt idx="103">
                  <c:v>0.97128344018399815</c:v>
                </c:pt>
                <c:pt idx="104">
                  <c:v>0.97441194047836144</c:v>
                </c:pt>
                <c:pt idx="105">
                  <c:v>0.97724986805182079</c:v>
                </c:pt>
                <c:pt idx="106">
                  <c:v>0.97981778459429558</c:v>
                </c:pt>
                <c:pt idx="107">
                  <c:v>0.98213557943718344</c:v>
                </c:pt>
                <c:pt idx="108">
                  <c:v>0.98422239260890954</c:v>
                </c:pt>
                <c:pt idx="109">
                  <c:v>0.98609655248650141</c:v>
                </c:pt>
                <c:pt idx="110">
                  <c:v>0.98777552734495533</c:v>
                </c:pt>
                <c:pt idx="111">
                  <c:v>0.98927588997832416</c:v>
                </c:pt>
                <c:pt idx="112">
                  <c:v>0.99061329446516144</c:v>
                </c:pt>
                <c:pt idx="113">
                  <c:v>0.99180246407540384</c:v>
                </c:pt>
                <c:pt idx="114">
                  <c:v>0.99285718926472855</c:v>
                </c:pt>
                <c:pt idx="115">
                  <c:v>0.99379033467422384</c:v>
                </c:pt>
                <c:pt idx="116">
                  <c:v>0.99461385404593328</c:v>
                </c:pt>
                <c:pt idx="117">
                  <c:v>0.99533881197628127</c:v>
                </c:pt>
                <c:pt idx="118">
                  <c:v>0.99597541145724167</c:v>
                </c:pt>
                <c:pt idx="119">
                  <c:v>0.99653302619695938</c:v>
                </c:pt>
                <c:pt idx="120">
                  <c:v>0.99702023676494544</c:v>
                </c:pt>
                <c:pt idx="121">
                  <c:v>0.99744486966957202</c:v>
                </c:pt>
                <c:pt idx="122">
                  <c:v>0.99781403854508677</c:v>
                </c:pt>
                <c:pt idx="123">
                  <c:v>0.99813418669961596</c:v>
                </c:pt>
                <c:pt idx="124">
                  <c:v>0.99841113035263518</c:v>
                </c:pt>
                <c:pt idx="125">
                  <c:v>0.9986501019683699</c:v>
                </c:pt>
                <c:pt idx="126">
                  <c:v>0.99885579316897732</c:v>
                </c:pt>
                <c:pt idx="127">
                  <c:v>0.99903239678678168</c:v>
                </c:pt>
                <c:pt idx="128">
                  <c:v>0.99918364768717138</c:v>
                </c:pt>
                <c:pt idx="129">
                  <c:v>0.99931286206208414</c:v>
                </c:pt>
                <c:pt idx="130">
                  <c:v>0.99942297495760923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1F-4E41-8541-6856577C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562047"/>
        <c:axId val="980545823"/>
      </c:lineChart>
      <c:catAx>
        <c:axId val="79129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auto val="1"/>
        <c:lblAlgn val="ctr"/>
        <c:lblOffset val="100"/>
        <c:noMultiLvlLbl val="0"/>
      </c:catAx>
      <c:valAx>
        <c:axId val="791293695"/>
        <c:scaling>
          <c:orientation val="minMax"/>
          <c:max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between"/>
        <c:minorUnit val="1.0000000000000004E-5"/>
      </c:valAx>
      <c:valAx>
        <c:axId val="980545823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980562047"/>
        <c:crosses val="max"/>
        <c:crossBetween val="between"/>
      </c:valAx>
      <c:catAx>
        <c:axId val="98056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0545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effectLst/>
              </a:rPr>
              <a:t>Función de distribución acumulada</a:t>
            </a:r>
            <a:endParaRPr lang="es-CO" sz="12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/>
              <a:t>Distribución Normal Estándar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Normal!$H$13</c:f>
              <c:strCache>
                <c:ptCount val="1"/>
                <c:pt idx="0">
                  <c:v>F(x)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Normal!$F$14:$F$144</c:f>
              <c:numCache>
                <c:formatCode>General</c:formatCode>
                <c:ptCount val="131"/>
                <c:pt idx="0">
                  <c:v>-3.25</c:v>
                </c:pt>
                <c:pt idx="1">
                  <c:v>-3.2</c:v>
                </c:pt>
                <c:pt idx="2">
                  <c:v>-3.15</c:v>
                </c:pt>
                <c:pt idx="3">
                  <c:v>-3.1</c:v>
                </c:pt>
                <c:pt idx="4">
                  <c:v>-3.05</c:v>
                </c:pt>
                <c:pt idx="5">
                  <c:v>-3</c:v>
                </c:pt>
                <c:pt idx="6">
                  <c:v>-2.95</c:v>
                </c:pt>
                <c:pt idx="7">
                  <c:v>-2.9</c:v>
                </c:pt>
                <c:pt idx="8">
                  <c:v>-2.85</c:v>
                </c:pt>
                <c:pt idx="9">
                  <c:v>-2.8</c:v>
                </c:pt>
                <c:pt idx="10">
                  <c:v>-2.75</c:v>
                </c:pt>
                <c:pt idx="11">
                  <c:v>-2.7</c:v>
                </c:pt>
                <c:pt idx="12">
                  <c:v>-2.65</c:v>
                </c:pt>
                <c:pt idx="13">
                  <c:v>-2.6</c:v>
                </c:pt>
                <c:pt idx="14">
                  <c:v>-2.5499999999999998</c:v>
                </c:pt>
                <c:pt idx="15">
                  <c:v>-2.5</c:v>
                </c:pt>
                <c:pt idx="16">
                  <c:v>-2.4500000000000002</c:v>
                </c:pt>
                <c:pt idx="17">
                  <c:v>-2.4</c:v>
                </c:pt>
                <c:pt idx="18">
                  <c:v>-2.35</c:v>
                </c:pt>
                <c:pt idx="19">
                  <c:v>-2.2999999999999998</c:v>
                </c:pt>
                <c:pt idx="20">
                  <c:v>-2.25</c:v>
                </c:pt>
                <c:pt idx="21">
                  <c:v>-2.2000000000000002</c:v>
                </c:pt>
                <c:pt idx="22">
                  <c:v>-2.15</c:v>
                </c:pt>
                <c:pt idx="23">
                  <c:v>-2.1</c:v>
                </c:pt>
                <c:pt idx="24">
                  <c:v>-2.0499999999999998</c:v>
                </c:pt>
                <c:pt idx="25">
                  <c:v>-2</c:v>
                </c:pt>
                <c:pt idx="26">
                  <c:v>-1.95</c:v>
                </c:pt>
                <c:pt idx="27">
                  <c:v>-1.9</c:v>
                </c:pt>
                <c:pt idx="28">
                  <c:v>-1.85</c:v>
                </c:pt>
                <c:pt idx="29">
                  <c:v>-1.8</c:v>
                </c:pt>
                <c:pt idx="30">
                  <c:v>-1.75</c:v>
                </c:pt>
                <c:pt idx="31">
                  <c:v>-1.7</c:v>
                </c:pt>
                <c:pt idx="32">
                  <c:v>-1.65</c:v>
                </c:pt>
                <c:pt idx="33">
                  <c:v>-1.6</c:v>
                </c:pt>
                <c:pt idx="34">
                  <c:v>-1.55</c:v>
                </c:pt>
                <c:pt idx="35">
                  <c:v>-1.5</c:v>
                </c:pt>
                <c:pt idx="36">
                  <c:v>-1.45</c:v>
                </c:pt>
                <c:pt idx="37">
                  <c:v>-1.4</c:v>
                </c:pt>
                <c:pt idx="38">
                  <c:v>-1.35</c:v>
                </c:pt>
                <c:pt idx="39">
                  <c:v>-1.3</c:v>
                </c:pt>
                <c:pt idx="40">
                  <c:v>-1.25</c:v>
                </c:pt>
                <c:pt idx="41">
                  <c:v>-1.2</c:v>
                </c:pt>
                <c:pt idx="42">
                  <c:v>-1.1499999999999999</c:v>
                </c:pt>
                <c:pt idx="43">
                  <c:v>-1.1000000000000001</c:v>
                </c:pt>
                <c:pt idx="44">
                  <c:v>-1.05</c:v>
                </c:pt>
                <c:pt idx="45">
                  <c:v>-1</c:v>
                </c:pt>
                <c:pt idx="46">
                  <c:v>-0.95</c:v>
                </c:pt>
                <c:pt idx="47">
                  <c:v>-0.9</c:v>
                </c:pt>
                <c:pt idx="48">
                  <c:v>-0.85</c:v>
                </c:pt>
                <c:pt idx="49">
                  <c:v>-0.8</c:v>
                </c:pt>
                <c:pt idx="50">
                  <c:v>-0.75</c:v>
                </c:pt>
                <c:pt idx="51">
                  <c:v>-0.7</c:v>
                </c:pt>
                <c:pt idx="52">
                  <c:v>-0.65</c:v>
                </c:pt>
                <c:pt idx="53">
                  <c:v>-0.6</c:v>
                </c:pt>
                <c:pt idx="54">
                  <c:v>-0.55000000000000004</c:v>
                </c:pt>
                <c:pt idx="55">
                  <c:v>-0.5</c:v>
                </c:pt>
                <c:pt idx="56">
                  <c:v>-0.45</c:v>
                </c:pt>
                <c:pt idx="57">
                  <c:v>-0.4</c:v>
                </c:pt>
                <c:pt idx="58">
                  <c:v>-0.35</c:v>
                </c:pt>
                <c:pt idx="59">
                  <c:v>-0.3</c:v>
                </c:pt>
                <c:pt idx="60">
                  <c:v>-0.25</c:v>
                </c:pt>
                <c:pt idx="61">
                  <c:v>-0.2</c:v>
                </c:pt>
                <c:pt idx="62">
                  <c:v>-0.15</c:v>
                </c:pt>
                <c:pt idx="63">
                  <c:v>-0.1</c:v>
                </c:pt>
                <c:pt idx="64">
                  <c:v>-0.05</c:v>
                </c:pt>
                <c:pt idx="65">
                  <c:v>0</c:v>
                </c:pt>
                <c:pt idx="66">
                  <c:v>0.05</c:v>
                </c:pt>
                <c:pt idx="67">
                  <c:v>0.1</c:v>
                </c:pt>
                <c:pt idx="68">
                  <c:v>0.15</c:v>
                </c:pt>
                <c:pt idx="69">
                  <c:v>0.2</c:v>
                </c:pt>
                <c:pt idx="70">
                  <c:v>0.25</c:v>
                </c:pt>
                <c:pt idx="71">
                  <c:v>0.3</c:v>
                </c:pt>
                <c:pt idx="72">
                  <c:v>0.35</c:v>
                </c:pt>
                <c:pt idx="73">
                  <c:v>0.4</c:v>
                </c:pt>
                <c:pt idx="74">
                  <c:v>0.45</c:v>
                </c:pt>
                <c:pt idx="75">
                  <c:v>0.5</c:v>
                </c:pt>
                <c:pt idx="76">
                  <c:v>0.55000000000000004</c:v>
                </c:pt>
                <c:pt idx="77">
                  <c:v>0.6</c:v>
                </c:pt>
                <c:pt idx="78">
                  <c:v>0.65</c:v>
                </c:pt>
                <c:pt idx="79">
                  <c:v>0.7</c:v>
                </c:pt>
                <c:pt idx="80">
                  <c:v>0.75</c:v>
                </c:pt>
                <c:pt idx="81">
                  <c:v>0.8</c:v>
                </c:pt>
                <c:pt idx="82">
                  <c:v>0.85</c:v>
                </c:pt>
                <c:pt idx="83">
                  <c:v>0.9</c:v>
                </c:pt>
                <c:pt idx="84">
                  <c:v>0.95</c:v>
                </c:pt>
                <c:pt idx="85">
                  <c:v>1</c:v>
                </c:pt>
                <c:pt idx="86">
                  <c:v>1.05</c:v>
                </c:pt>
                <c:pt idx="87">
                  <c:v>1.1000000000000001</c:v>
                </c:pt>
                <c:pt idx="88">
                  <c:v>1.1499999999999999</c:v>
                </c:pt>
                <c:pt idx="89">
                  <c:v>1.2</c:v>
                </c:pt>
                <c:pt idx="90">
                  <c:v>1.25</c:v>
                </c:pt>
                <c:pt idx="91">
                  <c:v>1.3</c:v>
                </c:pt>
                <c:pt idx="92">
                  <c:v>1.35</c:v>
                </c:pt>
                <c:pt idx="93">
                  <c:v>1.4</c:v>
                </c:pt>
                <c:pt idx="94">
                  <c:v>1.45</c:v>
                </c:pt>
                <c:pt idx="95">
                  <c:v>1.5</c:v>
                </c:pt>
                <c:pt idx="96">
                  <c:v>1.55</c:v>
                </c:pt>
                <c:pt idx="97">
                  <c:v>1.6</c:v>
                </c:pt>
                <c:pt idx="98">
                  <c:v>1.65</c:v>
                </c:pt>
                <c:pt idx="99">
                  <c:v>1.7</c:v>
                </c:pt>
                <c:pt idx="100">
                  <c:v>1.75</c:v>
                </c:pt>
                <c:pt idx="101">
                  <c:v>1.8</c:v>
                </c:pt>
                <c:pt idx="102">
                  <c:v>1.85</c:v>
                </c:pt>
                <c:pt idx="103">
                  <c:v>1.9</c:v>
                </c:pt>
                <c:pt idx="104">
                  <c:v>1.95</c:v>
                </c:pt>
                <c:pt idx="105">
                  <c:v>2</c:v>
                </c:pt>
                <c:pt idx="106">
                  <c:v>2.0499999999999998</c:v>
                </c:pt>
                <c:pt idx="107">
                  <c:v>2.1</c:v>
                </c:pt>
                <c:pt idx="108">
                  <c:v>2.15</c:v>
                </c:pt>
                <c:pt idx="109">
                  <c:v>2.2000000000000002</c:v>
                </c:pt>
                <c:pt idx="110">
                  <c:v>2.25</c:v>
                </c:pt>
                <c:pt idx="111">
                  <c:v>2.2999999999999998</c:v>
                </c:pt>
                <c:pt idx="112">
                  <c:v>2.35</c:v>
                </c:pt>
                <c:pt idx="113">
                  <c:v>2.4</c:v>
                </c:pt>
                <c:pt idx="114">
                  <c:v>2.4500000000000002</c:v>
                </c:pt>
                <c:pt idx="115">
                  <c:v>2.5</c:v>
                </c:pt>
                <c:pt idx="116">
                  <c:v>2.5499999999999998</c:v>
                </c:pt>
                <c:pt idx="117">
                  <c:v>2.6</c:v>
                </c:pt>
                <c:pt idx="118">
                  <c:v>2.65</c:v>
                </c:pt>
                <c:pt idx="119">
                  <c:v>2.7</c:v>
                </c:pt>
                <c:pt idx="120">
                  <c:v>2.75</c:v>
                </c:pt>
                <c:pt idx="121">
                  <c:v>2.8</c:v>
                </c:pt>
                <c:pt idx="122">
                  <c:v>2.85</c:v>
                </c:pt>
                <c:pt idx="123">
                  <c:v>2.9</c:v>
                </c:pt>
                <c:pt idx="124">
                  <c:v>2.95</c:v>
                </c:pt>
                <c:pt idx="125">
                  <c:v>3</c:v>
                </c:pt>
                <c:pt idx="126">
                  <c:v>3.05</c:v>
                </c:pt>
                <c:pt idx="127">
                  <c:v>3.1</c:v>
                </c:pt>
                <c:pt idx="128">
                  <c:v>3.15</c:v>
                </c:pt>
                <c:pt idx="129">
                  <c:v>3.2</c:v>
                </c:pt>
                <c:pt idx="130">
                  <c:v>3.25</c:v>
                </c:pt>
              </c:numCache>
            </c:numRef>
          </c:cat>
          <c:val>
            <c:numRef>
              <c:f>Normal!$H$14:$H$144</c:f>
              <c:numCache>
                <c:formatCode>0.00%</c:formatCode>
                <c:ptCount val="131"/>
                <c:pt idx="0">
                  <c:v>5.7702504239076603E-4</c:v>
                </c:pt>
                <c:pt idx="1">
                  <c:v>6.8713793791584719E-4</c:v>
                </c:pt>
                <c:pt idx="2">
                  <c:v>8.1635231282856167E-4</c:v>
                </c:pt>
                <c:pt idx="3">
                  <c:v>9.676032132183561E-4</c:v>
                </c:pt>
                <c:pt idx="4">
                  <c:v>1.1442068310226975E-3</c:v>
                </c:pt>
                <c:pt idx="5">
                  <c:v>1.3498980316300933E-3</c:v>
                </c:pt>
                <c:pt idx="6">
                  <c:v>1.5888696473648663E-3</c:v>
                </c:pt>
                <c:pt idx="7">
                  <c:v>1.8658133003840378E-3</c:v>
                </c:pt>
                <c:pt idx="8">
                  <c:v>2.1859614549132396E-3</c:v>
                </c:pt>
                <c:pt idx="9">
                  <c:v>2.5551303304279312E-3</c:v>
                </c:pt>
                <c:pt idx="10">
                  <c:v>2.9797632350545551E-3</c:v>
                </c:pt>
                <c:pt idx="11">
                  <c:v>3.4669738030406643E-3</c:v>
                </c:pt>
                <c:pt idx="12">
                  <c:v>4.0245885427583044E-3</c:v>
                </c:pt>
                <c:pt idx="13">
                  <c:v>4.6611880237187476E-3</c:v>
                </c:pt>
                <c:pt idx="14">
                  <c:v>5.3861459540666869E-3</c:v>
                </c:pt>
                <c:pt idx="15">
                  <c:v>6.2096653257761331E-3</c:v>
                </c:pt>
                <c:pt idx="16">
                  <c:v>7.1428107352714144E-3</c:v>
                </c:pt>
                <c:pt idx="17">
                  <c:v>8.1975359245961311E-3</c:v>
                </c:pt>
                <c:pt idx="18">
                  <c:v>9.3867055348385697E-3</c:v>
                </c:pt>
                <c:pt idx="19">
                  <c:v>1.0724110021675811E-2</c:v>
                </c:pt>
                <c:pt idx="20">
                  <c:v>1.2224472655044696E-2</c:v>
                </c:pt>
                <c:pt idx="21">
                  <c:v>1.3903447513498597E-2</c:v>
                </c:pt>
                <c:pt idx="22">
                  <c:v>1.5777607391090503E-2</c:v>
                </c:pt>
                <c:pt idx="23">
                  <c:v>1.7864420562816546E-2</c:v>
                </c:pt>
                <c:pt idx="24">
                  <c:v>2.0182215405704397E-2</c:v>
                </c:pt>
                <c:pt idx="25">
                  <c:v>2.2750131948179191E-2</c:v>
                </c:pt>
                <c:pt idx="26">
                  <c:v>2.5588059521638607E-2</c:v>
                </c:pt>
                <c:pt idx="27">
                  <c:v>2.87165598160018E-2</c:v>
                </c:pt>
                <c:pt idx="28">
                  <c:v>3.2156774795613713E-2</c:v>
                </c:pt>
                <c:pt idx="29">
                  <c:v>3.5930319112925789E-2</c:v>
                </c:pt>
                <c:pt idx="30">
                  <c:v>4.00591568638171E-2</c:v>
                </c:pt>
                <c:pt idx="31">
                  <c:v>4.4565462758543041E-2</c:v>
                </c:pt>
                <c:pt idx="32">
                  <c:v>4.9471468033648096E-2</c:v>
                </c:pt>
                <c:pt idx="33">
                  <c:v>5.4799291699557967E-2</c:v>
                </c:pt>
                <c:pt idx="34">
                  <c:v>6.057075800205898E-2</c:v>
                </c:pt>
                <c:pt idx="35">
                  <c:v>6.6807201268858057E-2</c:v>
                </c:pt>
                <c:pt idx="36">
                  <c:v>7.3529259609648373E-2</c:v>
                </c:pt>
                <c:pt idx="37">
                  <c:v>8.0756659233771053E-2</c:v>
                </c:pt>
                <c:pt idx="38">
                  <c:v>8.8507991437401998E-2</c:v>
                </c:pt>
                <c:pt idx="39">
                  <c:v>9.6800484585610316E-2</c:v>
                </c:pt>
                <c:pt idx="40">
                  <c:v>0.10564977366685525</c:v>
                </c:pt>
                <c:pt idx="41">
                  <c:v>0.11506967022170828</c:v>
                </c:pt>
                <c:pt idx="42">
                  <c:v>0.12507193563715024</c:v>
                </c:pt>
                <c:pt idx="43">
                  <c:v>0.13566606094638264</c:v>
                </c:pt>
                <c:pt idx="44">
                  <c:v>0.14685905637589594</c:v>
                </c:pt>
                <c:pt idx="45">
                  <c:v>0.15865525393145699</c:v>
                </c:pt>
                <c:pt idx="46">
                  <c:v>0.17105612630848185</c:v>
                </c:pt>
                <c:pt idx="47">
                  <c:v>0.1840601253467595</c:v>
                </c:pt>
                <c:pt idx="48">
                  <c:v>0.19766254312269238</c:v>
                </c:pt>
                <c:pt idx="49">
                  <c:v>0.21185539858339661</c:v>
                </c:pt>
                <c:pt idx="50">
                  <c:v>0.22662735237686821</c:v>
                </c:pt>
                <c:pt idx="51">
                  <c:v>0.24196365222307298</c:v>
                </c:pt>
                <c:pt idx="52">
                  <c:v>0.25784611080586467</c:v>
                </c:pt>
                <c:pt idx="53">
                  <c:v>0.27425311775007355</c:v>
                </c:pt>
                <c:pt idx="54">
                  <c:v>0.29115968678834636</c:v>
                </c:pt>
                <c:pt idx="55">
                  <c:v>0.30853753872598688</c:v>
                </c:pt>
                <c:pt idx="56">
                  <c:v>0.32635522028791997</c:v>
                </c:pt>
                <c:pt idx="57">
                  <c:v>0.34457825838967576</c:v>
                </c:pt>
                <c:pt idx="58">
                  <c:v>0.3631693488243809</c:v>
                </c:pt>
                <c:pt idx="59">
                  <c:v>0.38208857781104733</c:v>
                </c:pt>
                <c:pt idx="60">
                  <c:v>0.4012936743170763</c:v>
                </c:pt>
                <c:pt idx="61">
                  <c:v>0.42074029056089696</c:v>
                </c:pt>
                <c:pt idx="62">
                  <c:v>0.4403823076297575</c:v>
                </c:pt>
                <c:pt idx="63">
                  <c:v>0.46017216272297101</c:v>
                </c:pt>
                <c:pt idx="64">
                  <c:v>0.48006119416162751</c:v>
                </c:pt>
                <c:pt idx="65">
                  <c:v>0.5</c:v>
                </c:pt>
                <c:pt idx="66">
                  <c:v>0.51993880583837249</c:v>
                </c:pt>
                <c:pt idx="67">
                  <c:v>0.53982783727702899</c:v>
                </c:pt>
                <c:pt idx="68">
                  <c:v>0.5596176923702425</c:v>
                </c:pt>
                <c:pt idx="69">
                  <c:v>0.57925970943910299</c:v>
                </c:pt>
                <c:pt idx="70">
                  <c:v>0.5987063256829237</c:v>
                </c:pt>
                <c:pt idx="71">
                  <c:v>0.61791142218895267</c:v>
                </c:pt>
                <c:pt idx="72">
                  <c:v>0.6368306511756191</c:v>
                </c:pt>
                <c:pt idx="73">
                  <c:v>0.65542174161032429</c:v>
                </c:pt>
                <c:pt idx="74">
                  <c:v>0.67364477971208003</c:v>
                </c:pt>
                <c:pt idx="75">
                  <c:v>0.69146246127401312</c:v>
                </c:pt>
                <c:pt idx="76">
                  <c:v>0.70884031321165364</c:v>
                </c:pt>
                <c:pt idx="77">
                  <c:v>0.72574688224992645</c:v>
                </c:pt>
                <c:pt idx="78">
                  <c:v>0.74215388919413527</c:v>
                </c:pt>
                <c:pt idx="79">
                  <c:v>0.75803634777692697</c:v>
                </c:pt>
                <c:pt idx="80">
                  <c:v>0.77337264762313174</c:v>
                </c:pt>
                <c:pt idx="81">
                  <c:v>0.78814460141660336</c:v>
                </c:pt>
                <c:pt idx="82">
                  <c:v>0.80233745687730762</c:v>
                </c:pt>
                <c:pt idx="83">
                  <c:v>0.81593987465324047</c:v>
                </c:pt>
                <c:pt idx="84">
                  <c:v>0.82894387369151812</c:v>
                </c:pt>
                <c:pt idx="85">
                  <c:v>0.84134474606854304</c:v>
                </c:pt>
                <c:pt idx="86">
                  <c:v>0.85314094362410409</c:v>
                </c:pt>
                <c:pt idx="87">
                  <c:v>0.86433393905361733</c:v>
                </c:pt>
                <c:pt idx="88">
                  <c:v>0.87492806436284976</c:v>
                </c:pt>
                <c:pt idx="89">
                  <c:v>0.88493032977829178</c:v>
                </c:pt>
                <c:pt idx="90">
                  <c:v>0.89435022633314476</c:v>
                </c:pt>
                <c:pt idx="91">
                  <c:v>0.9031995154143897</c:v>
                </c:pt>
                <c:pt idx="92">
                  <c:v>0.91149200856259804</c:v>
                </c:pt>
                <c:pt idx="93">
                  <c:v>0.91924334076622893</c:v>
                </c:pt>
                <c:pt idx="94">
                  <c:v>0.9264707403903516</c:v>
                </c:pt>
                <c:pt idx="95">
                  <c:v>0.93319279873114191</c:v>
                </c:pt>
                <c:pt idx="96">
                  <c:v>0.93942924199794098</c:v>
                </c:pt>
                <c:pt idx="97">
                  <c:v>0.94520070830044201</c:v>
                </c:pt>
                <c:pt idx="98">
                  <c:v>0.9505285319663519</c:v>
                </c:pt>
                <c:pt idx="99">
                  <c:v>0.95543453724145699</c:v>
                </c:pt>
                <c:pt idx="100">
                  <c:v>0.95994084313618289</c:v>
                </c:pt>
                <c:pt idx="101">
                  <c:v>0.96406968088707423</c:v>
                </c:pt>
                <c:pt idx="102">
                  <c:v>0.96784322520438626</c:v>
                </c:pt>
                <c:pt idx="103">
                  <c:v>0.97128344018399815</c:v>
                </c:pt>
                <c:pt idx="104">
                  <c:v>0.97441194047836144</c:v>
                </c:pt>
                <c:pt idx="105">
                  <c:v>0.97724986805182079</c:v>
                </c:pt>
                <c:pt idx="106">
                  <c:v>0.97981778459429558</c:v>
                </c:pt>
                <c:pt idx="107">
                  <c:v>0.98213557943718344</c:v>
                </c:pt>
                <c:pt idx="108">
                  <c:v>0.98422239260890954</c:v>
                </c:pt>
                <c:pt idx="109">
                  <c:v>0.98609655248650141</c:v>
                </c:pt>
                <c:pt idx="110">
                  <c:v>0.98777552734495533</c:v>
                </c:pt>
                <c:pt idx="111">
                  <c:v>0.98927588997832416</c:v>
                </c:pt>
                <c:pt idx="112">
                  <c:v>0.99061329446516144</c:v>
                </c:pt>
                <c:pt idx="113">
                  <c:v>0.99180246407540384</c:v>
                </c:pt>
                <c:pt idx="114">
                  <c:v>0.99285718926472855</c:v>
                </c:pt>
                <c:pt idx="115">
                  <c:v>0.99379033467422384</c:v>
                </c:pt>
                <c:pt idx="116">
                  <c:v>0.99461385404593328</c:v>
                </c:pt>
                <c:pt idx="117">
                  <c:v>0.99533881197628127</c:v>
                </c:pt>
                <c:pt idx="118">
                  <c:v>0.99597541145724167</c:v>
                </c:pt>
                <c:pt idx="119">
                  <c:v>0.99653302619695938</c:v>
                </c:pt>
                <c:pt idx="120">
                  <c:v>0.99702023676494544</c:v>
                </c:pt>
                <c:pt idx="121">
                  <c:v>0.99744486966957202</c:v>
                </c:pt>
                <c:pt idx="122">
                  <c:v>0.99781403854508677</c:v>
                </c:pt>
                <c:pt idx="123">
                  <c:v>0.99813418669961596</c:v>
                </c:pt>
                <c:pt idx="124">
                  <c:v>0.99841113035263518</c:v>
                </c:pt>
                <c:pt idx="125">
                  <c:v>0.9986501019683699</c:v>
                </c:pt>
                <c:pt idx="126">
                  <c:v>0.99885579316897732</c:v>
                </c:pt>
                <c:pt idx="127">
                  <c:v>0.99903239678678168</c:v>
                </c:pt>
                <c:pt idx="128">
                  <c:v>0.99918364768717138</c:v>
                </c:pt>
                <c:pt idx="129">
                  <c:v>0.99931286206208414</c:v>
                </c:pt>
                <c:pt idx="130">
                  <c:v>0.99942297495760923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8-4A9A-91B9-9E03E3087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297023"/>
        <c:axId val="791293695"/>
      </c:lineChart>
      <c:catAx>
        <c:axId val="79129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auto val="1"/>
        <c:lblAlgn val="ctr"/>
        <c:lblOffset val="100"/>
        <c:noMultiLvlLbl val="0"/>
      </c:catAx>
      <c:valAx>
        <c:axId val="791293695"/>
        <c:scaling>
          <c:orientation val="minMax"/>
          <c:max val="1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effectLst/>
              </a:rPr>
              <a:t>Función de densidad de probabilidad</a:t>
            </a:r>
            <a:endParaRPr lang="es-CO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Normal!$E$13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Normal!$B$14:$B$144</c:f>
              <c:numCache>
                <c:formatCode>General</c:formatCode>
                <c:ptCount val="13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  <c:pt idx="100">
                  <c:v>135</c:v>
                </c:pt>
                <c:pt idx="101">
                  <c:v>136</c:v>
                </c:pt>
                <c:pt idx="102">
                  <c:v>137</c:v>
                </c:pt>
                <c:pt idx="103">
                  <c:v>138</c:v>
                </c:pt>
                <c:pt idx="104">
                  <c:v>139</c:v>
                </c:pt>
                <c:pt idx="105">
                  <c:v>140</c:v>
                </c:pt>
                <c:pt idx="106">
                  <c:v>141</c:v>
                </c:pt>
                <c:pt idx="107">
                  <c:v>142</c:v>
                </c:pt>
                <c:pt idx="108">
                  <c:v>143</c:v>
                </c:pt>
                <c:pt idx="109">
                  <c:v>144</c:v>
                </c:pt>
                <c:pt idx="110">
                  <c:v>145</c:v>
                </c:pt>
                <c:pt idx="111">
                  <c:v>146</c:v>
                </c:pt>
                <c:pt idx="112">
                  <c:v>147</c:v>
                </c:pt>
                <c:pt idx="113">
                  <c:v>148</c:v>
                </c:pt>
                <c:pt idx="114">
                  <c:v>149</c:v>
                </c:pt>
                <c:pt idx="115">
                  <c:v>150</c:v>
                </c:pt>
                <c:pt idx="116">
                  <c:v>151</c:v>
                </c:pt>
                <c:pt idx="117">
                  <c:v>152</c:v>
                </c:pt>
                <c:pt idx="118">
                  <c:v>153</c:v>
                </c:pt>
                <c:pt idx="119">
                  <c:v>154</c:v>
                </c:pt>
                <c:pt idx="120">
                  <c:v>155</c:v>
                </c:pt>
                <c:pt idx="121">
                  <c:v>156</c:v>
                </c:pt>
                <c:pt idx="122">
                  <c:v>157</c:v>
                </c:pt>
                <c:pt idx="123">
                  <c:v>158</c:v>
                </c:pt>
                <c:pt idx="124">
                  <c:v>159</c:v>
                </c:pt>
                <c:pt idx="125">
                  <c:v>160</c:v>
                </c:pt>
                <c:pt idx="126">
                  <c:v>161</c:v>
                </c:pt>
                <c:pt idx="127">
                  <c:v>162</c:v>
                </c:pt>
                <c:pt idx="128">
                  <c:v>163</c:v>
                </c:pt>
                <c:pt idx="129">
                  <c:v>164</c:v>
                </c:pt>
                <c:pt idx="130">
                  <c:v>165</c:v>
                </c:pt>
              </c:numCache>
            </c:numRef>
          </c:cat>
          <c:val>
            <c:numRef>
              <c:f>Normal!$E$14:$E$79</c:f>
              <c:numCache>
                <c:formatCode>0.0%</c:formatCode>
                <c:ptCount val="66"/>
                <c:pt idx="0">
                  <c:v>5.7702504239076603E-4</c:v>
                </c:pt>
                <c:pt idx="1">
                  <c:v>6.8713793791584719E-4</c:v>
                </c:pt>
                <c:pt idx="2">
                  <c:v>8.1635231282856167E-4</c:v>
                </c:pt>
                <c:pt idx="3">
                  <c:v>9.676032132183561E-4</c:v>
                </c:pt>
                <c:pt idx="4">
                  <c:v>1.1442068310226975E-3</c:v>
                </c:pt>
                <c:pt idx="5">
                  <c:v>1.3498980316300933E-3</c:v>
                </c:pt>
                <c:pt idx="6">
                  <c:v>1.5888696473648663E-3</c:v>
                </c:pt>
                <c:pt idx="7">
                  <c:v>1.8658133003840378E-3</c:v>
                </c:pt>
                <c:pt idx="8">
                  <c:v>2.1859614549132396E-3</c:v>
                </c:pt>
                <c:pt idx="9">
                  <c:v>2.5551303304279312E-3</c:v>
                </c:pt>
                <c:pt idx="10">
                  <c:v>2.9797632350545551E-3</c:v>
                </c:pt>
                <c:pt idx="11">
                  <c:v>3.4669738030406643E-3</c:v>
                </c:pt>
                <c:pt idx="12">
                  <c:v>4.0245885427583044E-3</c:v>
                </c:pt>
                <c:pt idx="13">
                  <c:v>4.6611880237187476E-3</c:v>
                </c:pt>
                <c:pt idx="14">
                  <c:v>5.3861459540666869E-3</c:v>
                </c:pt>
                <c:pt idx="15">
                  <c:v>6.2096653257761331E-3</c:v>
                </c:pt>
                <c:pt idx="16">
                  <c:v>7.1428107352714144E-3</c:v>
                </c:pt>
                <c:pt idx="17">
                  <c:v>8.1975359245961311E-3</c:v>
                </c:pt>
                <c:pt idx="18">
                  <c:v>9.3867055348385697E-3</c:v>
                </c:pt>
                <c:pt idx="19">
                  <c:v>1.0724110021675811E-2</c:v>
                </c:pt>
                <c:pt idx="20">
                  <c:v>1.2224472655044696E-2</c:v>
                </c:pt>
                <c:pt idx="21">
                  <c:v>1.3903447513498597E-2</c:v>
                </c:pt>
                <c:pt idx="22">
                  <c:v>1.5777607391090503E-2</c:v>
                </c:pt>
                <c:pt idx="23">
                  <c:v>1.7864420562816546E-2</c:v>
                </c:pt>
                <c:pt idx="24">
                  <c:v>2.0182215405704397E-2</c:v>
                </c:pt>
                <c:pt idx="25">
                  <c:v>2.2750131948179191E-2</c:v>
                </c:pt>
                <c:pt idx="26">
                  <c:v>2.5588059521638607E-2</c:v>
                </c:pt>
                <c:pt idx="27">
                  <c:v>2.87165598160018E-2</c:v>
                </c:pt>
                <c:pt idx="28">
                  <c:v>3.2156774795613713E-2</c:v>
                </c:pt>
                <c:pt idx="29">
                  <c:v>3.5930319112925789E-2</c:v>
                </c:pt>
                <c:pt idx="30">
                  <c:v>4.00591568638171E-2</c:v>
                </c:pt>
                <c:pt idx="31">
                  <c:v>4.4565462758543041E-2</c:v>
                </c:pt>
                <c:pt idx="32">
                  <c:v>4.9471468033648096E-2</c:v>
                </c:pt>
                <c:pt idx="33">
                  <c:v>5.4799291699557967E-2</c:v>
                </c:pt>
                <c:pt idx="34">
                  <c:v>6.057075800205898E-2</c:v>
                </c:pt>
                <c:pt idx="35">
                  <c:v>6.6807201268858057E-2</c:v>
                </c:pt>
                <c:pt idx="36">
                  <c:v>7.3529259609648373E-2</c:v>
                </c:pt>
                <c:pt idx="37">
                  <c:v>8.0756659233771053E-2</c:v>
                </c:pt>
                <c:pt idx="38">
                  <c:v>8.8507991437401998E-2</c:v>
                </c:pt>
                <c:pt idx="39">
                  <c:v>9.6800484585610316E-2</c:v>
                </c:pt>
                <c:pt idx="40">
                  <c:v>0.10564977366685525</c:v>
                </c:pt>
                <c:pt idx="41">
                  <c:v>0.11506967022170828</c:v>
                </c:pt>
                <c:pt idx="42">
                  <c:v>0.12507193563715024</c:v>
                </c:pt>
                <c:pt idx="43">
                  <c:v>0.13566606094638264</c:v>
                </c:pt>
                <c:pt idx="44">
                  <c:v>0.14685905637589594</c:v>
                </c:pt>
                <c:pt idx="45">
                  <c:v>0.15865525393145699</c:v>
                </c:pt>
                <c:pt idx="46">
                  <c:v>0.17105612630848185</c:v>
                </c:pt>
                <c:pt idx="47">
                  <c:v>0.1840601253467595</c:v>
                </c:pt>
                <c:pt idx="48">
                  <c:v>0.19766254312269238</c:v>
                </c:pt>
                <c:pt idx="49">
                  <c:v>0.21185539858339661</c:v>
                </c:pt>
                <c:pt idx="50">
                  <c:v>0.22662735237686821</c:v>
                </c:pt>
                <c:pt idx="51">
                  <c:v>0.24196365222307298</c:v>
                </c:pt>
                <c:pt idx="52">
                  <c:v>0.25784611080586467</c:v>
                </c:pt>
                <c:pt idx="53">
                  <c:v>0.27425311775007355</c:v>
                </c:pt>
                <c:pt idx="54">
                  <c:v>0.29115968678834636</c:v>
                </c:pt>
                <c:pt idx="55">
                  <c:v>0.30853753872598688</c:v>
                </c:pt>
                <c:pt idx="56">
                  <c:v>0.32635522028791997</c:v>
                </c:pt>
                <c:pt idx="57">
                  <c:v>0.34457825838967576</c:v>
                </c:pt>
                <c:pt idx="58">
                  <c:v>0.3631693488243809</c:v>
                </c:pt>
                <c:pt idx="59">
                  <c:v>0.38208857781104733</c:v>
                </c:pt>
                <c:pt idx="60">
                  <c:v>0.4012936743170763</c:v>
                </c:pt>
                <c:pt idx="61">
                  <c:v>0.42074029056089696</c:v>
                </c:pt>
                <c:pt idx="62">
                  <c:v>0.4403823076297575</c:v>
                </c:pt>
                <c:pt idx="63">
                  <c:v>0.46017216272297101</c:v>
                </c:pt>
                <c:pt idx="64">
                  <c:v>0.48006119416162751</c:v>
                </c:pt>
                <c:pt idx="6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32-4F5F-A73D-B6E4F356A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91297023"/>
        <c:axId val="791293695"/>
      </c:barChart>
      <c:lineChart>
        <c:grouping val="standard"/>
        <c:varyColors val="0"/>
        <c:ser>
          <c:idx val="1"/>
          <c:order val="0"/>
          <c:tx>
            <c:strRef>
              <c:f>Normal!$E$13</c:f>
              <c:strCache>
                <c:ptCount val="1"/>
                <c:pt idx="0">
                  <c:v>F(x)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numRef>
              <c:f>Normal!$B$14:$B$144</c:f>
              <c:numCache>
                <c:formatCode>General</c:formatCode>
                <c:ptCount val="13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  <c:pt idx="100">
                  <c:v>135</c:v>
                </c:pt>
                <c:pt idx="101">
                  <c:v>136</c:v>
                </c:pt>
                <c:pt idx="102">
                  <c:v>137</c:v>
                </c:pt>
                <c:pt idx="103">
                  <c:v>138</c:v>
                </c:pt>
                <c:pt idx="104">
                  <c:v>139</c:v>
                </c:pt>
                <c:pt idx="105">
                  <c:v>140</c:v>
                </c:pt>
                <c:pt idx="106">
                  <c:v>141</c:v>
                </c:pt>
                <c:pt idx="107">
                  <c:v>142</c:v>
                </c:pt>
                <c:pt idx="108">
                  <c:v>143</c:v>
                </c:pt>
                <c:pt idx="109">
                  <c:v>144</c:v>
                </c:pt>
                <c:pt idx="110">
                  <c:v>145</c:v>
                </c:pt>
                <c:pt idx="111">
                  <c:v>146</c:v>
                </c:pt>
                <c:pt idx="112">
                  <c:v>147</c:v>
                </c:pt>
                <c:pt idx="113">
                  <c:v>148</c:v>
                </c:pt>
                <c:pt idx="114">
                  <c:v>149</c:v>
                </c:pt>
                <c:pt idx="115">
                  <c:v>150</c:v>
                </c:pt>
                <c:pt idx="116">
                  <c:v>151</c:v>
                </c:pt>
                <c:pt idx="117">
                  <c:v>152</c:v>
                </c:pt>
                <c:pt idx="118">
                  <c:v>153</c:v>
                </c:pt>
                <c:pt idx="119">
                  <c:v>154</c:v>
                </c:pt>
                <c:pt idx="120">
                  <c:v>155</c:v>
                </c:pt>
                <c:pt idx="121">
                  <c:v>156</c:v>
                </c:pt>
                <c:pt idx="122">
                  <c:v>157</c:v>
                </c:pt>
                <c:pt idx="123">
                  <c:v>158</c:v>
                </c:pt>
                <c:pt idx="124">
                  <c:v>159</c:v>
                </c:pt>
                <c:pt idx="125">
                  <c:v>160</c:v>
                </c:pt>
                <c:pt idx="126">
                  <c:v>161</c:v>
                </c:pt>
                <c:pt idx="127">
                  <c:v>162</c:v>
                </c:pt>
                <c:pt idx="128">
                  <c:v>163</c:v>
                </c:pt>
                <c:pt idx="129">
                  <c:v>164</c:v>
                </c:pt>
                <c:pt idx="130">
                  <c:v>165</c:v>
                </c:pt>
              </c:numCache>
            </c:numRef>
          </c:cat>
          <c:val>
            <c:numRef>
              <c:f>Normal!$E$14:$E$144</c:f>
              <c:numCache>
                <c:formatCode>0.0%</c:formatCode>
                <c:ptCount val="131"/>
                <c:pt idx="0">
                  <c:v>5.7702504239076603E-4</c:v>
                </c:pt>
                <c:pt idx="1">
                  <c:v>6.8713793791584719E-4</c:v>
                </c:pt>
                <c:pt idx="2">
                  <c:v>8.1635231282856167E-4</c:v>
                </c:pt>
                <c:pt idx="3">
                  <c:v>9.676032132183561E-4</c:v>
                </c:pt>
                <c:pt idx="4">
                  <c:v>1.1442068310226975E-3</c:v>
                </c:pt>
                <c:pt idx="5">
                  <c:v>1.3498980316300933E-3</c:v>
                </c:pt>
                <c:pt idx="6">
                  <c:v>1.5888696473648663E-3</c:v>
                </c:pt>
                <c:pt idx="7">
                  <c:v>1.8658133003840378E-3</c:v>
                </c:pt>
                <c:pt idx="8">
                  <c:v>2.1859614549132396E-3</c:v>
                </c:pt>
                <c:pt idx="9">
                  <c:v>2.5551303304279312E-3</c:v>
                </c:pt>
                <c:pt idx="10">
                  <c:v>2.9797632350545551E-3</c:v>
                </c:pt>
                <c:pt idx="11">
                  <c:v>3.4669738030406643E-3</c:v>
                </c:pt>
                <c:pt idx="12">
                  <c:v>4.0245885427583044E-3</c:v>
                </c:pt>
                <c:pt idx="13">
                  <c:v>4.6611880237187476E-3</c:v>
                </c:pt>
                <c:pt idx="14">
                  <c:v>5.3861459540666869E-3</c:v>
                </c:pt>
                <c:pt idx="15">
                  <c:v>6.2096653257761331E-3</c:v>
                </c:pt>
                <c:pt idx="16">
                  <c:v>7.1428107352714144E-3</c:v>
                </c:pt>
                <c:pt idx="17">
                  <c:v>8.1975359245961311E-3</c:v>
                </c:pt>
                <c:pt idx="18">
                  <c:v>9.3867055348385697E-3</c:v>
                </c:pt>
                <c:pt idx="19">
                  <c:v>1.0724110021675811E-2</c:v>
                </c:pt>
                <c:pt idx="20">
                  <c:v>1.2224472655044696E-2</c:v>
                </c:pt>
                <c:pt idx="21">
                  <c:v>1.3903447513498597E-2</c:v>
                </c:pt>
                <c:pt idx="22">
                  <c:v>1.5777607391090503E-2</c:v>
                </c:pt>
                <c:pt idx="23">
                  <c:v>1.7864420562816546E-2</c:v>
                </c:pt>
                <c:pt idx="24">
                  <c:v>2.0182215405704397E-2</c:v>
                </c:pt>
                <c:pt idx="25">
                  <c:v>2.2750131948179191E-2</c:v>
                </c:pt>
                <c:pt idx="26">
                  <c:v>2.5588059521638607E-2</c:v>
                </c:pt>
                <c:pt idx="27">
                  <c:v>2.87165598160018E-2</c:v>
                </c:pt>
                <c:pt idx="28">
                  <c:v>3.2156774795613713E-2</c:v>
                </c:pt>
                <c:pt idx="29">
                  <c:v>3.5930319112925789E-2</c:v>
                </c:pt>
                <c:pt idx="30">
                  <c:v>4.00591568638171E-2</c:v>
                </c:pt>
                <c:pt idx="31">
                  <c:v>4.4565462758543041E-2</c:v>
                </c:pt>
                <c:pt idx="32">
                  <c:v>4.9471468033648096E-2</c:v>
                </c:pt>
                <c:pt idx="33">
                  <c:v>5.4799291699557967E-2</c:v>
                </c:pt>
                <c:pt idx="34">
                  <c:v>6.057075800205898E-2</c:v>
                </c:pt>
                <c:pt idx="35">
                  <c:v>6.6807201268858057E-2</c:v>
                </c:pt>
                <c:pt idx="36">
                  <c:v>7.3529259609648373E-2</c:v>
                </c:pt>
                <c:pt idx="37">
                  <c:v>8.0756659233771053E-2</c:v>
                </c:pt>
                <c:pt idx="38">
                  <c:v>8.8507991437401998E-2</c:v>
                </c:pt>
                <c:pt idx="39">
                  <c:v>9.6800484585610316E-2</c:v>
                </c:pt>
                <c:pt idx="40">
                  <c:v>0.10564977366685525</c:v>
                </c:pt>
                <c:pt idx="41">
                  <c:v>0.11506967022170828</c:v>
                </c:pt>
                <c:pt idx="42">
                  <c:v>0.12507193563715024</c:v>
                </c:pt>
                <c:pt idx="43">
                  <c:v>0.13566606094638264</c:v>
                </c:pt>
                <c:pt idx="44">
                  <c:v>0.14685905637589594</c:v>
                </c:pt>
                <c:pt idx="45">
                  <c:v>0.15865525393145699</c:v>
                </c:pt>
                <c:pt idx="46">
                  <c:v>0.17105612630848185</c:v>
                </c:pt>
                <c:pt idx="47">
                  <c:v>0.1840601253467595</c:v>
                </c:pt>
                <c:pt idx="48">
                  <c:v>0.19766254312269238</c:v>
                </c:pt>
                <c:pt idx="49">
                  <c:v>0.21185539858339661</c:v>
                </c:pt>
                <c:pt idx="50">
                  <c:v>0.22662735237686821</c:v>
                </c:pt>
                <c:pt idx="51">
                  <c:v>0.24196365222307298</c:v>
                </c:pt>
                <c:pt idx="52">
                  <c:v>0.25784611080586467</c:v>
                </c:pt>
                <c:pt idx="53">
                  <c:v>0.27425311775007355</c:v>
                </c:pt>
                <c:pt idx="54">
                  <c:v>0.29115968678834636</c:v>
                </c:pt>
                <c:pt idx="55">
                  <c:v>0.30853753872598688</c:v>
                </c:pt>
                <c:pt idx="56">
                  <c:v>0.32635522028791997</c:v>
                </c:pt>
                <c:pt idx="57">
                  <c:v>0.34457825838967576</c:v>
                </c:pt>
                <c:pt idx="58">
                  <c:v>0.3631693488243809</c:v>
                </c:pt>
                <c:pt idx="59">
                  <c:v>0.38208857781104733</c:v>
                </c:pt>
                <c:pt idx="60">
                  <c:v>0.4012936743170763</c:v>
                </c:pt>
                <c:pt idx="61">
                  <c:v>0.42074029056089696</c:v>
                </c:pt>
                <c:pt idx="62">
                  <c:v>0.4403823076297575</c:v>
                </c:pt>
                <c:pt idx="63">
                  <c:v>0.46017216272297101</c:v>
                </c:pt>
                <c:pt idx="64">
                  <c:v>0.48006119416162751</c:v>
                </c:pt>
                <c:pt idx="65">
                  <c:v>0.5</c:v>
                </c:pt>
                <c:pt idx="66">
                  <c:v>0.51993880583837249</c:v>
                </c:pt>
                <c:pt idx="67">
                  <c:v>0.53982783727702899</c:v>
                </c:pt>
                <c:pt idx="68">
                  <c:v>0.5596176923702425</c:v>
                </c:pt>
                <c:pt idx="69">
                  <c:v>0.57925970943910299</c:v>
                </c:pt>
                <c:pt idx="70">
                  <c:v>0.5987063256829237</c:v>
                </c:pt>
                <c:pt idx="71">
                  <c:v>0.61791142218895267</c:v>
                </c:pt>
                <c:pt idx="72">
                  <c:v>0.6368306511756191</c:v>
                </c:pt>
                <c:pt idx="73">
                  <c:v>0.65542174161032429</c:v>
                </c:pt>
                <c:pt idx="74">
                  <c:v>0.67364477971208003</c:v>
                </c:pt>
                <c:pt idx="75">
                  <c:v>0.69146246127401312</c:v>
                </c:pt>
                <c:pt idx="76">
                  <c:v>0.70884031321165364</c:v>
                </c:pt>
                <c:pt idx="77">
                  <c:v>0.72574688224992645</c:v>
                </c:pt>
                <c:pt idx="78">
                  <c:v>0.74215388919413527</c:v>
                </c:pt>
                <c:pt idx="79">
                  <c:v>0.75803634777692697</c:v>
                </c:pt>
                <c:pt idx="80">
                  <c:v>0.77337264762313174</c:v>
                </c:pt>
                <c:pt idx="81">
                  <c:v>0.78814460141660336</c:v>
                </c:pt>
                <c:pt idx="82">
                  <c:v>0.80233745687730762</c:v>
                </c:pt>
                <c:pt idx="83">
                  <c:v>0.81593987465324047</c:v>
                </c:pt>
                <c:pt idx="84">
                  <c:v>0.82894387369151812</c:v>
                </c:pt>
                <c:pt idx="85">
                  <c:v>0.84134474606854304</c:v>
                </c:pt>
                <c:pt idx="86">
                  <c:v>0.85314094362410409</c:v>
                </c:pt>
                <c:pt idx="87">
                  <c:v>0.86433393905361733</c:v>
                </c:pt>
                <c:pt idx="88">
                  <c:v>0.87492806436284976</c:v>
                </c:pt>
                <c:pt idx="89">
                  <c:v>0.88493032977829178</c:v>
                </c:pt>
                <c:pt idx="90">
                  <c:v>0.89435022633314476</c:v>
                </c:pt>
                <c:pt idx="91">
                  <c:v>0.9031995154143897</c:v>
                </c:pt>
                <c:pt idx="92">
                  <c:v>0.91149200856259804</c:v>
                </c:pt>
                <c:pt idx="93">
                  <c:v>0.91924334076622893</c:v>
                </c:pt>
                <c:pt idx="94">
                  <c:v>0.9264707403903516</c:v>
                </c:pt>
                <c:pt idx="95">
                  <c:v>0.93319279873114191</c:v>
                </c:pt>
                <c:pt idx="96">
                  <c:v>0.93942924199794098</c:v>
                </c:pt>
                <c:pt idx="97">
                  <c:v>0.94520070830044201</c:v>
                </c:pt>
                <c:pt idx="98">
                  <c:v>0.9505285319663519</c:v>
                </c:pt>
                <c:pt idx="99">
                  <c:v>0.95543453724145699</c:v>
                </c:pt>
                <c:pt idx="100">
                  <c:v>0.95994084313618289</c:v>
                </c:pt>
                <c:pt idx="101">
                  <c:v>0.96406968088707423</c:v>
                </c:pt>
                <c:pt idx="102">
                  <c:v>0.96784322520438626</c:v>
                </c:pt>
                <c:pt idx="103">
                  <c:v>0.97128344018399815</c:v>
                </c:pt>
                <c:pt idx="104">
                  <c:v>0.97441194047836144</c:v>
                </c:pt>
                <c:pt idx="105">
                  <c:v>0.97724986805182079</c:v>
                </c:pt>
                <c:pt idx="106">
                  <c:v>0.97981778459429558</c:v>
                </c:pt>
                <c:pt idx="107">
                  <c:v>0.98213557943718344</c:v>
                </c:pt>
                <c:pt idx="108">
                  <c:v>0.98422239260890954</c:v>
                </c:pt>
                <c:pt idx="109">
                  <c:v>0.98609655248650141</c:v>
                </c:pt>
                <c:pt idx="110">
                  <c:v>0.98777552734495533</c:v>
                </c:pt>
                <c:pt idx="111">
                  <c:v>0.98927588997832416</c:v>
                </c:pt>
                <c:pt idx="112">
                  <c:v>0.99061329446516144</c:v>
                </c:pt>
                <c:pt idx="113">
                  <c:v>0.99180246407540384</c:v>
                </c:pt>
                <c:pt idx="114">
                  <c:v>0.99285718926472855</c:v>
                </c:pt>
                <c:pt idx="115">
                  <c:v>0.99379033467422384</c:v>
                </c:pt>
                <c:pt idx="116">
                  <c:v>0.99461385404593328</c:v>
                </c:pt>
                <c:pt idx="117">
                  <c:v>0.99533881197628127</c:v>
                </c:pt>
                <c:pt idx="118">
                  <c:v>0.99597541145724167</c:v>
                </c:pt>
                <c:pt idx="119">
                  <c:v>0.99653302619695938</c:v>
                </c:pt>
                <c:pt idx="120">
                  <c:v>0.99702023676494544</c:v>
                </c:pt>
                <c:pt idx="121">
                  <c:v>0.99744486966957202</c:v>
                </c:pt>
                <c:pt idx="122">
                  <c:v>0.99781403854508677</c:v>
                </c:pt>
                <c:pt idx="123">
                  <c:v>0.99813418669961596</c:v>
                </c:pt>
                <c:pt idx="124">
                  <c:v>0.99841113035263518</c:v>
                </c:pt>
                <c:pt idx="125">
                  <c:v>0.9986501019683699</c:v>
                </c:pt>
                <c:pt idx="126">
                  <c:v>0.99885579316897732</c:v>
                </c:pt>
                <c:pt idx="127">
                  <c:v>0.99903239678678168</c:v>
                </c:pt>
                <c:pt idx="128">
                  <c:v>0.99918364768717138</c:v>
                </c:pt>
                <c:pt idx="129">
                  <c:v>0.99931286206208414</c:v>
                </c:pt>
                <c:pt idx="130">
                  <c:v>0.99942297495760923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32-4F5F-A73D-B6E4F356A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297023"/>
        <c:axId val="791293695"/>
      </c:lineChart>
      <c:catAx>
        <c:axId val="79129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auto val="1"/>
        <c:lblAlgn val="ctr"/>
        <c:lblOffset val="100"/>
        <c:noMultiLvlLbl val="0"/>
      </c:catAx>
      <c:valAx>
        <c:axId val="791293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effectLst/>
              </a:rPr>
              <a:t>Función de densidad de probabilidad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effectLst/>
              </a:rPr>
              <a:t>Distribución Normal Estándar</a:t>
            </a:r>
            <a:endParaRPr lang="es-CO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Normal!$G$13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Normal!$F$14:$F$144</c:f>
              <c:numCache>
                <c:formatCode>General</c:formatCode>
                <c:ptCount val="131"/>
                <c:pt idx="0">
                  <c:v>-3.25</c:v>
                </c:pt>
                <c:pt idx="1">
                  <c:v>-3.2</c:v>
                </c:pt>
                <c:pt idx="2">
                  <c:v>-3.15</c:v>
                </c:pt>
                <c:pt idx="3">
                  <c:v>-3.1</c:v>
                </c:pt>
                <c:pt idx="4">
                  <c:v>-3.05</c:v>
                </c:pt>
                <c:pt idx="5">
                  <c:v>-3</c:v>
                </c:pt>
                <c:pt idx="6">
                  <c:v>-2.95</c:v>
                </c:pt>
                <c:pt idx="7">
                  <c:v>-2.9</c:v>
                </c:pt>
                <c:pt idx="8">
                  <c:v>-2.85</c:v>
                </c:pt>
                <c:pt idx="9">
                  <c:v>-2.8</c:v>
                </c:pt>
                <c:pt idx="10">
                  <c:v>-2.75</c:v>
                </c:pt>
                <c:pt idx="11">
                  <c:v>-2.7</c:v>
                </c:pt>
                <c:pt idx="12">
                  <c:v>-2.65</c:v>
                </c:pt>
                <c:pt idx="13">
                  <c:v>-2.6</c:v>
                </c:pt>
                <c:pt idx="14">
                  <c:v>-2.5499999999999998</c:v>
                </c:pt>
                <c:pt idx="15">
                  <c:v>-2.5</c:v>
                </c:pt>
                <c:pt idx="16">
                  <c:v>-2.4500000000000002</c:v>
                </c:pt>
                <c:pt idx="17">
                  <c:v>-2.4</c:v>
                </c:pt>
                <c:pt idx="18">
                  <c:v>-2.35</c:v>
                </c:pt>
                <c:pt idx="19">
                  <c:v>-2.2999999999999998</c:v>
                </c:pt>
                <c:pt idx="20">
                  <c:v>-2.25</c:v>
                </c:pt>
                <c:pt idx="21">
                  <c:v>-2.2000000000000002</c:v>
                </c:pt>
                <c:pt idx="22">
                  <c:v>-2.15</c:v>
                </c:pt>
                <c:pt idx="23">
                  <c:v>-2.1</c:v>
                </c:pt>
                <c:pt idx="24">
                  <c:v>-2.0499999999999998</c:v>
                </c:pt>
                <c:pt idx="25">
                  <c:v>-2</c:v>
                </c:pt>
                <c:pt idx="26">
                  <c:v>-1.95</c:v>
                </c:pt>
                <c:pt idx="27">
                  <c:v>-1.9</c:v>
                </c:pt>
                <c:pt idx="28">
                  <c:v>-1.85</c:v>
                </c:pt>
                <c:pt idx="29">
                  <c:v>-1.8</c:v>
                </c:pt>
                <c:pt idx="30">
                  <c:v>-1.75</c:v>
                </c:pt>
                <c:pt idx="31">
                  <c:v>-1.7</c:v>
                </c:pt>
                <c:pt idx="32">
                  <c:v>-1.65</c:v>
                </c:pt>
                <c:pt idx="33">
                  <c:v>-1.6</c:v>
                </c:pt>
                <c:pt idx="34">
                  <c:v>-1.55</c:v>
                </c:pt>
                <c:pt idx="35">
                  <c:v>-1.5</c:v>
                </c:pt>
                <c:pt idx="36">
                  <c:v>-1.45</c:v>
                </c:pt>
                <c:pt idx="37">
                  <c:v>-1.4</c:v>
                </c:pt>
                <c:pt idx="38">
                  <c:v>-1.35</c:v>
                </c:pt>
                <c:pt idx="39">
                  <c:v>-1.3</c:v>
                </c:pt>
                <c:pt idx="40">
                  <c:v>-1.25</c:v>
                </c:pt>
                <c:pt idx="41">
                  <c:v>-1.2</c:v>
                </c:pt>
                <c:pt idx="42">
                  <c:v>-1.1499999999999999</c:v>
                </c:pt>
                <c:pt idx="43">
                  <c:v>-1.1000000000000001</c:v>
                </c:pt>
                <c:pt idx="44">
                  <c:v>-1.05</c:v>
                </c:pt>
                <c:pt idx="45">
                  <c:v>-1</c:v>
                </c:pt>
                <c:pt idx="46">
                  <c:v>-0.95</c:v>
                </c:pt>
                <c:pt idx="47">
                  <c:v>-0.9</c:v>
                </c:pt>
                <c:pt idx="48">
                  <c:v>-0.85</c:v>
                </c:pt>
                <c:pt idx="49">
                  <c:v>-0.8</c:v>
                </c:pt>
                <c:pt idx="50">
                  <c:v>-0.75</c:v>
                </c:pt>
                <c:pt idx="51">
                  <c:v>-0.7</c:v>
                </c:pt>
                <c:pt idx="52">
                  <c:v>-0.65</c:v>
                </c:pt>
                <c:pt idx="53">
                  <c:v>-0.6</c:v>
                </c:pt>
                <c:pt idx="54">
                  <c:v>-0.55000000000000004</c:v>
                </c:pt>
                <c:pt idx="55">
                  <c:v>-0.5</c:v>
                </c:pt>
                <c:pt idx="56">
                  <c:v>-0.45</c:v>
                </c:pt>
                <c:pt idx="57">
                  <c:v>-0.4</c:v>
                </c:pt>
                <c:pt idx="58">
                  <c:v>-0.35</c:v>
                </c:pt>
                <c:pt idx="59">
                  <c:v>-0.3</c:v>
                </c:pt>
                <c:pt idx="60">
                  <c:v>-0.25</c:v>
                </c:pt>
                <c:pt idx="61">
                  <c:v>-0.2</c:v>
                </c:pt>
                <c:pt idx="62">
                  <c:v>-0.15</c:v>
                </c:pt>
                <c:pt idx="63">
                  <c:v>-0.1</c:v>
                </c:pt>
                <c:pt idx="64">
                  <c:v>-0.05</c:v>
                </c:pt>
                <c:pt idx="65">
                  <c:v>0</c:v>
                </c:pt>
                <c:pt idx="66">
                  <c:v>0.05</c:v>
                </c:pt>
                <c:pt idx="67">
                  <c:v>0.1</c:v>
                </c:pt>
                <c:pt idx="68">
                  <c:v>0.15</c:v>
                </c:pt>
                <c:pt idx="69">
                  <c:v>0.2</c:v>
                </c:pt>
                <c:pt idx="70">
                  <c:v>0.25</c:v>
                </c:pt>
                <c:pt idx="71">
                  <c:v>0.3</c:v>
                </c:pt>
                <c:pt idx="72">
                  <c:v>0.35</c:v>
                </c:pt>
                <c:pt idx="73">
                  <c:v>0.4</c:v>
                </c:pt>
                <c:pt idx="74">
                  <c:v>0.45</c:v>
                </c:pt>
                <c:pt idx="75">
                  <c:v>0.5</c:v>
                </c:pt>
                <c:pt idx="76">
                  <c:v>0.55000000000000004</c:v>
                </c:pt>
                <c:pt idx="77">
                  <c:v>0.6</c:v>
                </c:pt>
                <c:pt idx="78">
                  <c:v>0.65</c:v>
                </c:pt>
                <c:pt idx="79">
                  <c:v>0.7</c:v>
                </c:pt>
                <c:pt idx="80">
                  <c:v>0.75</c:v>
                </c:pt>
                <c:pt idx="81">
                  <c:v>0.8</c:v>
                </c:pt>
                <c:pt idx="82">
                  <c:v>0.85</c:v>
                </c:pt>
                <c:pt idx="83">
                  <c:v>0.9</c:v>
                </c:pt>
                <c:pt idx="84">
                  <c:v>0.95</c:v>
                </c:pt>
                <c:pt idx="85">
                  <c:v>1</c:v>
                </c:pt>
                <c:pt idx="86">
                  <c:v>1.05</c:v>
                </c:pt>
                <c:pt idx="87">
                  <c:v>1.1000000000000001</c:v>
                </c:pt>
                <c:pt idx="88">
                  <c:v>1.1499999999999999</c:v>
                </c:pt>
                <c:pt idx="89">
                  <c:v>1.2</c:v>
                </c:pt>
                <c:pt idx="90">
                  <c:v>1.25</c:v>
                </c:pt>
                <c:pt idx="91">
                  <c:v>1.3</c:v>
                </c:pt>
                <c:pt idx="92">
                  <c:v>1.35</c:v>
                </c:pt>
                <c:pt idx="93">
                  <c:v>1.4</c:v>
                </c:pt>
                <c:pt idx="94">
                  <c:v>1.45</c:v>
                </c:pt>
                <c:pt idx="95">
                  <c:v>1.5</c:v>
                </c:pt>
                <c:pt idx="96">
                  <c:v>1.55</c:v>
                </c:pt>
                <c:pt idx="97">
                  <c:v>1.6</c:v>
                </c:pt>
                <c:pt idx="98">
                  <c:v>1.65</c:v>
                </c:pt>
                <c:pt idx="99">
                  <c:v>1.7</c:v>
                </c:pt>
                <c:pt idx="100">
                  <c:v>1.75</c:v>
                </c:pt>
                <c:pt idx="101">
                  <c:v>1.8</c:v>
                </c:pt>
                <c:pt idx="102">
                  <c:v>1.85</c:v>
                </c:pt>
                <c:pt idx="103">
                  <c:v>1.9</c:v>
                </c:pt>
                <c:pt idx="104">
                  <c:v>1.95</c:v>
                </c:pt>
                <c:pt idx="105">
                  <c:v>2</c:v>
                </c:pt>
                <c:pt idx="106">
                  <c:v>2.0499999999999998</c:v>
                </c:pt>
                <c:pt idx="107">
                  <c:v>2.1</c:v>
                </c:pt>
                <c:pt idx="108">
                  <c:v>2.15</c:v>
                </c:pt>
                <c:pt idx="109">
                  <c:v>2.2000000000000002</c:v>
                </c:pt>
                <c:pt idx="110">
                  <c:v>2.25</c:v>
                </c:pt>
                <c:pt idx="111">
                  <c:v>2.2999999999999998</c:v>
                </c:pt>
                <c:pt idx="112">
                  <c:v>2.35</c:v>
                </c:pt>
                <c:pt idx="113">
                  <c:v>2.4</c:v>
                </c:pt>
                <c:pt idx="114">
                  <c:v>2.4500000000000002</c:v>
                </c:pt>
                <c:pt idx="115">
                  <c:v>2.5</c:v>
                </c:pt>
                <c:pt idx="116">
                  <c:v>2.5499999999999998</c:v>
                </c:pt>
                <c:pt idx="117">
                  <c:v>2.6</c:v>
                </c:pt>
                <c:pt idx="118">
                  <c:v>2.65</c:v>
                </c:pt>
                <c:pt idx="119">
                  <c:v>2.7</c:v>
                </c:pt>
                <c:pt idx="120">
                  <c:v>2.75</c:v>
                </c:pt>
                <c:pt idx="121">
                  <c:v>2.8</c:v>
                </c:pt>
                <c:pt idx="122">
                  <c:v>2.85</c:v>
                </c:pt>
                <c:pt idx="123">
                  <c:v>2.9</c:v>
                </c:pt>
                <c:pt idx="124">
                  <c:v>2.95</c:v>
                </c:pt>
                <c:pt idx="125">
                  <c:v>3</c:v>
                </c:pt>
                <c:pt idx="126">
                  <c:v>3.05</c:v>
                </c:pt>
                <c:pt idx="127">
                  <c:v>3.1</c:v>
                </c:pt>
                <c:pt idx="128">
                  <c:v>3.15</c:v>
                </c:pt>
                <c:pt idx="129">
                  <c:v>3.2</c:v>
                </c:pt>
                <c:pt idx="130">
                  <c:v>3.25</c:v>
                </c:pt>
              </c:numCache>
            </c:numRef>
          </c:cat>
          <c:val>
            <c:numRef>
              <c:f>Normal!$G$14:$G$144</c:f>
              <c:numCache>
                <c:formatCode>0.00%</c:formatCode>
                <c:ptCount val="131"/>
                <c:pt idx="0">
                  <c:v>2.0290480572997681E-3</c:v>
                </c:pt>
                <c:pt idx="1">
                  <c:v>2.3840882014648404E-3</c:v>
                </c:pt>
                <c:pt idx="2">
                  <c:v>2.7942584148794472E-3</c:v>
                </c:pt>
                <c:pt idx="3">
                  <c:v>3.2668190561999182E-3</c:v>
                </c:pt>
                <c:pt idx="4">
                  <c:v>3.8097620982218104E-3</c:v>
                </c:pt>
                <c:pt idx="5">
                  <c:v>4.4318484119380075E-3</c:v>
                </c:pt>
                <c:pt idx="6">
                  <c:v>5.1426409230539392E-3</c:v>
                </c:pt>
                <c:pt idx="7">
                  <c:v>5.9525324197758538E-3</c:v>
                </c:pt>
                <c:pt idx="8">
                  <c:v>6.8727666906139712E-3</c:v>
                </c:pt>
                <c:pt idx="9">
                  <c:v>7.9154515829799686E-3</c:v>
                </c:pt>
                <c:pt idx="10">
                  <c:v>9.0935625015910529E-3</c:v>
                </c:pt>
                <c:pt idx="11">
                  <c:v>1.0420934814422592E-2</c:v>
                </c:pt>
                <c:pt idx="12">
                  <c:v>1.1912243607605179E-2</c:v>
                </c:pt>
                <c:pt idx="13">
                  <c:v>1.3582969233685613E-2</c:v>
                </c:pt>
                <c:pt idx="14">
                  <c:v>1.5449347134395174E-2</c:v>
                </c:pt>
                <c:pt idx="15">
                  <c:v>1.752830049356854E-2</c:v>
                </c:pt>
                <c:pt idx="16">
                  <c:v>1.9837354391795313E-2</c:v>
                </c:pt>
                <c:pt idx="17">
                  <c:v>2.2394530294842899E-2</c:v>
                </c:pt>
                <c:pt idx="18">
                  <c:v>2.5218219915194382E-2</c:v>
                </c:pt>
                <c:pt idx="19">
                  <c:v>2.8327037741601186E-2</c:v>
                </c:pt>
                <c:pt idx="20">
                  <c:v>3.1739651835667418E-2</c:v>
                </c:pt>
                <c:pt idx="21">
                  <c:v>3.5474592846231424E-2</c:v>
                </c:pt>
                <c:pt idx="22">
                  <c:v>3.955004158937022E-2</c:v>
                </c:pt>
                <c:pt idx="23">
                  <c:v>4.3983595980427191E-2</c:v>
                </c:pt>
                <c:pt idx="24">
                  <c:v>4.8792018579182764E-2</c:v>
                </c:pt>
                <c:pt idx="25">
                  <c:v>5.3990966513188063E-2</c:v>
                </c:pt>
                <c:pt idx="26">
                  <c:v>5.9594706068816075E-2</c:v>
                </c:pt>
                <c:pt idx="27">
                  <c:v>6.5615814774676595E-2</c:v>
                </c:pt>
                <c:pt idx="28">
                  <c:v>7.2064874336217985E-2</c:v>
                </c:pt>
                <c:pt idx="29">
                  <c:v>7.8950158300894149E-2</c:v>
                </c:pt>
                <c:pt idx="30">
                  <c:v>8.6277318826511532E-2</c:v>
                </c:pt>
                <c:pt idx="31">
                  <c:v>9.4049077376886947E-2</c:v>
                </c:pt>
                <c:pt idx="32">
                  <c:v>0.10226492456397804</c:v>
                </c:pt>
                <c:pt idx="33">
                  <c:v>0.11092083467945554</c:v>
                </c:pt>
                <c:pt idx="34">
                  <c:v>0.12000900069698558</c:v>
                </c:pt>
                <c:pt idx="35">
                  <c:v>0.12951759566589174</c:v>
                </c:pt>
                <c:pt idx="36">
                  <c:v>0.13943056644536028</c:v>
                </c:pt>
                <c:pt idx="37">
                  <c:v>0.14972746563574488</c:v>
                </c:pt>
                <c:pt idx="38">
                  <c:v>0.1603833273419196</c:v>
                </c:pt>
                <c:pt idx="39">
                  <c:v>0.17136859204780736</c:v>
                </c:pt>
                <c:pt idx="40">
                  <c:v>0.18264908538902191</c:v>
                </c:pt>
                <c:pt idx="41">
                  <c:v>0.19418605498321295</c:v>
                </c:pt>
                <c:pt idx="42">
                  <c:v>0.20593626871997478</c:v>
                </c:pt>
                <c:pt idx="43">
                  <c:v>0.21785217703255053</c:v>
                </c:pt>
                <c:pt idx="44">
                  <c:v>0.22988214068423302</c:v>
                </c:pt>
                <c:pt idx="45">
                  <c:v>0.24197072451914337</c:v>
                </c:pt>
                <c:pt idx="46">
                  <c:v>0.25405905646918903</c:v>
                </c:pt>
                <c:pt idx="47">
                  <c:v>0.26608524989875482</c:v>
                </c:pt>
                <c:pt idx="48">
                  <c:v>0.27798488613099648</c:v>
                </c:pt>
                <c:pt idx="49">
                  <c:v>0.28969155276148273</c:v>
                </c:pt>
                <c:pt idx="50">
                  <c:v>0.30113743215480443</c:v>
                </c:pt>
                <c:pt idx="51">
                  <c:v>0.31225393336676127</c:v>
                </c:pt>
                <c:pt idx="52">
                  <c:v>0.32297235966791427</c:v>
                </c:pt>
                <c:pt idx="53">
                  <c:v>0.33322460289179967</c:v>
                </c:pt>
                <c:pt idx="54">
                  <c:v>0.3429438550193839</c:v>
                </c:pt>
                <c:pt idx="55">
                  <c:v>0.35206532676429952</c:v>
                </c:pt>
                <c:pt idx="56">
                  <c:v>0.36052696246164795</c:v>
                </c:pt>
                <c:pt idx="57">
                  <c:v>0.36827014030332333</c:v>
                </c:pt>
                <c:pt idx="58">
                  <c:v>0.37524034691693792</c:v>
                </c:pt>
                <c:pt idx="59">
                  <c:v>0.38138781546052414</c:v>
                </c:pt>
                <c:pt idx="60">
                  <c:v>0.38666811680284924</c:v>
                </c:pt>
                <c:pt idx="61">
                  <c:v>0.39104269397545588</c:v>
                </c:pt>
                <c:pt idx="62">
                  <c:v>0.39447933090788895</c:v>
                </c:pt>
                <c:pt idx="63">
                  <c:v>0.39695254747701181</c:v>
                </c:pt>
                <c:pt idx="64">
                  <c:v>0.39844391409476404</c:v>
                </c:pt>
                <c:pt idx="65">
                  <c:v>0.3989422804014327</c:v>
                </c:pt>
                <c:pt idx="66">
                  <c:v>0.39844391409476404</c:v>
                </c:pt>
                <c:pt idx="67">
                  <c:v>0.39695254747701181</c:v>
                </c:pt>
                <c:pt idx="68">
                  <c:v>0.39447933090788895</c:v>
                </c:pt>
                <c:pt idx="69">
                  <c:v>0.39104269397545588</c:v>
                </c:pt>
                <c:pt idx="70">
                  <c:v>0.38666811680284924</c:v>
                </c:pt>
                <c:pt idx="71">
                  <c:v>0.38138781546052414</c:v>
                </c:pt>
                <c:pt idx="72">
                  <c:v>0.37524034691693792</c:v>
                </c:pt>
                <c:pt idx="73">
                  <c:v>0.36827014030332333</c:v>
                </c:pt>
                <c:pt idx="74">
                  <c:v>0.36052696246164795</c:v>
                </c:pt>
                <c:pt idx="75">
                  <c:v>0.35206532676429952</c:v>
                </c:pt>
                <c:pt idx="76">
                  <c:v>0.3429438550193839</c:v>
                </c:pt>
                <c:pt idx="77">
                  <c:v>0.33322460289179967</c:v>
                </c:pt>
                <c:pt idx="78">
                  <c:v>0.32297235966791427</c:v>
                </c:pt>
                <c:pt idx="79">
                  <c:v>0.31225393336676127</c:v>
                </c:pt>
                <c:pt idx="80">
                  <c:v>0.30113743215480443</c:v>
                </c:pt>
                <c:pt idx="81">
                  <c:v>0.28969155276148273</c:v>
                </c:pt>
                <c:pt idx="82">
                  <c:v>0.27798488613099648</c:v>
                </c:pt>
                <c:pt idx="83">
                  <c:v>0.26608524989875482</c:v>
                </c:pt>
                <c:pt idx="84">
                  <c:v>0.25405905646918903</c:v>
                </c:pt>
                <c:pt idx="85">
                  <c:v>0.24197072451914337</c:v>
                </c:pt>
                <c:pt idx="86">
                  <c:v>0.22988214068423302</c:v>
                </c:pt>
                <c:pt idx="87">
                  <c:v>0.21785217703255053</c:v>
                </c:pt>
                <c:pt idx="88">
                  <c:v>0.20593626871997478</c:v>
                </c:pt>
                <c:pt idx="89">
                  <c:v>0.19418605498321295</c:v>
                </c:pt>
                <c:pt idx="90">
                  <c:v>0.18264908538902191</c:v>
                </c:pt>
                <c:pt idx="91">
                  <c:v>0.17136859204780736</c:v>
                </c:pt>
                <c:pt idx="92">
                  <c:v>0.1603833273419196</c:v>
                </c:pt>
                <c:pt idx="93">
                  <c:v>0.14972746563574488</c:v>
                </c:pt>
                <c:pt idx="94">
                  <c:v>0.13943056644536028</c:v>
                </c:pt>
                <c:pt idx="95">
                  <c:v>0.12951759566589174</c:v>
                </c:pt>
                <c:pt idx="96">
                  <c:v>0.12000900069698558</c:v>
                </c:pt>
                <c:pt idx="97">
                  <c:v>0.11092083467945554</c:v>
                </c:pt>
                <c:pt idx="98">
                  <c:v>0.10226492456397804</c:v>
                </c:pt>
                <c:pt idx="99">
                  <c:v>9.4049077376886947E-2</c:v>
                </c:pt>
                <c:pt idx="100">
                  <c:v>8.6277318826511532E-2</c:v>
                </c:pt>
                <c:pt idx="101">
                  <c:v>7.8950158300894149E-2</c:v>
                </c:pt>
                <c:pt idx="102">
                  <c:v>7.2064874336217985E-2</c:v>
                </c:pt>
                <c:pt idx="103">
                  <c:v>6.5615814774676595E-2</c:v>
                </c:pt>
                <c:pt idx="104">
                  <c:v>5.9594706068816075E-2</c:v>
                </c:pt>
                <c:pt idx="105">
                  <c:v>5.3990966513188063E-2</c:v>
                </c:pt>
                <c:pt idx="106">
                  <c:v>4.8792018579182764E-2</c:v>
                </c:pt>
                <c:pt idx="107">
                  <c:v>4.3983595980427191E-2</c:v>
                </c:pt>
                <c:pt idx="108">
                  <c:v>3.955004158937022E-2</c:v>
                </c:pt>
                <c:pt idx="109">
                  <c:v>3.5474592846231424E-2</c:v>
                </c:pt>
                <c:pt idx="110">
                  <c:v>3.1739651835667418E-2</c:v>
                </c:pt>
                <c:pt idx="111">
                  <c:v>2.8327037741601186E-2</c:v>
                </c:pt>
                <c:pt idx="112">
                  <c:v>2.5218219915194382E-2</c:v>
                </c:pt>
                <c:pt idx="113">
                  <c:v>2.2394530294842899E-2</c:v>
                </c:pt>
                <c:pt idx="114">
                  <c:v>1.9837354391795313E-2</c:v>
                </c:pt>
                <c:pt idx="115">
                  <c:v>1.752830049356854E-2</c:v>
                </c:pt>
                <c:pt idx="116">
                  <c:v>1.5449347134395174E-2</c:v>
                </c:pt>
                <c:pt idx="117">
                  <c:v>1.3582969233685613E-2</c:v>
                </c:pt>
                <c:pt idx="118">
                  <c:v>1.1912243607605179E-2</c:v>
                </c:pt>
                <c:pt idx="119">
                  <c:v>1.0420934814422592E-2</c:v>
                </c:pt>
                <c:pt idx="120">
                  <c:v>9.0935625015910529E-3</c:v>
                </c:pt>
                <c:pt idx="121">
                  <c:v>7.9154515829799686E-3</c:v>
                </c:pt>
                <c:pt idx="122">
                  <c:v>6.8727666906139712E-3</c:v>
                </c:pt>
                <c:pt idx="123">
                  <c:v>5.9525324197758538E-3</c:v>
                </c:pt>
                <c:pt idx="124">
                  <c:v>5.1426409230539392E-3</c:v>
                </c:pt>
                <c:pt idx="125">
                  <c:v>4.4318484119380075E-3</c:v>
                </c:pt>
                <c:pt idx="126">
                  <c:v>3.8097620982218104E-3</c:v>
                </c:pt>
                <c:pt idx="127">
                  <c:v>3.2668190561999182E-3</c:v>
                </c:pt>
                <c:pt idx="128">
                  <c:v>2.7942584148794472E-3</c:v>
                </c:pt>
                <c:pt idx="129">
                  <c:v>2.3840882014648404E-3</c:v>
                </c:pt>
                <c:pt idx="130">
                  <c:v>2.0290480572997681E-3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1-42B3-8B5B-36ADC4F45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91297023"/>
        <c:axId val="791293695"/>
      </c:barChart>
      <c:catAx>
        <c:axId val="79129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auto val="1"/>
        <c:lblAlgn val="ctr"/>
        <c:lblOffset val="100"/>
        <c:noMultiLvlLbl val="0"/>
      </c:catAx>
      <c:valAx>
        <c:axId val="791293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'Normal (2)'!$C$6</c:f>
              <c:strCache>
                <c:ptCount val="1"/>
                <c:pt idx="0">
                  <c:v>N(0, 1)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'Normal (2)'!$B$7:$B$137</c:f>
              <c:numCache>
                <c:formatCode>General</c:formatCode>
                <c:ptCount val="131"/>
                <c:pt idx="0">
                  <c:v>-15</c:v>
                </c:pt>
                <c:pt idx="1">
                  <c:v>-14.7</c:v>
                </c:pt>
                <c:pt idx="2">
                  <c:v>-14.399999999999999</c:v>
                </c:pt>
                <c:pt idx="3">
                  <c:v>-14.099999999999998</c:v>
                </c:pt>
                <c:pt idx="4">
                  <c:v>-13.799999999999997</c:v>
                </c:pt>
                <c:pt idx="5">
                  <c:v>-13.499999999999996</c:v>
                </c:pt>
                <c:pt idx="6">
                  <c:v>-13.199999999999996</c:v>
                </c:pt>
                <c:pt idx="7">
                  <c:v>-12.899999999999995</c:v>
                </c:pt>
                <c:pt idx="8">
                  <c:v>-12.599999999999994</c:v>
                </c:pt>
                <c:pt idx="9">
                  <c:v>-12.299999999999994</c:v>
                </c:pt>
                <c:pt idx="10">
                  <c:v>-11.999999999999993</c:v>
                </c:pt>
                <c:pt idx="11">
                  <c:v>-11.699999999999992</c:v>
                </c:pt>
                <c:pt idx="12">
                  <c:v>-11.399999999999991</c:v>
                </c:pt>
                <c:pt idx="13">
                  <c:v>-11.099999999999991</c:v>
                </c:pt>
                <c:pt idx="14">
                  <c:v>-10.79999999999999</c:v>
                </c:pt>
                <c:pt idx="15">
                  <c:v>-10.499999999999989</c:v>
                </c:pt>
                <c:pt idx="16">
                  <c:v>-10.199999999999989</c:v>
                </c:pt>
                <c:pt idx="17">
                  <c:v>-9.8999999999999879</c:v>
                </c:pt>
                <c:pt idx="18">
                  <c:v>-9.5999999999999872</c:v>
                </c:pt>
                <c:pt idx="19">
                  <c:v>-9.2999999999999865</c:v>
                </c:pt>
                <c:pt idx="20">
                  <c:v>-8.9999999999999858</c:v>
                </c:pt>
                <c:pt idx="21">
                  <c:v>-8.6999999999999851</c:v>
                </c:pt>
                <c:pt idx="22">
                  <c:v>-8.3999999999999844</c:v>
                </c:pt>
                <c:pt idx="23">
                  <c:v>-8.0999999999999837</c:v>
                </c:pt>
                <c:pt idx="24">
                  <c:v>-7.7999999999999838</c:v>
                </c:pt>
                <c:pt idx="25">
                  <c:v>-7.499999999999984</c:v>
                </c:pt>
                <c:pt idx="26">
                  <c:v>-7.1999999999999842</c:v>
                </c:pt>
                <c:pt idx="27">
                  <c:v>-6.8999999999999844</c:v>
                </c:pt>
                <c:pt idx="28">
                  <c:v>-6.5999999999999845</c:v>
                </c:pt>
                <c:pt idx="29">
                  <c:v>-6.2999999999999847</c:v>
                </c:pt>
                <c:pt idx="30">
                  <c:v>-5.9999999999999849</c:v>
                </c:pt>
                <c:pt idx="31">
                  <c:v>-5.6999999999999851</c:v>
                </c:pt>
                <c:pt idx="32">
                  <c:v>-5.3999999999999853</c:v>
                </c:pt>
                <c:pt idx="33">
                  <c:v>-5.0999999999999854</c:v>
                </c:pt>
                <c:pt idx="34">
                  <c:v>-4.7999999999999856</c:v>
                </c:pt>
                <c:pt idx="35">
                  <c:v>-4.4999999999999858</c:v>
                </c:pt>
                <c:pt idx="36">
                  <c:v>-4.199999999999986</c:v>
                </c:pt>
                <c:pt idx="37">
                  <c:v>-3.8999999999999861</c:v>
                </c:pt>
                <c:pt idx="38">
                  <c:v>-3.5999999999999863</c:v>
                </c:pt>
                <c:pt idx="39">
                  <c:v>-3.2999999999999865</c:v>
                </c:pt>
                <c:pt idx="40">
                  <c:v>-2.9999999999999867</c:v>
                </c:pt>
                <c:pt idx="41">
                  <c:v>-2.6999999999999869</c:v>
                </c:pt>
                <c:pt idx="42">
                  <c:v>-2.399999999999987</c:v>
                </c:pt>
                <c:pt idx="43">
                  <c:v>-2.0999999999999872</c:v>
                </c:pt>
                <c:pt idx="44">
                  <c:v>-1.7999999999999872</c:v>
                </c:pt>
                <c:pt idx="45">
                  <c:v>-1.4999999999999871</c:v>
                </c:pt>
                <c:pt idx="46">
                  <c:v>-1.1999999999999871</c:v>
                </c:pt>
                <c:pt idx="47">
                  <c:v>-0.89999999999998703</c:v>
                </c:pt>
                <c:pt idx="48">
                  <c:v>-0.59999999999998699</c:v>
                </c:pt>
                <c:pt idx="49">
                  <c:v>-0.299999999999987</c:v>
                </c:pt>
                <c:pt idx="50">
                  <c:v>1.2989609388114332E-14</c:v>
                </c:pt>
                <c:pt idx="51">
                  <c:v>0.30000000000001298</c:v>
                </c:pt>
                <c:pt idx="52">
                  <c:v>0.60000000000001297</c:v>
                </c:pt>
                <c:pt idx="53">
                  <c:v>0.90000000000001301</c:v>
                </c:pt>
                <c:pt idx="54">
                  <c:v>1.2000000000000131</c:v>
                </c:pt>
                <c:pt idx="55">
                  <c:v>1.5000000000000131</c:v>
                </c:pt>
                <c:pt idx="56">
                  <c:v>1.8000000000000131</c:v>
                </c:pt>
                <c:pt idx="57">
                  <c:v>2.100000000000013</c:v>
                </c:pt>
                <c:pt idx="58">
                  <c:v>2.4000000000000128</c:v>
                </c:pt>
                <c:pt idx="59">
                  <c:v>2.7000000000000126</c:v>
                </c:pt>
                <c:pt idx="60">
                  <c:v>3.0000000000000124</c:v>
                </c:pt>
                <c:pt idx="61">
                  <c:v>3.3000000000000123</c:v>
                </c:pt>
                <c:pt idx="62">
                  <c:v>3.6000000000000121</c:v>
                </c:pt>
                <c:pt idx="63">
                  <c:v>3.9000000000000119</c:v>
                </c:pt>
                <c:pt idx="64">
                  <c:v>4.2000000000000117</c:v>
                </c:pt>
                <c:pt idx="65">
                  <c:v>4.5000000000000115</c:v>
                </c:pt>
                <c:pt idx="66">
                  <c:v>4.8000000000000114</c:v>
                </c:pt>
                <c:pt idx="67">
                  <c:v>5.1000000000000112</c:v>
                </c:pt>
                <c:pt idx="68">
                  <c:v>5.400000000000011</c:v>
                </c:pt>
                <c:pt idx="69">
                  <c:v>5.7000000000000108</c:v>
                </c:pt>
                <c:pt idx="70">
                  <c:v>6.0000000000000107</c:v>
                </c:pt>
                <c:pt idx="71">
                  <c:v>6.3000000000000105</c:v>
                </c:pt>
                <c:pt idx="72">
                  <c:v>6.6000000000000103</c:v>
                </c:pt>
                <c:pt idx="73">
                  <c:v>6.9000000000000101</c:v>
                </c:pt>
                <c:pt idx="74">
                  <c:v>7.2000000000000099</c:v>
                </c:pt>
                <c:pt idx="75">
                  <c:v>7.5000000000000098</c:v>
                </c:pt>
                <c:pt idx="76">
                  <c:v>7.8000000000000096</c:v>
                </c:pt>
                <c:pt idx="77">
                  <c:v>8.1000000000000103</c:v>
                </c:pt>
                <c:pt idx="78">
                  <c:v>8.400000000000011</c:v>
                </c:pt>
                <c:pt idx="79">
                  <c:v>8.7000000000000117</c:v>
                </c:pt>
                <c:pt idx="80">
                  <c:v>9.0000000000000124</c:v>
                </c:pt>
                <c:pt idx="81">
                  <c:v>9.3000000000000131</c:v>
                </c:pt>
                <c:pt idx="82">
                  <c:v>9.6000000000000139</c:v>
                </c:pt>
                <c:pt idx="83">
                  <c:v>9.9000000000000146</c:v>
                </c:pt>
                <c:pt idx="84">
                  <c:v>10.200000000000015</c:v>
                </c:pt>
                <c:pt idx="85">
                  <c:v>10.500000000000016</c:v>
                </c:pt>
                <c:pt idx="86">
                  <c:v>10.800000000000017</c:v>
                </c:pt>
                <c:pt idx="87">
                  <c:v>11.100000000000017</c:v>
                </c:pt>
                <c:pt idx="88">
                  <c:v>11.400000000000018</c:v>
                </c:pt>
                <c:pt idx="89">
                  <c:v>11.700000000000019</c:v>
                </c:pt>
                <c:pt idx="90">
                  <c:v>12.00000000000002</c:v>
                </c:pt>
                <c:pt idx="91">
                  <c:v>12.30000000000002</c:v>
                </c:pt>
                <c:pt idx="92">
                  <c:v>12.600000000000021</c:v>
                </c:pt>
                <c:pt idx="93">
                  <c:v>12.900000000000022</c:v>
                </c:pt>
                <c:pt idx="94">
                  <c:v>13.200000000000022</c:v>
                </c:pt>
                <c:pt idx="95">
                  <c:v>13.500000000000023</c:v>
                </c:pt>
                <c:pt idx="96">
                  <c:v>13.800000000000024</c:v>
                </c:pt>
                <c:pt idx="97">
                  <c:v>14.100000000000025</c:v>
                </c:pt>
                <c:pt idx="98">
                  <c:v>14.400000000000025</c:v>
                </c:pt>
                <c:pt idx="99">
                  <c:v>14.700000000000026</c:v>
                </c:pt>
                <c:pt idx="100">
                  <c:v>15.000000000000027</c:v>
                </c:pt>
                <c:pt idx="101">
                  <c:v>15.300000000000027</c:v>
                </c:pt>
                <c:pt idx="102">
                  <c:v>15.600000000000028</c:v>
                </c:pt>
                <c:pt idx="103">
                  <c:v>15.900000000000029</c:v>
                </c:pt>
                <c:pt idx="104">
                  <c:v>16.200000000000028</c:v>
                </c:pt>
                <c:pt idx="105">
                  <c:v>16.500000000000028</c:v>
                </c:pt>
                <c:pt idx="106">
                  <c:v>16.800000000000029</c:v>
                </c:pt>
                <c:pt idx="107">
                  <c:v>17.10000000000003</c:v>
                </c:pt>
                <c:pt idx="108">
                  <c:v>17.400000000000031</c:v>
                </c:pt>
                <c:pt idx="109">
                  <c:v>17.700000000000031</c:v>
                </c:pt>
                <c:pt idx="110">
                  <c:v>18.000000000000032</c:v>
                </c:pt>
                <c:pt idx="111">
                  <c:v>18.300000000000033</c:v>
                </c:pt>
                <c:pt idx="112">
                  <c:v>18.600000000000033</c:v>
                </c:pt>
                <c:pt idx="113">
                  <c:v>18.900000000000034</c:v>
                </c:pt>
                <c:pt idx="114">
                  <c:v>19.200000000000035</c:v>
                </c:pt>
                <c:pt idx="115">
                  <c:v>19.500000000000036</c:v>
                </c:pt>
                <c:pt idx="116">
                  <c:v>19.800000000000036</c:v>
                </c:pt>
                <c:pt idx="117">
                  <c:v>20.100000000000037</c:v>
                </c:pt>
                <c:pt idx="118">
                  <c:v>20.400000000000038</c:v>
                </c:pt>
                <c:pt idx="119">
                  <c:v>20.700000000000038</c:v>
                </c:pt>
                <c:pt idx="120">
                  <c:v>21.000000000000039</c:v>
                </c:pt>
                <c:pt idx="121">
                  <c:v>21.30000000000004</c:v>
                </c:pt>
                <c:pt idx="122">
                  <c:v>21.600000000000041</c:v>
                </c:pt>
                <c:pt idx="123">
                  <c:v>21.900000000000041</c:v>
                </c:pt>
                <c:pt idx="124">
                  <c:v>22.200000000000042</c:v>
                </c:pt>
                <c:pt idx="125">
                  <c:v>22.500000000000043</c:v>
                </c:pt>
                <c:pt idx="126">
                  <c:v>22.800000000000043</c:v>
                </c:pt>
                <c:pt idx="127">
                  <c:v>23.100000000000044</c:v>
                </c:pt>
                <c:pt idx="128">
                  <c:v>23.400000000000045</c:v>
                </c:pt>
                <c:pt idx="129">
                  <c:v>23.700000000000045</c:v>
                </c:pt>
                <c:pt idx="130">
                  <c:v>24.000000000000046</c:v>
                </c:pt>
              </c:numCache>
            </c:numRef>
          </c:cat>
          <c:val>
            <c:numRef>
              <c:f>'Normal (2)'!$C$7:$C$137</c:f>
              <c:numCache>
                <c:formatCode>0.0%</c:formatCode>
                <c:ptCount val="131"/>
                <c:pt idx="0">
                  <c:v>5.5307095498444164E-50</c:v>
                </c:pt>
                <c:pt idx="1">
                  <c:v>4.7595157530206437E-48</c:v>
                </c:pt>
                <c:pt idx="2">
                  <c:v>3.7433305798851158E-46</c:v>
                </c:pt>
                <c:pt idx="3">
                  <c:v>2.6907112356425042E-44</c:v>
                </c:pt>
                <c:pt idx="4">
                  <c:v>1.7676224102536016E-42</c:v>
                </c:pt>
                <c:pt idx="5">
                  <c:v>1.0612688139152615E-40</c:v>
                </c:pt>
                <c:pt idx="6">
                  <c:v>5.8233755997368168E-39</c:v>
                </c:pt>
                <c:pt idx="7">
                  <c:v>2.920368793868304E-37</c:v>
                </c:pt>
                <c:pt idx="8">
                  <c:v>1.3384867992543831E-35</c:v>
                </c:pt>
                <c:pt idx="9">
                  <c:v>5.6066569263043106E-34</c:v>
                </c:pt>
                <c:pt idx="10">
                  <c:v>2.1463837356632433E-32</c:v>
                </c:pt>
                <c:pt idx="11">
                  <c:v>7.5097287724971683E-31</c:v>
                </c:pt>
                <c:pt idx="12">
                  <c:v>2.4013454000087747E-29</c:v>
                </c:pt>
                <c:pt idx="13">
                  <c:v>7.0177599426620064E-28</c:v>
                </c:pt>
                <c:pt idx="14">
                  <c:v>1.8743724023420096E-26</c:v>
                </c:pt>
                <c:pt idx="15">
                  <c:v>4.5753755905213253E-25</c:v>
                </c:pt>
                <c:pt idx="16">
                  <c:v>1.020730559430726E-23</c:v>
                </c:pt>
                <c:pt idx="17">
                  <c:v>2.0811768202030759E-22</c:v>
                </c:pt>
                <c:pt idx="18">
                  <c:v>3.8781119317474294E-21</c:v>
                </c:pt>
                <c:pt idx="19">
                  <c:v>6.6045798607401533E-20</c:v>
                </c:pt>
                <c:pt idx="20">
                  <c:v>1.027977357167023E-18</c:v>
                </c:pt>
                <c:pt idx="21">
                  <c:v>1.4622963575008348E-17</c:v>
                </c:pt>
                <c:pt idx="22">
                  <c:v>1.9010815379082206E-16</c:v>
                </c:pt>
                <c:pt idx="23">
                  <c:v>2.258809403154608E-15</c:v>
                </c:pt>
                <c:pt idx="24">
                  <c:v>2.4528552856967375E-14</c:v>
                </c:pt>
                <c:pt idx="25">
                  <c:v>2.4343205330293039E-13</c:v>
                </c:pt>
                <c:pt idx="26">
                  <c:v>2.2079899631373981E-12</c:v>
                </c:pt>
                <c:pt idx="27">
                  <c:v>1.830332217015773E-11</c:v>
                </c:pt>
                <c:pt idx="28">
                  <c:v>1.386679994165455E-10</c:v>
                </c:pt>
                <c:pt idx="29">
                  <c:v>9.6014333703132565E-10</c:v>
                </c:pt>
                <c:pt idx="30">
                  <c:v>6.0758828498238469E-9</c:v>
                </c:pt>
                <c:pt idx="31">
                  <c:v>3.5139550948207338E-8</c:v>
                </c:pt>
                <c:pt idx="32">
                  <c:v>1.8573618445554416E-7</c:v>
                </c:pt>
                <c:pt idx="33">
                  <c:v>8.9724351623839907E-7</c:v>
                </c:pt>
                <c:pt idx="34">
                  <c:v>3.9612990910323497E-6</c:v>
                </c:pt>
                <c:pt idx="35">
                  <c:v>1.5983741106906498E-5</c:v>
                </c:pt>
                <c:pt idx="36">
                  <c:v>5.8943067756543311E-5</c:v>
                </c:pt>
                <c:pt idx="37">
                  <c:v>1.9865547139278332E-4</c:v>
                </c:pt>
                <c:pt idx="38">
                  <c:v>6.1190193011380237E-4</c:v>
                </c:pt>
                <c:pt idx="39">
                  <c:v>1.7225689390537563E-3</c:v>
                </c:pt>
                <c:pt idx="40">
                  <c:v>4.4318484119381845E-3</c:v>
                </c:pt>
                <c:pt idx="41">
                  <c:v>1.0420934814422966E-2</c:v>
                </c:pt>
                <c:pt idx="42">
                  <c:v>2.2394530294843597E-2</c:v>
                </c:pt>
                <c:pt idx="43">
                  <c:v>4.3983595980428385E-2</c:v>
                </c:pt>
                <c:pt idx="44">
                  <c:v>7.8950158300895995E-2</c:v>
                </c:pt>
                <c:pt idx="45">
                  <c:v>0.12951759566589424</c:v>
                </c:pt>
                <c:pt idx="46">
                  <c:v>0.19418605498321595</c:v>
                </c:pt>
                <c:pt idx="47">
                  <c:v>0.26608524989875793</c:v>
                </c:pt>
                <c:pt idx="48">
                  <c:v>0.33322460289180228</c:v>
                </c:pt>
                <c:pt idx="49">
                  <c:v>0.38138781546052558</c:v>
                </c:pt>
                <c:pt idx="50">
                  <c:v>0.3989422804014327</c:v>
                </c:pt>
                <c:pt idx="51">
                  <c:v>0.38138781546052264</c:v>
                </c:pt>
                <c:pt idx="52">
                  <c:v>0.33322460289179706</c:v>
                </c:pt>
                <c:pt idx="53">
                  <c:v>0.26608524989875171</c:v>
                </c:pt>
                <c:pt idx="54">
                  <c:v>0.1941860549832099</c:v>
                </c:pt>
                <c:pt idx="55">
                  <c:v>0.12951759566588922</c:v>
                </c:pt>
                <c:pt idx="56">
                  <c:v>7.895015830089229E-2</c:v>
                </c:pt>
                <c:pt idx="57">
                  <c:v>4.3983595980426005E-2</c:v>
                </c:pt>
                <c:pt idx="58">
                  <c:v>2.2394530294842212E-2</c:v>
                </c:pt>
                <c:pt idx="59">
                  <c:v>1.0420934814422239E-2</c:v>
                </c:pt>
                <c:pt idx="60">
                  <c:v>4.4318484119378419E-3</c:v>
                </c:pt>
                <c:pt idx="61">
                  <c:v>1.722568939053611E-3</c:v>
                </c:pt>
                <c:pt idx="62">
                  <c:v>6.1190193011374588E-4</c:v>
                </c:pt>
                <c:pt idx="63">
                  <c:v>1.9865547139276337E-4</c:v>
                </c:pt>
                <c:pt idx="64">
                  <c:v>5.8943067756536921E-5</c:v>
                </c:pt>
                <c:pt idx="65">
                  <c:v>1.5983741106904651E-5</c:v>
                </c:pt>
                <c:pt idx="66">
                  <c:v>3.9612990910318568E-6</c:v>
                </c:pt>
                <c:pt idx="67">
                  <c:v>8.9724351623828112E-7</c:v>
                </c:pt>
                <c:pt idx="68">
                  <c:v>1.8573618445551841E-7</c:v>
                </c:pt>
                <c:pt idx="69">
                  <c:v>3.5139550948202216E-8</c:v>
                </c:pt>
                <c:pt idx="70">
                  <c:v>6.0758828498228965E-9</c:v>
                </c:pt>
                <c:pt idx="71">
                  <c:v>9.601433370311687E-10</c:v>
                </c:pt>
                <c:pt idx="72">
                  <c:v>1.3866799941652187E-10</c:v>
                </c:pt>
                <c:pt idx="73">
                  <c:v>1.8303322170154479E-11</c:v>
                </c:pt>
                <c:pt idx="74">
                  <c:v>2.2079899631369825E-12</c:v>
                </c:pt>
                <c:pt idx="75">
                  <c:v>2.4343205330288284E-13</c:v>
                </c:pt>
                <c:pt idx="76">
                  <c:v>2.4528552856962411E-14</c:v>
                </c:pt>
                <c:pt idx="77">
                  <c:v>2.2588094031541107E-15</c:v>
                </c:pt>
                <c:pt idx="78">
                  <c:v>1.9010815379077882E-16</c:v>
                </c:pt>
                <c:pt idx="79">
                  <c:v>1.4622963575004918E-17</c:v>
                </c:pt>
                <c:pt idx="80">
                  <c:v>1.0279773571667746E-18</c:v>
                </c:pt>
                <c:pt idx="81">
                  <c:v>6.6045798607385103E-20</c:v>
                </c:pt>
                <c:pt idx="82">
                  <c:v>3.8781119317464378E-21</c:v>
                </c:pt>
                <c:pt idx="83">
                  <c:v>2.0811768202025288E-22</c:v>
                </c:pt>
                <c:pt idx="84">
                  <c:v>1.0207305594304505E-23</c:v>
                </c:pt>
                <c:pt idx="85">
                  <c:v>4.5753755905200259E-25</c:v>
                </c:pt>
                <c:pt idx="86">
                  <c:v>1.8743724023414767E-26</c:v>
                </c:pt>
                <c:pt idx="87">
                  <c:v>7.0177599426599114E-28</c:v>
                </c:pt>
                <c:pt idx="88">
                  <c:v>2.4013454000080584E-29</c:v>
                </c:pt>
                <c:pt idx="89">
                  <c:v>7.5097287724948202E-31</c:v>
                </c:pt>
                <c:pt idx="90">
                  <c:v>2.1463837356625725E-32</c:v>
                </c:pt>
                <c:pt idx="91">
                  <c:v>5.6066569263024778E-34</c:v>
                </c:pt>
                <c:pt idx="92">
                  <c:v>1.3384867992539263E-35</c:v>
                </c:pt>
                <c:pt idx="93">
                  <c:v>2.920368793867308E-37</c:v>
                </c:pt>
                <c:pt idx="94">
                  <c:v>5.8233755997348312E-39</c:v>
                </c:pt>
                <c:pt idx="95">
                  <c:v>1.0612688139148843E-40</c:v>
                </c:pt>
                <c:pt idx="96">
                  <c:v>1.7676224102529484E-42</c:v>
                </c:pt>
                <c:pt idx="97">
                  <c:v>2.69071123564151E-44</c:v>
                </c:pt>
                <c:pt idx="98">
                  <c:v>3.7433305798836799E-46</c:v>
                </c:pt>
                <c:pt idx="99">
                  <c:v>4.7595157530187501E-48</c:v>
                </c:pt>
                <c:pt idx="100">
                  <c:v>5.5307095498422163E-50</c:v>
                </c:pt>
                <c:pt idx="101">
                  <c:v>5.8737090662749235E-52</c:v>
                </c:pt>
                <c:pt idx="102">
                  <c:v>5.7010848909387759E-54</c:v>
                </c:pt>
                <c:pt idx="103">
                  <c:v>5.0572693043731264E-56</c:v>
                </c:pt>
                <c:pt idx="104">
                  <c:v>4.1000405358313543E-58</c:v>
                </c:pt>
                <c:pt idx="105">
                  <c:v>3.0379016987885419E-60</c:v>
                </c:pt>
                <c:pt idx="106">
                  <c:v>2.0571823030276181E-62</c:v>
                </c:pt>
                <c:pt idx="107">
                  <c:v>1.2731668997612997E-64</c:v>
                </c:pt>
                <c:pt idx="108">
                  <c:v>7.2013081527150218E-67</c:v>
                </c:pt>
                <c:pt idx="109">
                  <c:v>3.7226392159430852E-69</c:v>
                </c:pt>
                <c:pt idx="110">
                  <c:v>1.758749542594104E-71</c:v>
                </c:pt>
                <c:pt idx="111">
                  <c:v>7.5939991384190368E-74</c:v>
                </c:pt>
                <c:pt idx="112">
                  <c:v>2.9967504981711071E-76</c:v>
                </c:pt>
                <c:pt idx="113">
                  <c:v>1.0807969874540385E-78</c:v>
                </c:pt>
                <c:pt idx="114">
                  <c:v>3.5624695539989913E-81</c:v>
                </c:pt>
                <c:pt idx="115">
                  <c:v>1.0731778340675332E-83</c:v>
                </c:pt>
                <c:pt idx="116">
                  <c:v>2.9546478246570239E-86</c:v>
                </c:pt>
                <c:pt idx="117">
                  <c:v>7.4345253896750654E-89</c:v>
                </c:pt>
                <c:pt idx="118">
                  <c:v>1.7096777958014493E-91</c:v>
                </c:pt>
                <c:pt idx="119">
                  <c:v>3.593261220966939E-94</c:v>
                </c:pt>
                <c:pt idx="120">
                  <c:v>6.9020294201215321E-97</c:v>
                </c:pt>
                <c:pt idx="121">
                  <c:v>1.2116531577341461E-99</c:v>
                </c:pt>
                <c:pt idx="122">
                  <c:v>1.9439868705577165E-102</c:v>
                </c:pt>
                <c:pt idx="123">
                  <c:v>2.850505169898697E-105</c:v>
                </c:pt>
                <c:pt idx="124">
                  <c:v>3.8200041543777539E-108</c:v>
                </c:pt>
                <c:pt idx="125">
                  <c:v>4.6786368172455258E-111</c:v>
                </c:pt>
                <c:pt idx="126">
                  <c:v>5.2370694054688341E-114</c:v>
                </c:pt>
                <c:pt idx="127">
                  <c:v>5.3576066085176268E-117</c:v>
                </c:pt>
                <c:pt idx="128">
                  <c:v>5.0091819888126851E-120</c:v>
                </c:pt>
                <c:pt idx="129">
                  <c:v>4.2803205646081245E-123</c:v>
                </c:pt>
                <c:pt idx="130">
                  <c:v>3.342714441790658E-126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F-40D3-9EFC-9A26B4261629}"/>
            </c:ext>
          </c:extLst>
        </c:ser>
        <c:ser>
          <c:idx val="1"/>
          <c:order val="1"/>
          <c:tx>
            <c:strRef>
              <c:f>'Normal (2)'!$D$6</c:f>
              <c:strCache>
                <c:ptCount val="1"/>
                <c:pt idx="0">
                  <c:v>N(10, 2^2)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 (2)'!$B$7:$B$137</c:f>
              <c:numCache>
                <c:formatCode>General</c:formatCode>
                <c:ptCount val="131"/>
                <c:pt idx="0">
                  <c:v>-15</c:v>
                </c:pt>
                <c:pt idx="1">
                  <c:v>-14.7</c:v>
                </c:pt>
                <c:pt idx="2">
                  <c:v>-14.399999999999999</c:v>
                </c:pt>
                <c:pt idx="3">
                  <c:v>-14.099999999999998</c:v>
                </c:pt>
                <c:pt idx="4">
                  <c:v>-13.799999999999997</c:v>
                </c:pt>
                <c:pt idx="5">
                  <c:v>-13.499999999999996</c:v>
                </c:pt>
                <c:pt idx="6">
                  <c:v>-13.199999999999996</c:v>
                </c:pt>
                <c:pt idx="7">
                  <c:v>-12.899999999999995</c:v>
                </c:pt>
                <c:pt idx="8">
                  <c:v>-12.599999999999994</c:v>
                </c:pt>
                <c:pt idx="9">
                  <c:v>-12.299999999999994</c:v>
                </c:pt>
                <c:pt idx="10">
                  <c:v>-11.999999999999993</c:v>
                </c:pt>
                <c:pt idx="11">
                  <c:v>-11.699999999999992</c:v>
                </c:pt>
                <c:pt idx="12">
                  <c:v>-11.399999999999991</c:v>
                </c:pt>
                <c:pt idx="13">
                  <c:v>-11.099999999999991</c:v>
                </c:pt>
                <c:pt idx="14">
                  <c:v>-10.79999999999999</c:v>
                </c:pt>
                <c:pt idx="15">
                  <c:v>-10.499999999999989</c:v>
                </c:pt>
                <c:pt idx="16">
                  <c:v>-10.199999999999989</c:v>
                </c:pt>
                <c:pt idx="17">
                  <c:v>-9.8999999999999879</c:v>
                </c:pt>
                <c:pt idx="18">
                  <c:v>-9.5999999999999872</c:v>
                </c:pt>
                <c:pt idx="19">
                  <c:v>-9.2999999999999865</c:v>
                </c:pt>
                <c:pt idx="20">
                  <c:v>-8.9999999999999858</c:v>
                </c:pt>
                <c:pt idx="21">
                  <c:v>-8.6999999999999851</c:v>
                </c:pt>
                <c:pt idx="22">
                  <c:v>-8.3999999999999844</c:v>
                </c:pt>
                <c:pt idx="23">
                  <c:v>-8.0999999999999837</c:v>
                </c:pt>
                <c:pt idx="24">
                  <c:v>-7.7999999999999838</c:v>
                </c:pt>
                <c:pt idx="25">
                  <c:v>-7.499999999999984</c:v>
                </c:pt>
                <c:pt idx="26">
                  <c:v>-7.1999999999999842</c:v>
                </c:pt>
                <c:pt idx="27">
                  <c:v>-6.8999999999999844</c:v>
                </c:pt>
                <c:pt idx="28">
                  <c:v>-6.5999999999999845</c:v>
                </c:pt>
                <c:pt idx="29">
                  <c:v>-6.2999999999999847</c:v>
                </c:pt>
                <c:pt idx="30">
                  <c:v>-5.9999999999999849</c:v>
                </c:pt>
                <c:pt idx="31">
                  <c:v>-5.6999999999999851</c:v>
                </c:pt>
                <c:pt idx="32">
                  <c:v>-5.3999999999999853</c:v>
                </c:pt>
                <c:pt idx="33">
                  <c:v>-5.0999999999999854</c:v>
                </c:pt>
                <c:pt idx="34">
                  <c:v>-4.7999999999999856</c:v>
                </c:pt>
                <c:pt idx="35">
                  <c:v>-4.4999999999999858</c:v>
                </c:pt>
                <c:pt idx="36">
                  <c:v>-4.199999999999986</c:v>
                </c:pt>
                <c:pt idx="37">
                  <c:v>-3.8999999999999861</c:v>
                </c:pt>
                <c:pt idx="38">
                  <c:v>-3.5999999999999863</c:v>
                </c:pt>
                <c:pt idx="39">
                  <c:v>-3.2999999999999865</c:v>
                </c:pt>
                <c:pt idx="40">
                  <c:v>-2.9999999999999867</c:v>
                </c:pt>
                <c:pt idx="41">
                  <c:v>-2.6999999999999869</c:v>
                </c:pt>
                <c:pt idx="42">
                  <c:v>-2.399999999999987</c:v>
                </c:pt>
                <c:pt idx="43">
                  <c:v>-2.0999999999999872</c:v>
                </c:pt>
                <c:pt idx="44">
                  <c:v>-1.7999999999999872</c:v>
                </c:pt>
                <c:pt idx="45">
                  <c:v>-1.4999999999999871</c:v>
                </c:pt>
                <c:pt idx="46">
                  <c:v>-1.1999999999999871</c:v>
                </c:pt>
                <c:pt idx="47">
                  <c:v>-0.89999999999998703</c:v>
                </c:pt>
                <c:pt idx="48">
                  <c:v>-0.59999999999998699</c:v>
                </c:pt>
                <c:pt idx="49">
                  <c:v>-0.299999999999987</c:v>
                </c:pt>
                <c:pt idx="50">
                  <c:v>1.2989609388114332E-14</c:v>
                </c:pt>
                <c:pt idx="51">
                  <c:v>0.30000000000001298</c:v>
                </c:pt>
                <c:pt idx="52">
                  <c:v>0.60000000000001297</c:v>
                </c:pt>
                <c:pt idx="53">
                  <c:v>0.90000000000001301</c:v>
                </c:pt>
                <c:pt idx="54">
                  <c:v>1.2000000000000131</c:v>
                </c:pt>
                <c:pt idx="55">
                  <c:v>1.5000000000000131</c:v>
                </c:pt>
                <c:pt idx="56">
                  <c:v>1.8000000000000131</c:v>
                </c:pt>
                <c:pt idx="57">
                  <c:v>2.100000000000013</c:v>
                </c:pt>
                <c:pt idx="58">
                  <c:v>2.4000000000000128</c:v>
                </c:pt>
                <c:pt idx="59">
                  <c:v>2.7000000000000126</c:v>
                </c:pt>
                <c:pt idx="60">
                  <c:v>3.0000000000000124</c:v>
                </c:pt>
                <c:pt idx="61">
                  <c:v>3.3000000000000123</c:v>
                </c:pt>
                <c:pt idx="62">
                  <c:v>3.6000000000000121</c:v>
                </c:pt>
                <c:pt idx="63">
                  <c:v>3.9000000000000119</c:v>
                </c:pt>
                <c:pt idx="64">
                  <c:v>4.2000000000000117</c:v>
                </c:pt>
                <c:pt idx="65">
                  <c:v>4.5000000000000115</c:v>
                </c:pt>
                <c:pt idx="66">
                  <c:v>4.8000000000000114</c:v>
                </c:pt>
                <c:pt idx="67">
                  <c:v>5.1000000000000112</c:v>
                </c:pt>
                <c:pt idx="68">
                  <c:v>5.400000000000011</c:v>
                </c:pt>
                <c:pt idx="69">
                  <c:v>5.7000000000000108</c:v>
                </c:pt>
                <c:pt idx="70">
                  <c:v>6.0000000000000107</c:v>
                </c:pt>
                <c:pt idx="71">
                  <c:v>6.3000000000000105</c:v>
                </c:pt>
                <c:pt idx="72">
                  <c:v>6.6000000000000103</c:v>
                </c:pt>
                <c:pt idx="73">
                  <c:v>6.9000000000000101</c:v>
                </c:pt>
                <c:pt idx="74">
                  <c:v>7.2000000000000099</c:v>
                </c:pt>
                <c:pt idx="75">
                  <c:v>7.5000000000000098</c:v>
                </c:pt>
                <c:pt idx="76">
                  <c:v>7.8000000000000096</c:v>
                </c:pt>
                <c:pt idx="77">
                  <c:v>8.1000000000000103</c:v>
                </c:pt>
                <c:pt idx="78">
                  <c:v>8.400000000000011</c:v>
                </c:pt>
                <c:pt idx="79">
                  <c:v>8.7000000000000117</c:v>
                </c:pt>
                <c:pt idx="80">
                  <c:v>9.0000000000000124</c:v>
                </c:pt>
                <c:pt idx="81">
                  <c:v>9.3000000000000131</c:v>
                </c:pt>
                <c:pt idx="82">
                  <c:v>9.6000000000000139</c:v>
                </c:pt>
                <c:pt idx="83">
                  <c:v>9.9000000000000146</c:v>
                </c:pt>
                <c:pt idx="84">
                  <c:v>10.200000000000015</c:v>
                </c:pt>
                <c:pt idx="85">
                  <c:v>10.500000000000016</c:v>
                </c:pt>
                <c:pt idx="86">
                  <c:v>10.800000000000017</c:v>
                </c:pt>
                <c:pt idx="87">
                  <c:v>11.100000000000017</c:v>
                </c:pt>
                <c:pt idx="88">
                  <c:v>11.400000000000018</c:v>
                </c:pt>
                <c:pt idx="89">
                  <c:v>11.700000000000019</c:v>
                </c:pt>
                <c:pt idx="90">
                  <c:v>12.00000000000002</c:v>
                </c:pt>
                <c:pt idx="91">
                  <c:v>12.30000000000002</c:v>
                </c:pt>
                <c:pt idx="92">
                  <c:v>12.600000000000021</c:v>
                </c:pt>
                <c:pt idx="93">
                  <c:v>12.900000000000022</c:v>
                </c:pt>
                <c:pt idx="94">
                  <c:v>13.200000000000022</c:v>
                </c:pt>
                <c:pt idx="95">
                  <c:v>13.500000000000023</c:v>
                </c:pt>
                <c:pt idx="96">
                  <c:v>13.800000000000024</c:v>
                </c:pt>
                <c:pt idx="97">
                  <c:v>14.100000000000025</c:v>
                </c:pt>
                <c:pt idx="98">
                  <c:v>14.400000000000025</c:v>
                </c:pt>
                <c:pt idx="99">
                  <c:v>14.700000000000026</c:v>
                </c:pt>
                <c:pt idx="100">
                  <c:v>15.000000000000027</c:v>
                </c:pt>
                <c:pt idx="101">
                  <c:v>15.300000000000027</c:v>
                </c:pt>
                <c:pt idx="102">
                  <c:v>15.600000000000028</c:v>
                </c:pt>
                <c:pt idx="103">
                  <c:v>15.900000000000029</c:v>
                </c:pt>
                <c:pt idx="104">
                  <c:v>16.200000000000028</c:v>
                </c:pt>
                <c:pt idx="105">
                  <c:v>16.500000000000028</c:v>
                </c:pt>
                <c:pt idx="106">
                  <c:v>16.800000000000029</c:v>
                </c:pt>
                <c:pt idx="107">
                  <c:v>17.10000000000003</c:v>
                </c:pt>
                <c:pt idx="108">
                  <c:v>17.400000000000031</c:v>
                </c:pt>
                <c:pt idx="109">
                  <c:v>17.700000000000031</c:v>
                </c:pt>
                <c:pt idx="110">
                  <c:v>18.000000000000032</c:v>
                </c:pt>
                <c:pt idx="111">
                  <c:v>18.300000000000033</c:v>
                </c:pt>
                <c:pt idx="112">
                  <c:v>18.600000000000033</c:v>
                </c:pt>
                <c:pt idx="113">
                  <c:v>18.900000000000034</c:v>
                </c:pt>
                <c:pt idx="114">
                  <c:v>19.200000000000035</c:v>
                </c:pt>
                <c:pt idx="115">
                  <c:v>19.500000000000036</c:v>
                </c:pt>
                <c:pt idx="116">
                  <c:v>19.800000000000036</c:v>
                </c:pt>
                <c:pt idx="117">
                  <c:v>20.100000000000037</c:v>
                </c:pt>
                <c:pt idx="118">
                  <c:v>20.400000000000038</c:v>
                </c:pt>
                <c:pt idx="119">
                  <c:v>20.700000000000038</c:v>
                </c:pt>
                <c:pt idx="120">
                  <c:v>21.000000000000039</c:v>
                </c:pt>
                <c:pt idx="121">
                  <c:v>21.30000000000004</c:v>
                </c:pt>
                <c:pt idx="122">
                  <c:v>21.600000000000041</c:v>
                </c:pt>
                <c:pt idx="123">
                  <c:v>21.900000000000041</c:v>
                </c:pt>
                <c:pt idx="124">
                  <c:v>22.200000000000042</c:v>
                </c:pt>
                <c:pt idx="125">
                  <c:v>22.500000000000043</c:v>
                </c:pt>
                <c:pt idx="126">
                  <c:v>22.800000000000043</c:v>
                </c:pt>
                <c:pt idx="127">
                  <c:v>23.100000000000044</c:v>
                </c:pt>
                <c:pt idx="128">
                  <c:v>23.400000000000045</c:v>
                </c:pt>
                <c:pt idx="129">
                  <c:v>23.700000000000045</c:v>
                </c:pt>
                <c:pt idx="130">
                  <c:v>24.000000000000046</c:v>
                </c:pt>
              </c:numCache>
            </c:numRef>
          </c:cat>
          <c:val>
            <c:numRef>
              <c:f>'Normal (2)'!$D$7:$D$137</c:f>
              <c:numCache>
                <c:formatCode>0.0%</c:formatCode>
                <c:ptCount val="131"/>
                <c:pt idx="0">
                  <c:v>2.3475976789875732E-35</c:v>
                </c:pt>
                <c:pt idx="1">
                  <c:v>1.5137007012164848E-34</c:v>
                </c:pt>
                <c:pt idx="2">
                  <c:v>9.5429956731840817E-34</c:v>
                </c:pt>
                <c:pt idx="3">
                  <c:v>5.8824441954550004E-33</c:v>
                </c:pt>
                <c:pt idx="4">
                  <c:v>3.545351334214131E-32</c:v>
                </c:pt>
                <c:pt idx="5">
                  <c:v>2.0892437722713529E-31</c:v>
                </c:pt>
                <c:pt idx="6">
                  <c:v>1.2037805659196848E-30</c:v>
                </c:pt>
                <c:pt idx="7">
                  <c:v>6.7816272196658611E-30</c:v>
                </c:pt>
                <c:pt idx="8">
                  <c:v>3.7355011379418678E-29</c:v>
                </c:pt>
                <c:pt idx="9">
                  <c:v>2.0118342941404177E-28</c:v>
                </c:pt>
                <c:pt idx="10">
                  <c:v>1.0594096267547221E-27</c:v>
                </c:pt>
                <c:pt idx="11">
                  <c:v>5.4546136785226404E-27</c:v>
                </c:pt>
                <c:pt idx="12">
                  <c:v>2.745948915909026E-26</c:v>
                </c:pt>
                <c:pt idx="13">
                  <c:v>1.3516034266192808E-25</c:v>
                </c:pt>
                <c:pt idx="14">
                  <c:v>6.5048080996199349E-25</c:v>
                </c:pt>
                <c:pt idx="15">
                  <c:v>3.0608924326237348E-24</c:v>
                </c:pt>
                <c:pt idx="16">
                  <c:v>1.4082832721381912E-23</c:v>
                </c:pt>
                <c:pt idx="17">
                  <c:v>6.3352002609115748E-23</c:v>
                </c:pt>
                <c:pt idx="18">
                  <c:v>2.7865000113605436E-22</c:v>
                </c:pt>
                <c:pt idx="19">
                  <c:v>1.1983567449276196E-21</c:v>
                </c:pt>
                <c:pt idx="20">
                  <c:v>5.038967697150363E-21</c:v>
                </c:pt>
                <c:pt idx="21">
                  <c:v>2.0716929973481626E-20</c:v>
                </c:pt>
                <c:pt idx="22">
                  <c:v>8.3279401619001781E-20</c:v>
                </c:pt>
                <c:pt idx="23">
                  <c:v>3.2732423995111981E-19</c:v>
                </c:pt>
                <c:pt idx="24">
                  <c:v>1.2579028884758006E-18</c:v>
                </c:pt>
                <c:pt idx="25">
                  <c:v>4.7265519409517285E-18</c:v>
                </c:pt>
                <c:pt idx="26">
                  <c:v>1.736481374283215E-17</c:v>
                </c:pt>
                <c:pt idx="27">
                  <c:v>6.2376958983541675E-17</c:v>
                </c:pt>
                <c:pt idx="28">
                  <c:v>2.1908197177548344E-16</c:v>
                </c:pt>
                <c:pt idx="29">
                  <c:v>7.5234572585415223E-16</c:v>
                </c:pt>
                <c:pt idx="30">
                  <c:v>2.5261355417685899E-15</c:v>
                </c:pt>
                <c:pt idx="31">
                  <c:v>8.2932396353120528E-15</c:v>
                </c:pt>
                <c:pt idx="32">
                  <c:v>2.6620741861266422E-14</c:v>
                </c:pt>
                <c:pt idx="33">
                  <c:v>8.3549617851923223E-14</c:v>
                </c:pt>
                <c:pt idx="34">
                  <c:v>2.5638768183984683E-13</c:v>
                </c:pt>
                <c:pt idx="35">
                  <c:v>7.6926897528067588E-13</c:v>
                </c:pt>
                <c:pt idx="36">
                  <c:v>2.256771838602871E-12</c:v>
                </c:pt>
                <c:pt idx="37">
                  <c:v>6.4732959691599094E-12</c:v>
                </c:pt>
                <c:pt idx="38">
                  <c:v>1.8154807508959778E-11</c:v>
                </c:pt>
                <c:pt idx="39">
                  <c:v>4.9783589527487324E-11</c:v>
                </c:pt>
                <c:pt idx="40">
                  <c:v>1.3347783073814877E-10</c:v>
                </c:pt>
                <c:pt idx="41">
                  <c:v>3.4991329742900385E-10</c:v>
                </c:pt>
                <c:pt idx="42">
                  <c:v>8.9689195398207486E-10</c:v>
                </c:pt>
                <c:pt idx="43">
                  <c:v>2.2477509155067104E-9</c:v>
                </c:pt>
                <c:pt idx="44">
                  <c:v>5.5078818123413891E-9</c:v>
                </c:pt>
                <c:pt idx="45">
                  <c:v>1.3196216017853336E-8</c:v>
                </c:pt>
                <c:pt idx="46">
                  <c:v>3.0913102500830385E-8</c:v>
                </c:pt>
                <c:pt idx="47">
                  <c:v>7.0805035650808275E-8</c:v>
                </c:pt>
                <c:pt idx="48">
                  <c:v>1.5856746083580414E-7</c:v>
                </c:pt>
                <c:pt idx="49">
                  <c:v>3.4721011769277988E-7</c:v>
                </c:pt>
                <c:pt idx="50">
                  <c:v>7.4335975736717266E-7</c:v>
                </c:pt>
                <c:pt idx="51">
                  <c:v>1.5560877895745192E-6</c:v>
                </c:pt>
                <c:pt idx="52">
                  <c:v>3.1849125894336415E-6</c:v>
                </c:pt>
                <c:pt idx="53">
                  <c:v>6.373666190916914E-6</c:v>
                </c:pt>
                <c:pt idx="54">
                  <c:v>1.2471235645027164E-5</c:v>
                </c:pt>
                <c:pt idx="55">
                  <c:v>2.3859318270603109E-5</c:v>
                </c:pt>
                <c:pt idx="56">
                  <c:v>4.463082858856765E-5</c:v>
                </c:pt>
                <c:pt idx="57">
                  <c:v>8.1628204383123095E-5</c:v>
                </c:pt>
                <c:pt idx="58">
                  <c:v>1.4597346289573363E-4</c:v>
                </c:pt>
                <c:pt idx="59">
                  <c:v>2.5523248717209865E-4</c:v>
                </c:pt>
                <c:pt idx="60">
                  <c:v>4.363413475228894E-4</c:v>
                </c:pt>
                <c:pt idx="61">
                  <c:v>7.2936540233338779E-4</c:v>
                </c:pt>
                <c:pt idx="62">
                  <c:v>1.1920441007324445E-3</c:v>
                </c:pt>
                <c:pt idx="63">
                  <c:v>1.904881049110939E-3</c:v>
                </c:pt>
                <c:pt idx="64">
                  <c:v>2.9762662098879772E-3</c:v>
                </c:pt>
                <c:pt idx="65">
                  <c:v>4.5467812507955993E-3</c:v>
                </c:pt>
                <c:pt idx="66">
                  <c:v>6.7914846168429096E-3</c:v>
                </c:pt>
                <c:pt idx="67">
                  <c:v>9.918677195897797E-3</c:v>
                </c:pt>
                <c:pt idx="68">
                  <c:v>1.4163518870800768E-2</c:v>
                </c:pt>
                <c:pt idx="69">
                  <c:v>1.9775020794685339E-2</c:v>
                </c:pt>
                <c:pt idx="70">
                  <c:v>2.6995483256594316E-2</c:v>
                </c:pt>
                <c:pt idx="71">
                  <c:v>3.6032437168109346E-2</c:v>
                </c:pt>
                <c:pt idx="72">
                  <c:v>4.7024538688443876E-2</c:v>
                </c:pt>
                <c:pt idx="73">
                  <c:v>6.0004500348493264E-2</c:v>
                </c:pt>
                <c:pt idx="74">
                  <c:v>7.4863732817872952E-2</c:v>
                </c:pt>
                <c:pt idx="75">
                  <c:v>9.1324542694511512E-2</c:v>
                </c:pt>
                <c:pt idx="76">
                  <c:v>0.10892608851627585</c:v>
                </c:pt>
                <c:pt idx="77">
                  <c:v>0.12702952823459512</c:v>
                </c:pt>
                <c:pt idx="78">
                  <c:v>0.14484577638074203</c:v>
                </c:pt>
                <c:pt idx="79">
                  <c:v>0.16148617983395777</c:v>
                </c:pt>
                <c:pt idx="80">
                  <c:v>0.17603266338215029</c:v>
                </c:pt>
                <c:pt idx="81">
                  <c:v>0.18762017345846937</c:v>
                </c:pt>
                <c:pt idx="82">
                  <c:v>0.19552134698772822</c:v>
                </c:pt>
                <c:pt idx="83">
                  <c:v>0.19922195704738208</c:v>
                </c:pt>
                <c:pt idx="84">
                  <c:v>0.19847627373850574</c:v>
                </c:pt>
                <c:pt idx="85">
                  <c:v>0.19333405840142423</c:v>
                </c:pt>
                <c:pt idx="86">
                  <c:v>0.18413507015166103</c:v>
                </c:pt>
                <c:pt idx="87">
                  <c:v>0.17147192750969115</c:v>
                </c:pt>
                <c:pt idx="88">
                  <c:v>0.15612696668337964</c:v>
                </c:pt>
                <c:pt idx="89">
                  <c:v>0.1389924430654971</c:v>
                </c:pt>
                <c:pt idx="90">
                  <c:v>0.1209853622595705</c:v>
                </c:pt>
                <c:pt idx="91">
                  <c:v>0.10296813435998617</c:v>
                </c:pt>
                <c:pt idx="92">
                  <c:v>8.5684296023902526E-2</c:v>
                </c:pt>
                <c:pt idx="93">
                  <c:v>6.9715283222679031E-2</c:v>
                </c:pt>
                <c:pt idx="94">
                  <c:v>5.5460417339726786E-2</c:v>
                </c:pt>
                <c:pt idx="95">
                  <c:v>4.3138659413254885E-2</c:v>
                </c:pt>
                <c:pt idx="96">
                  <c:v>3.2807907387337555E-2</c:v>
                </c:pt>
                <c:pt idx="97">
                  <c:v>2.4396009289590768E-2</c:v>
                </c:pt>
                <c:pt idx="98">
                  <c:v>1.7737296423115223E-2</c:v>
                </c:pt>
                <c:pt idx="99">
                  <c:v>1.2609109957596809E-2</c:v>
                </c:pt>
                <c:pt idx="100">
                  <c:v>8.764150246783977E-3</c:v>
                </c:pt>
                <c:pt idx="101">
                  <c:v>5.9561218038023727E-3</c:v>
                </c:pt>
                <c:pt idx="102">
                  <c:v>3.9577257914898255E-3</c:v>
                </c:pt>
                <c:pt idx="103">
                  <c:v>2.5713204615268621E-3</c:v>
                </c:pt>
                <c:pt idx="104">
                  <c:v>1.6334095280998897E-3</c:v>
                </c:pt>
                <c:pt idx="105">
                  <c:v>1.0145240286498372E-3</c:v>
                </c:pt>
                <c:pt idx="106">
                  <c:v>6.1610958423647928E-4</c:v>
                </c:pt>
                <c:pt idx="107">
                  <c:v>3.6583223141513593E-4</c:v>
                </c:pt>
                <c:pt idx="108">
                  <c:v>2.1239013527536382E-4</c:v>
                </c:pt>
                <c:pt idx="109">
                  <c:v>1.2056329011298944E-4</c:v>
                </c:pt>
                <c:pt idx="110">
                  <c:v>6.6915112882438401E-5</c:v>
                </c:pt>
                <c:pt idx="111">
                  <c:v>3.6312965151123777E-5</c:v>
                </c:pt>
                <c:pt idx="112">
                  <c:v>1.9267598371042162E-5</c:v>
                </c:pt>
                <c:pt idx="113">
                  <c:v>9.9958983534606484E-6</c:v>
                </c:pt>
                <c:pt idx="114">
                  <c:v>5.070426032742965E-6</c:v>
                </c:pt>
                <c:pt idx="115">
                  <c:v>2.5147536442960084E-6</c:v>
                </c:pt>
                <c:pt idx="116">
                  <c:v>1.21948037294657E-6</c:v>
                </c:pt>
                <c:pt idx="117">
                  <c:v>5.7820595178983717E-7</c:v>
                </c:pt>
                <c:pt idx="118">
                  <c:v>2.68051767234855E-7</c:v>
                </c:pt>
                <c:pt idx="119">
                  <c:v>1.2150192705401402E-7</c:v>
                </c:pt>
                <c:pt idx="120">
                  <c:v>5.3848800212710643E-8</c:v>
                </c:pt>
                <c:pt idx="121">
                  <c:v>2.3334433987968709E-8</c:v>
                </c:pt>
                <c:pt idx="122">
                  <c:v>9.8865982031211779E-9</c:v>
                </c:pt>
                <c:pt idx="123">
                  <c:v>4.0956692017390913E-9</c:v>
                </c:pt>
                <c:pt idx="124">
                  <c:v>1.6589421217734343E-9</c:v>
                </c:pt>
                <c:pt idx="125">
                  <c:v>6.5700090907785329E-10</c:v>
                </c:pt>
                <c:pt idx="126">
                  <c:v>2.5440701408221756E-10</c:v>
                </c:pt>
                <c:pt idx="127">
                  <c:v>9.6320907396781605E-11</c:v>
                </c:pt>
                <c:pt idx="128">
                  <c:v>3.5656640619975057E-11</c:v>
                </c:pt>
                <c:pt idx="129">
                  <c:v>1.2905910724991301E-11</c:v>
                </c:pt>
                <c:pt idx="130">
                  <c:v>4.5673602041815504E-12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CF-40D3-9EFC-9A26B4261629}"/>
            </c:ext>
          </c:extLst>
        </c:ser>
        <c:ser>
          <c:idx val="2"/>
          <c:order val="2"/>
          <c:tx>
            <c:strRef>
              <c:f>'Normal (2)'!$E$6</c:f>
              <c:strCache>
                <c:ptCount val="1"/>
                <c:pt idx="0">
                  <c:v>N(-5,2, 5^2)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'Normal (2)'!$B$7:$B$137</c:f>
              <c:numCache>
                <c:formatCode>General</c:formatCode>
                <c:ptCount val="131"/>
                <c:pt idx="0">
                  <c:v>-15</c:v>
                </c:pt>
                <c:pt idx="1">
                  <c:v>-14.7</c:v>
                </c:pt>
                <c:pt idx="2">
                  <c:v>-14.399999999999999</c:v>
                </c:pt>
                <c:pt idx="3">
                  <c:v>-14.099999999999998</c:v>
                </c:pt>
                <c:pt idx="4">
                  <c:v>-13.799999999999997</c:v>
                </c:pt>
                <c:pt idx="5">
                  <c:v>-13.499999999999996</c:v>
                </c:pt>
                <c:pt idx="6">
                  <c:v>-13.199999999999996</c:v>
                </c:pt>
                <c:pt idx="7">
                  <c:v>-12.899999999999995</c:v>
                </c:pt>
                <c:pt idx="8">
                  <c:v>-12.599999999999994</c:v>
                </c:pt>
                <c:pt idx="9">
                  <c:v>-12.299999999999994</c:v>
                </c:pt>
                <c:pt idx="10">
                  <c:v>-11.999999999999993</c:v>
                </c:pt>
                <c:pt idx="11">
                  <c:v>-11.699999999999992</c:v>
                </c:pt>
                <c:pt idx="12">
                  <c:v>-11.399999999999991</c:v>
                </c:pt>
                <c:pt idx="13">
                  <c:v>-11.099999999999991</c:v>
                </c:pt>
                <c:pt idx="14">
                  <c:v>-10.79999999999999</c:v>
                </c:pt>
                <c:pt idx="15">
                  <c:v>-10.499999999999989</c:v>
                </c:pt>
                <c:pt idx="16">
                  <c:v>-10.199999999999989</c:v>
                </c:pt>
                <c:pt idx="17">
                  <c:v>-9.8999999999999879</c:v>
                </c:pt>
                <c:pt idx="18">
                  <c:v>-9.5999999999999872</c:v>
                </c:pt>
                <c:pt idx="19">
                  <c:v>-9.2999999999999865</c:v>
                </c:pt>
                <c:pt idx="20">
                  <c:v>-8.9999999999999858</c:v>
                </c:pt>
                <c:pt idx="21">
                  <c:v>-8.6999999999999851</c:v>
                </c:pt>
                <c:pt idx="22">
                  <c:v>-8.3999999999999844</c:v>
                </c:pt>
                <c:pt idx="23">
                  <c:v>-8.0999999999999837</c:v>
                </c:pt>
                <c:pt idx="24">
                  <c:v>-7.7999999999999838</c:v>
                </c:pt>
                <c:pt idx="25">
                  <c:v>-7.499999999999984</c:v>
                </c:pt>
                <c:pt idx="26">
                  <c:v>-7.1999999999999842</c:v>
                </c:pt>
                <c:pt idx="27">
                  <c:v>-6.8999999999999844</c:v>
                </c:pt>
                <c:pt idx="28">
                  <c:v>-6.5999999999999845</c:v>
                </c:pt>
                <c:pt idx="29">
                  <c:v>-6.2999999999999847</c:v>
                </c:pt>
                <c:pt idx="30">
                  <c:v>-5.9999999999999849</c:v>
                </c:pt>
                <c:pt idx="31">
                  <c:v>-5.6999999999999851</c:v>
                </c:pt>
                <c:pt idx="32">
                  <c:v>-5.3999999999999853</c:v>
                </c:pt>
                <c:pt idx="33">
                  <c:v>-5.0999999999999854</c:v>
                </c:pt>
                <c:pt idx="34">
                  <c:v>-4.7999999999999856</c:v>
                </c:pt>
                <c:pt idx="35">
                  <c:v>-4.4999999999999858</c:v>
                </c:pt>
                <c:pt idx="36">
                  <c:v>-4.199999999999986</c:v>
                </c:pt>
                <c:pt idx="37">
                  <c:v>-3.8999999999999861</c:v>
                </c:pt>
                <c:pt idx="38">
                  <c:v>-3.5999999999999863</c:v>
                </c:pt>
                <c:pt idx="39">
                  <c:v>-3.2999999999999865</c:v>
                </c:pt>
                <c:pt idx="40">
                  <c:v>-2.9999999999999867</c:v>
                </c:pt>
                <c:pt idx="41">
                  <c:v>-2.6999999999999869</c:v>
                </c:pt>
                <c:pt idx="42">
                  <c:v>-2.399999999999987</c:v>
                </c:pt>
                <c:pt idx="43">
                  <c:v>-2.0999999999999872</c:v>
                </c:pt>
                <c:pt idx="44">
                  <c:v>-1.7999999999999872</c:v>
                </c:pt>
                <c:pt idx="45">
                  <c:v>-1.4999999999999871</c:v>
                </c:pt>
                <c:pt idx="46">
                  <c:v>-1.1999999999999871</c:v>
                </c:pt>
                <c:pt idx="47">
                  <c:v>-0.89999999999998703</c:v>
                </c:pt>
                <c:pt idx="48">
                  <c:v>-0.59999999999998699</c:v>
                </c:pt>
                <c:pt idx="49">
                  <c:v>-0.299999999999987</c:v>
                </c:pt>
                <c:pt idx="50">
                  <c:v>1.2989609388114332E-14</c:v>
                </c:pt>
                <c:pt idx="51">
                  <c:v>0.30000000000001298</c:v>
                </c:pt>
                <c:pt idx="52">
                  <c:v>0.60000000000001297</c:v>
                </c:pt>
                <c:pt idx="53">
                  <c:v>0.90000000000001301</c:v>
                </c:pt>
                <c:pt idx="54">
                  <c:v>1.2000000000000131</c:v>
                </c:pt>
                <c:pt idx="55">
                  <c:v>1.5000000000000131</c:v>
                </c:pt>
                <c:pt idx="56">
                  <c:v>1.8000000000000131</c:v>
                </c:pt>
                <c:pt idx="57">
                  <c:v>2.100000000000013</c:v>
                </c:pt>
                <c:pt idx="58">
                  <c:v>2.4000000000000128</c:v>
                </c:pt>
                <c:pt idx="59">
                  <c:v>2.7000000000000126</c:v>
                </c:pt>
                <c:pt idx="60">
                  <c:v>3.0000000000000124</c:v>
                </c:pt>
                <c:pt idx="61">
                  <c:v>3.3000000000000123</c:v>
                </c:pt>
                <c:pt idx="62">
                  <c:v>3.6000000000000121</c:v>
                </c:pt>
                <c:pt idx="63">
                  <c:v>3.9000000000000119</c:v>
                </c:pt>
                <c:pt idx="64">
                  <c:v>4.2000000000000117</c:v>
                </c:pt>
                <c:pt idx="65">
                  <c:v>4.5000000000000115</c:v>
                </c:pt>
                <c:pt idx="66">
                  <c:v>4.8000000000000114</c:v>
                </c:pt>
                <c:pt idx="67">
                  <c:v>5.1000000000000112</c:v>
                </c:pt>
                <c:pt idx="68">
                  <c:v>5.400000000000011</c:v>
                </c:pt>
                <c:pt idx="69">
                  <c:v>5.7000000000000108</c:v>
                </c:pt>
                <c:pt idx="70">
                  <c:v>6.0000000000000107</c:v>
                </c:pt>
                <c:pt idx="71">
                  <c:v>6.3000000000000105</c:v>
                </c:pt>
                <c:pt idx="72">
                  <c:v>6.6000000000000103</c:v>
                </c:pt>
                <c:pt idx="73">
                  <c:v>6.9000000000000101</c:v>
                </c:pt>
                <c:pt idx="74">
                  <c:v>7.2000000000000099</c:v>
                </c:pt>
                <c:pt idx="75">
                  <c:v>7.5000000000000098</c:v>
                </c:pt>
                <c:pt idx="76">
                  <c:v>7.8000000000000096</c:v>
                </c:pt>
                <c:pt idx="77">
                  <c:v>8.1000000000000103</c:v>
                </c:pt>
                <c:pt idx="78">
                  <c:v>8.400000000000011</c:v>
                </c:pt>
                <c:pt idx="79">
                  <c:v>8.7000000000000117</c:v>
                </c:pt>
                <c:pt idx="80">
                  <c:v>9.0000000000000124</c:v>
                </c:pt>
                <c:pt idx="81">
                  <c:v>9.3000000000000131</c:v>
                </c:pt>
                <c:pt idx="82">
                  <c:v>9.6000000000000139</c:v>
                </c:pt>
                <c:pt idx="83">
                  <c:v>9.9000000000000146</c:v>
                </c:pt>
                <c:pt idx="84">
                  <c:v>10.200000000000015</c:v>
                </c:pt>
                <c:pt idx="85">
                  <c:v>10.500000000000016</c:v>
                </c:pt>
                <c:pt idx="86">
                  <c:v>10.800000000000017</c:v>
                </c:pt>
                <c:pt idx="87">
                  <c:v>11.100000000000017</c:v>
                </c:pt>
                <c:pt idx="88">
                  <c:v>11.400000000000018</c:v>
                </c:pt>
                <c:pt idx="89">
                  <c:v>11.700000000000019</c:v>
                </c:pt>
                <c:pt idx="90">
                  <c:v>12.00000000000002</c:v>
                </c:pt>
                <c:pt idx="91">
                  <c:v>12.30000000000002</c:v>
                </c:pt>
                <c:pt idx="92">
                  <c:v>12.600000000000021</c:v>
                </c:pt>
                <c:pt idx="93">
                  <c:v>12.900000000000022</c:v>
                </c:pt>
                <c:pt idx="94">
                  <c:v>13.200000000000022</c:v>
                </c:pt>
                <c:pt idx="95">
                  <c:v>13.500000000000023</c:v>
                </c:pt>
                <c:pt idx="96">
                  <c:v>13.800000000000024</c:v>
                </c:pt>
                <c:pt idx="97">
                  <c:v>14.100000000000025</c:v>
                </c:pt>
                <c:pt idx="98">
                  <c:v>14.400000000000025</c:v>
                </c:pt>
                <c:pt idx="99">
                  <c:v>14.700000000000026</c:v>
                </c:pt>
                <c:pt idx="100">
                  <c:v>15.000000000000027</c:v>
                </c:pt>
                <c:pt idx="101">
                  <c:v>15.300000000000027</c:v>
                </c:pt>
                <c:pt idx="102">
                  <c:v>15.600000000000028</c:v>
                </c:pt>
                <c:pt idx="103">
                  <c:v>15.900000000000029</c:v>
                </c:pt>
                <c:pt idx="104">
                  <c:v>16.200000000000028</c:v>
                </c:pt>
                <c:pt idx="105">
                  <c:v>16.500000000000028</c:v>
                </c:pt>
                <c:pt idx="106">
                  <c:v>16.800000000000029</c:v>
                </c:pt>
                <c:pt idx="107">
                  <c:v>17.10000000000003</c:v>
                </c:pt>
                <c:pt idx="108">
                  <c:v>17.400000000000031</c:v>
                </c:pt>
                <c:pt idx="109">
                  <c:v>17.700000000000031</c:v>
                </c:pt>
                <c:pt idx="110">
                  <c:v>18.000000000000032</c:v>
                </c:pt>
                <c:pt idx="111">
                  <c:v>18.300000000000033</c:v>
                </c:pt>
                <c:pt idx="112">
                  <c:v>18.600000000000033</c:v>
                </c:pt>
                <c:pt idx="113">
                  <c:v>18.900000000000034</c:v>
                </c:pt>
                <c:pt idx="114">
                  <c:v>19.200000000000035</c:v>
                </c:pt>
                <c:pt idx="115">
                  <c:v>19.500000000000036</c:v>
                </c:pt>
                <c:pt idx="116">
                  <c:v>19.800000000000036</c:v>
                </c:pt>
                <c:pt idx="117">
                  <c:v>20.100000000000037</c:v>
                </c:pt>
                <c:pt idx="118">
                  <c:v>20.400000000000038</c:v>
                </c:pt>
                <c:pt idx="119">
                  <c:v>20.700000000000038</c:v>
                </c:pt>
                <c:pt idx="120">
                  <c:v>21.000000000000039</c:v>
                </c:pt>
                <c:pt idx="121">
                  <c:v>21.30000000000004</c:v>
                </c:pt>
                <c:pt idx="122">
                  <c:v>21.600000000000041</c:v>
                </c:pt>
                <c:pt idx="123">
                  <c:v>21.900000000000041</c:v>
                </c:pt>
                <c:pt idx="124">
                  <c:v>22.200000000000042</c:v>
                </c:pt>
                <c:pt idx="125">
                  <c:v>22.500000000000043</c:v>
                </c:pt>
                <c:pt idx="126">
                  <c:v>22.800000000000043</c:v>
                </c:pt>
                <c:pt idx="127">
                  <c:v>23.100000000000044</c:v>
                </c:pt>
                <c:pt idx="128">
                  <c:v>23.400000000000045</c:v>
                </c:pt>
                <c:pt idx="129">
                  <c:v>23.700000000000045</c:v>
                </c:pt>
                <c:pt idx="130">
                  <c:v>24.000000000000046</c:v>
                </c:pt>
              </c:numCache>
            </c:numRef>
          </c:cat>
          <c:val>
            <c:numRef>
              <c:f>'Normal (2)'!$E$7:$E$137</c:f>
              <c:numCache>
                <c:formatCode>0.0%</c:formatCode>
                <c:ptCount val="131"/>
                <c:pt idx="0">
                  <c:v>5.3532090305954143E-5</c:v>
                </c:pt>
                <c:pt idx="1">
                  <c:v>8.5891192600146818E-5</c:v>
                </c:pt>
                <c:pt idx="2">
                  <c:v>1.3584048499346217E-4</c:v>
                </c:pt>
                <c:pt idx="3">
                  <c:v>2.1176587323797465E-4</c:v>
                </c:pt>
                <c:pt idx="4">
                  <c:v>3.2540849243272482E-4</c:v>
                </c:pt>
                <c:pt idx="5">
                  <c:v>4.928876673892101E-4</c:v>
                </c:pt>
                <c:pt idx="6">
                  <c:v>7.358904723297156E-4</c:v>
                </c:pt>
                <c:pt idx="7">
                  <c:v>1.0829903027362877E-3</c:v>
                </c:pt>
                <c:pt idx="8">
                  <c:v>1.5710214515699211E-3</c:v>
                </c:pt>
                <c:pt idx="9">
                  <c:v>2.2463934383964036E-3</c:v>
                </c:pt>
                <c:pt idx="10">
                  <c:v>3.1661806331920112E-3</c:v>
                </c:pt>
                <c:pt idx="11">
                  <c:v>4.3987746517622659E-3</c:v>
                </c:pt>
                <c:pt idx="12">
                  <c:v>6.023846530951036E-3</c:v>
                </c:pt>
                <c:pt idx="13">
                  <c:v>8.1313422952904064E-3</c:v>
                </c:pt>
                <c:pt idx="14">
                  <c:v>1.0819239818752817E-2</c:v>
                </c:pt>
                <c:pt idx="15">
                  <c:v>1.4189837138492709E-2</c:v>
                </c:pt>
                <c:pt idx="16">
                  <c:v>1.8344430508422126E-2</c:v>
                </c:pt>
                <c:pt idx="17">
                  <c:v>2.3376377733380811E-2</c:v>
                </c:pt>
                <c:pt idx="18">
                  <c:v>2.9362725032663028E-2</c:v>
                </c:pt>
                <c:pt idx="19">
                  <c:v>3.6354791606513483E-2</c:v>
                </c:pt>
                <c:pt idx="20">
                  <c:v>4.4368333871782628E-2</c:v>
                </c:pt>
                <c:pt idx="21">
                  <c:v>5.3374121580401397E-2</c:v>
                </c:pt>
                <c:pt idx="22">
                  <c:v>6.3289916148153755E-2</c:v>
                </c:pt>
                <c:pt idx="23">
                  <c:v>7.3974912385322708E-2</c:v>
                </c:pt>
                <c:pt idx="24">
                  <c:v>8.5227658710287771E-2</c:v>
                </c:pt>
                <c:pt idx="25">
                  <c:v>9.6788289807657968E-2</c:v>
                </c:pt>
                <c:pt idx="26">
                  <c:v>0.10834558871933582</c:v>
                </c:pt>
                <c:pt idx="27">
                  <c:v>0.11954896231038167</c:v>
                </c:pt>
                <c:pt idx="28">
                  <c:v>0.13002490563363336</c:v>
                </c:pt>
                <c:pt idx="29">
                  <c:v>0.13939700510359024</c:v>
                </c:pt>
                <c:pt idx="30">
                  <c:v>0.14730805612132966</c:v>
                </c:pt>
                <c:pt idx="31">
                  <c:v>0.15344251686139168</c:v>
                </c:pt>
                <c:pt idx="32">
                  <c:v>0.15754734462741649</c:v>
                </c:pt>
                <c:pt idx="33">
                  <c:v>0.15944930168184204</c:v>
                </c:pt>
                <c:pt idx="34">
                  <c:v>0.1590670822046435</c:v>
                </c:pt>
                <c:pt idx="35">
                  <c:v>0.15641707759018217</c:v>
                </c:pt>
                <c:pt idx="36">
                  <c:v>0.15161221046108039</c:v>
                </c:pt>
                <c:pt idx="37">
                  <c:v>0.14485395296523654</c:v>
                </c:pt>
                <c:pt idx="38">
                  <c:v>0.13641831545214061</c:v>
                </c:pt>
                <c:pt idx="39">
                  <c:v>0.12663716308435666</c:v>
                </c:pt>
                <c:pt idx="40">
                  <c:v>0.11587662110459261</c:v>
                </c:pt>
                <c:pt idx="41">
                  <c:v>0.10451452049982075</c:v>
                </c:pt>
                <c:pt idx="42">
                  <c:v>9.2918801897345984E-2</c:v>
                </c:pt>
                <c:pt idx="43">
                  <c:v>8.1428555316303289E-2</c:v>
                </c:pt>
                <c:pt idx="44">
                  <c:v>7.033897211906448E-2</c:v>
                </c:pt>
                <c:pt idx="45">
                  <c:v>5.98909862542975E-2</c:v>
                </c:pt>
                <c:pt idx="46">
                  <c:v>5.0265854715634842E-2</c:v>
                </c:pt>
                <c:pt idx="47">
                  <c:v>4.1584438131505322E-2</c:v>
                </c:pt>
                <c:pt idx="48">
                  <c:v>3.3910544523208588E-2</c:v>
                </c:pt>
                <c:pt idx="49">
                  <c:v>2.7257426440417572E-2</c:v>
                </c:pt>
                <c:pt idx="50">
                  <c:v>2.1596386605274992E-2</c:v>
                </c:pt>
                <c:pt idx="51">
                  <c:v>1.6866442784707936E-2</c:v>
                </c:pt>
                <c:pt idx="52">
                  <c:v>1.2984106257478834E-2</c:v>
                </c:pt>
                <c:pt idx="53">
                  <c:v>9.8525077225528786E-3</c:v>
                </c:pt>
                <c:pt idx="54">
                  <c:v>7.3693242587447236E-3</c:v>
                </c:pt>
                <c:pt idx="55">
                  <c:v>5.4331876934741695E-3</c:v>
                </c:pt>
                <c:pt idx="56">
                  <c:v>3.9484615179003991E-3</c:v>
                </c:pt>
                <c:pt idx="57">
                  <c:v>2.8284419544077366E-3</c:v>
                </c:pt>
                <c:pt idx="58">
                  <c:v>1.9971596854449184E-3</c:v>
                </c:pt>
                <c:pt idx="59">
                  <c:v>1.3900309511419543E-3</c:v>
                </c:pt>
                <c:pt idx="60">
                  <c:v>9.5363528058592178E-4</c:v>
                </c:pt>
                <c:pt idx="61">
                  <c:v>6.4489098879083953E-4</c:v>
                </c:pt>
                <c:pt idx="62">
                  <c:v>4.29869336061487E-4</c:v>
                </c:pt>
                <c:pt idx="63">
                  <c:v>2.8244428019520945E-4</c:v>
                </c:pt>
                <c:pt idx="64">
                  <c:v>1.8292592562393963E-4</c:v>
                </c:pt>
                <c:pt idx="65">
                  <c:v>1.1677877031658214E-4</c:v>
                </c:pt>
                <c:pt idx="66">
                  <c:v>7.3484999200981534E-5</c:v>
                </c:pt>
                <c:pt idx="67">
                  <c:v>4.5580559227545037E-5</c:v>
                </c:pt>
                <c:pt idx="68">
                  <c:v>2.7868061747685234E-5</c:v>
                </c:pt>
                <c:pt idx="69">
                  <c:v>1.679500117264666E-5</c:v>
                </c:pt>
                <c:pt idx="70">
                  <c:v>9.9769885160212535E-6</c:v>
                </c:pt>
                <c:pt idx="71">
                  <c:v>5.8420472556610306E-6</c:v>
                </c:pt>
                <c:pt idx="72">
                  <c:v>3.3719165532914425E-6</c:v>
                </c:pt>
                <c:pt idx="73">
                  <c:v>1.9183804086209783E-6</c:v>
                </c:pt>
                <c:pt idx="74">
                  <c:v>1.0758179897085863E-6</c:v>
                </c:pt>
                <c:pt idx="75">
                  <c:v>5.9468780589370639E-7</c:v>
                </c:pt>
                <c:pt idx="76">
                  <c:v>3.2403015157124806E-7</c:v>
                </c:pt>
                <c:pt idx="77">
                  <c:v>1.7403154430060127E-7</c:v>
                </c:pt>
                <c:pt idx="78">
                  <c:v>9.2133312017566129E-8</c:v>
                </c:pt>
                <c:pt idx="79">
                  <c:v>4.8078571162511724E-8</c:v>
                </c:pt>
                <c:pt idx="80">
                  <c:v>2.4730482000662683E-8</c:v>
                </c:pt>
                <c:pt idx="81">
                  <c:v>1.2538909527167513E-8</c:v>
                </c:pt>
                <c:pt idx="82">
                  <c:v>6.2666164752528275E-9</c:v>
                </c:pt>
                <c:pt idx="83">
                  <c:v>3.0871136850281017E-9</c:v>
                </c:pt>
                <c:pt idx="84">
                  <c:v>1.4990574918703569E-9</c:v>
                </c:pt>
                <c:pt idx="85">
                  <c:v>7.1751356318560631E-10</c:v>
                </c:pt>
                <c:pt idx="86">
                  <c:v>3.3852293702843301E-10</c:v>
                </c:pt>
                <c:pt idx="87">
                  <c:v>1.5743172163605089E-10</c:v>
                </c:pt>
                <c:pt idx="88">
                  <c:v>7.2167647568095767E-11</c:v>
                </c:pt>
                <c:pt idx="89">
                  <c:v>3.260911501079875E-11</c:v>
                </c:pt>
                <c:pt idx="90">
                  <c:v>1.4523846007166325E-11</c:v>
                </c:pt>
                <c:pt idx="91">
                  <c:v>6.3763246063532579E-12</c:v>
                </c:pt>
                <c:pt idx="92">
                  <c:v>2.7593409110007282E-12</c:v>
                </c:pt>
                <c:pt idx="93">
                  <c:v>1.1770270978786101E-12</c:v>
                </c:pt>
                <c:pt idx="94">
                  <c:v>4.9489574777508288E-13</c:v>
                </c:pt>
                <c:pt idx="95">
                  <c:v>2.0511014547185415E-13</c:v>
                </c:pt>
                <c:pt idx="96">
                  <c:v>8.3792803761408213E-14</c:v>
                </c:pt>
                <c:pt idx="97">
                  <c:v>3.3742127465639594E-14</c:v>
                </c:pt>
                <c:pt idx="98">
                  <c:v>1.3393200192383202E-14</c:v>
                </c:pt>
                <c:pt idx="99">
                  <c:v>5.2401343107751649E-15</c:v>
                </c:pt>
                <c:pt idx="100">
                  <c:v>2.0209084334145846E-15</c:v>
                </c:pt>
                <c:pt idx="101">
                  <c:v>7.6824017245775631E-16</c:v>
                </c:pt>
                <c:pt idx="102">
                  <c:v>2.8786810567005907E-16</c:v>
                </c:pt>
                <c:pt idx="103">
                  <c:v>1.0632520921316635E-16</c:v>
                </c:pt>
                <c:pt idx="104">
                  <c:v>3.8710172036306504E-17</c:v>
                </c:pt>
                <c:pt idx="105">
                  <c:v>1.3891850994263351E-17</c:v>
                </c:pt>
                <c:pt idx="106">
                  <c:v>4.9140694584799542E-18</c:v>
                </c:pt>
                <c:pt idx="107">
                  <c:v>1.7134389087848764E-18</c:v>
                </c:pt>
                <c:pt idx="108">
                  <c:v>5.8890076430171168E-19</c:v>
                </c:pt>
                <c:pt idx="109">
                  <c:v>1.9950866875582092E-19</c:v>
                </c:pt>
                <c:pt idx="110">
                  <c:v>6.6623521295188632E-20</c:v>
                </c:pt>
                <c:pt idx="111">
                  <c:v>2.1930046609330673E-20</c:v>
                </c:pt>
                <c:pt idx="112">
                  <c:v>7.1153732360377262E-21</c:v>
                </c:pt>
                <c:pt idx="113">
                  <c:v>2.2756317082075092E-21</c:v>
                </c:pt>
                <c:pt idx="114">
                  <c:v>7.1738522291739026E-22</c:v>
                </c:pt>
                <c:pt idx="115">
                  <c:v>2.2292000090879753E-22</c:v>
                </c:pt>
                <c:pt idx="116">
                  <c:v>6.8279731581734744E-23</c:v>
                </c:pt>
                <c:pt idx="117">
                  <c:v>2.0614876323136878E-23</c:v>
                </c:pt>
                <c:pt idx="118">
                  <c:v>6.1350177216801214E-24</c:v>
                </c:pt>
                <c:pt idx="119">
                  <c:v>1.7996873705291536E-24</c:v>
                </c:pt>
                <c:pt idx="120">
                  <c:v>5.2038464796948022E-25</c:v>
                </c:pt>
                <c:pt idx="121">
                  <c:v>1.483194280706835E-25</c:v>
                </c:pt>
                <c:pt idx="122">
                  <c:v>4.1669449973209049E-26</c:v>
                </c:pt>
                <c:pt idx="123">
                  <c:v>1.1539411298227026E-26</c:v>
                </c:pt>
                <c:pt idx="124">
                  <c:v>3.1498922495493736E-27</c:v>
                </c:pt>
                <c:pt idx="125">
                  <c:v>8.4752770140357272E-28</c:v>
                </c:pt>
                <c:pt idx="126">
                  <c:v>2.2478030989366239E-28</c:v>
                </c:pt>
                <c:pt idx="127">
                  <c:v>5.8763653424710117E-29</c:v>
                </c:pt>
                <c:pt idx="128">
                  <c:v>1.5142775064032824E-29</c:v>
                </c:pt>
                <c:pt idx="129">
                  <c:v>3.8463456846907105E-30</c:v>
                </c:pt>
                <c:pt idx="130">
                  <c:v>9.6302445273550134E-31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CF-40D3-9EFC-9A26B4261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297023"/>
        <c:axId val="791293695"/>
      </c:lineChart>
      <c:catAx>
        <c:axId val="79129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auto val="1"/>
        <c:lblAlgn val="ctr"/>
        <c:lblOffset val="100"/>
        <c:noMultiLvlLbl val="0"/>
      </c:catAx>
      <c:valAx>
        <c:axId val="79129369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Triangular!$B$5</c:f>
              <c:strCache>
                <c:ptCount val="1"/>
                <c:pt idx="0">
                  <c:v>(500, 1000, 2000)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Triangular!$A$6:$A$156</c:f>
              <c:numCache>
                <c:formatCode>General</c:formatCode>
                <c:ptCount val="151"/>
                <c:pt idx="0">
                  <c:v>500</c:v>
                </c:pt>
                <c:pt idx="1">
                  <c:v>510</c:v>
                </c:pt>
                <c:pt idx="2">
                  <c:v>520</c:v>
                </c:pt>
                <c:pt idx="3">
                  <c:v>530</c:v>
                </c:pt>
                <c:pt idx="4">
                  <c:v>540</c:v>
                </c:pt>
                <c:pt idx="5">
                  <c:v>550</c:v>
                </c:pt>
                <c:pt idx="6">
                  <c:v>560</c:v>
                </c:pt>
                <c:pt idx="7">
                  <c:v>570</c:v>
                </c:pt>
                <c:pt idx="8">
                  <c:v>580</c:v>
                </c:pt>
                <c:pt idx="9">
                  <c:v>590</c:v>
                </c:pt>
                <c:pt idx="10">
                  <c:v>600</c:v>
                </c:pt>
                <c:pt idx="11">
                  <c:v>610</c:v>
                </c:pt>
                <c:pt idx="12">
                  <c:v>620</c:v>
                </c:pt>
                <c:pt idx="13">
                  <c:v>630</c:v>
                </c:pt>
                <c:pt idx="14">
                  <c:v>640</c:v>
                </c:pt>
                <c:pt idx="15">
                  <c:v>650</c:v>
                </c:pt>
                <c:pt idx="16">
                  <c:v>660</c:v>
                </c:pt>
                <c:pt idx="17">
                  <c:v>670</c:v>
                </c:pt>
                <c:pt idx="18">
                  <c:v>680</c:v>
                </c:pt>
                <c:pt idx="19">
                  <c:v>690</c:v>
                </c:pt>
                <c:pt idx="20">
                  <c:v>700</c:v>
                </c:pt>
                <c:pt idx="21">
                  <c:v>710</c:v>
                </c:pt>
                <c:pt idx="22">
                  <c:v>720</c:v>
                </c:pt>
                <c:pt idx="23">
                  <c:v>730</c:v>
                </c:pt>
                <c:pt idx="24">
                  <c:v>740</c:v>
                </c:pt>
                <c:pt idx="25">
                  <c:v>750</c:v>
                </c:pt>
                <c:pt idx="26">
                  <c:v>760</c:v>
                </c:pt>
                <c:pt idx="27">
                  <c:v>770</c:v>
                </c:pt>
                <c:pt idx="28">
                  <c:v>780</c:v>
                </c:pt>
                <c:pt idx="29">
                  <c:v>790</c:v>
                </c:pt>
                <c:pt idx="30">
                  <c:v>800</c:v>
                </c:pt>
                <c:pt idx="31">
                  <c:v>810</c:v>
                </c:pt>
                <c:pt idx="32">
                  <c:v>820</c:v>
                </c:pt>
                <c:pt idx="33">
                  <c:v>830</c:v>
                </c:pt>
                <c:pt idx="34">
                  <c:v>840</c:v>
                </c:pt>
                <c:pt idx="35">
                  <c:v>850</c:v>
                </c:pt>
                <c:pt idx="36">
                  <c:v>860</c:v>
                </c:pt>
                <c:pt idx="37">
                  <c:v>870</c:v>
                </c:pt>
                <c:pt idx="38">
                  <c:v>880</c:v>
                </c:pt>
                <c:pt idx="39">
                  <c:v>890</c:v>
                </c:pt>
                <c:pt idx="40">
                  <c:v>900</c:v>
                </c:pt>
                <c:pt idx="41">
                  <c:v>910</c:v>
                </c:pt>
                <c:pt idx="42">
                  <c:v>920</c:v>
                </c:pt>
                <c:pt idx="43">
                  <c:v>930</c:v>
                </c:pt>
                <c:pt idx="44">
                  <c:v>940</c:v>
                </c:pt>
                <c:pt idx="45">
                  <c:v>950</c:v>
                </c:pt>
                <c:pt idx="46">
                  <c:v>960</c:v>
                </c:pt>
                <c:pt idx="47">
                  <c:v>970</c:v>
                </c:pt>
                <c:pt idx="48">
                  <c:v>980</c:v>
                </c:pt>
                <c:pt idx="49">
                  <c:v>990</c:v>
                </c:pt>
                <c:pt idx="50">
                  <c:v>1000</c:v>
                </c:pt>
                <c:pt idx="51">
                  <c:v>1010</c:v>
                </c:pt>
                <c:pt idx="52">
                  <c:v>1020</c:v>
                </c:pt>
                <c:pt idx="53">
                  <c:v>1030</c:v>
                </c:pt>
                <c:pt idx="54">
                  <c:v>1040</c:v>
                </c:pt>
                <c:pt idx="55">
                  <c:v>1050</c:v>
                </c:pt>
                <c:pt idx="56">
                  <c:v>1060</c:v>
                </c:pt>
                <c:pt idx="57">
                  <c:v>1070</c:v>
                </c:pt>
                <c:pt idx="58">
                  <c:v>1080</c:v>
                </c:pt>
                <c:pt idx="59">
                  <c:v>1090</c:v>
                </c:pt>
                <c:pt idx="60">
                  <c:v>1100</c:v>
                </c:pt>
                <c:pt idx="61">
                  <c:v>1110</c:v>
                </c:pt>
                <c:pt idx="62">
                  <c:v>1120</c:v>
                </c:pt>
                <c:pt idx="63">
                  <c:v>1130</c:v>
                </c:pt>
                <c:pt idx="64">
                  <c:v>1140</c:v>
                </c:pt>
                <c:pt idx="65">
                  <c:v>1150</c:v>
                </c:pt>
                <c:pt idx="66">
                  <c:v>1160</c:v>
                </c:pt>
                <c:pt idx="67">
                  <c:v>1170</c:v>
                </c:pt>
                <c:pt idx="68">
                  <c:v>1180</c:v>
                </c:pt>
                <c:pt idx="69">
                  <c:v>1190</c:v>
                </c:pt>
                <c:pt idx="70">
                  <c:v>1200</c:v>
                </c:pt>
                <c:pt idx="71">
                  <c:v>1210</c:v>
                </c:pt>
                <c:pt idx="72">
                  <c:v>1220</c:v>
                </c:pt>
                <c:pt idx="73">
                  <c:v>1230</c:v>
                </c:pt>
                <c:pt idx="74">
                  <c:v>1240</c:v>
                </c:pt>
                <c:pt idx="75">
                  <c:v>1250</c:v>
                </c:pt>
                <c:pt idx="76">
                  <c:v>1260</c:v>
                </c:pt>
                <c:pt idx="77">
                  <c:v>1270</c:v>
                </c:pt>
                <c:pt idx="78">
                  <c:v>1280</c:v>
                </c:pt>
                <c:pt idx="79">
                  <c:v>1290</c:v>
                </c:pt>
                <c:pt idx="80">
                  <c:v>1300</c:v>
                </c:pt>
                <c:pt idx="81">
                  <c:v>1310</c:v>
                </c:pt>
                <c:pt idx="82">
                  <c:v>1320</c:v>
                </c:pt>
                <c:pt idx="83">
                  <c:v>1330</c:v>
                </c:pt>
                <c:pt idx="84">
                  <c:v>1340</c:v>
                </c:pt>
                <c:pt idx="85">
                  <c:v>1350</c:v>
                </c:pt>
                <c:pt idx="86">
                  <c:v>1360</c:v>
                </c:pt>
                <c:pt idx="87">
                  <c:v>1370</c:v>
                </c:pt>
                <c:pt idx="88">
                  <c:v>1380</c:v>
                </c:pt>
                <c:pt idx="89">
                  <c:v>1390</c:v>
                </c:pt>
                <c:pt idx="90">
                  <c:v>1400</c:v>
                </c:pt>
                <c:pt idx="91">
                  <c:v>1410</c:v>
                </c:pt>
                <c:pt idx="92">
                  <c:v>1420</c:v>
                </c:pt>
                <c:pt idx="93">
                  <c:v>1430</c:v>
                </c:pt>
                <c:pt idx="94">
                  <c:v>1440</c:v>
                </c:pt>
                <c:pt idx="95">
                  <c:v>1450</c:v>
                </c:pt>
                <c:pt idx="96">
                  <c:v>1460</c:v>
                </c:pt>
                <c:pt idx="97">
                  <c:v>1470</c:v>
                </c:pt>
                <c:pt idx="98">
                  <c:v>1480</c:v>
                </c:pt>
                <c:pt idx="99">
                  <c:v>1490</c:v>
                </c:pt>
                <c:pt idx="100">
                  <c:v>1500</c:v>
                </c:pt>
                <c:pt idx="101">
                  <c:v>1510</c:v>
                </c:pt>
                <c:pt idx="102">
                  <c:v>1520</c:v>
                </c:pt>
                <c:pt idx="103">
                  <c:v>1530</c:v>
                </c:pt>
                <c:pt idx="104">
                  <c:v>1540</c:v>
                </c:pt>
                <c:pt idx="105">
                  <c:v>1550</c:v>
                </c:pt>
                <c:pt idx="106">
                  <c:v>1560</c:v>
                </c:pt>
                <c:pt idx="107">
                  <c:v>1570</c:v>
                </c:pt>
                <c:pt idx="108">
                  <c:v>1580</c:v>
                </c:pt>
                <c:pt idx="109">
                  <c:v>1590</c:v>
                </c:pt>
                <c:pt idx="110">
                  <c:v>1600</c:v>
                </c:pt>
                <c:pt idx="111">
                  <c:v>1610</c:v>
                </c:pt>
                <c:pt idx="112">
                  <c:v>1620</c:v>
                </c:pt>
                <c:pt idx="113">
                  <c:v>1630</c:v>
                </c:pt>
                <c:pt idx="114">
                  <c:v>1640</c:v>
                </c:pt>
                <c:pt idx="115">
                  <c:v>1650</c:v>
                </c:pt>
                <c:pt idx="116">
                  <c:v>1660</c:v>
                </c:pt>
                <c:pt idx="117">
                  <c:v>1670</c:v>
                </c:pt>
                <c:pt idx="118">
                  <c:v>1680</c:v>
                </c:pt>
                <c:pt idx="119">
                  <c:v>1690</c:v>
                </c:pt>
                <c:pt idx="120">
                  <c:v>1700</c:v>
                </c:pt>
                <c:pt idx="121">
                  <c:v>1710</c:v>
                </c:pt>
                <c:pt idx="122">
                  <c:v>1720</c:v>
                </c:pt>
                <c:pt idx="123">
                  <c:v>1730</c:v>
                </c:pt>
                <c:pt idx="124">
                  <c:v>1740</c:v>
                </c:pt>
                <c:pt idx="125">
                  <c:v>1750</c:v>
                </c:pt>
                <c:pt idx="126">
                  <c:v>1760</c:v>
                </c:pt>
                <c:pt idx="127">
                  <c:v>1770</c:v>
                </c:pt>
                <c:pt idx="128">
                  <c:v>1780</c:v>
                </c:pt>
                <c:pt idx="129">
                  <c:v>1790</c:v>
                </c:pt>
                <c:pt idx="130">
                  <c:v>1800</c:v>
                </c:pt>
                <c:pt idx="131">
                  <c:v>1810</c:v>
                </c:pt>
                <c:pt idx="132">
                  <c:v>1820</c:v>
                </c:pt>
                <c:pt idx="133">
                  <c:v>1830</c:v>
                </c:pt>
                <c:pt idx="134">
                  <c:v>1840</c:v>
                </c:pt>
                <c:pt idx="135">
                  <c:v>1850</c:v>
                </c:pt>
                <c:pt idx="136">
                  <c:v>1860</c:v>
                </c:pt>
                <c:pt idx="137">
                  <c:v>1870</c:v>
                </c:pt>
                <c:pt idx="138">
                  <c:v>1880</c:v>
                </c:pt>
                <c:pt idx="139">
                  <c:v>1890</c:v>
                </c:pt>
                <c:pt idx="140">
                  <c:v>1900</c:v>
                </c:pt>
                <c:pt idx="141">
                  <c:v>1910</c:v>
                </c:pt>
                <c:pt idx="142">
                  <c:v>1920</c:v>
                </c:pt>
                <c:pt idx="143">
                  <c:v>1930</c:v>
                </c:pt>
                <c:pt idx="144">
                  <c:v>1940</c:v>
                </c:pt>
                <c:pt idx="145">
                  <c:v>1950</c:v>
                </c:pt>
                <c:pt idx="146">
                  <c:v>1960</c:v>
                </c:pt>
                <c:pt idx="147">
                  <c:v>1970</c:v>
                </c:pt>
                <c:pt idx="148">
                  <c:v>1980</c:v>
                </c:pt>
                <c:pt idx="149">
                  <c:v>1990</c:v>
                </c:pt>
                <c:pt idx="150">
                  <c:v>2000</c:v>
                </c:pt>
              </c:numCache>
            </c:numRef>
          </c:cat>
          <c:val>
            <c:numRef>
              <c:f>Triangular!$B$6:$B$156</c:f>
              <c:numCache>
                <c:formatCode>0.00%</c:formatCode>
                <c:ptCount val="151"/>
                <c:pt idx="0">
                  <c:v>0</c:v>
                </c:pt>
                <c:pt idx="1">
                  <c:v>2.6666666666666667E-5</c:v>
                </c:pt>
                <c:pt idx="2">
                  <c:v>5.3333333333333333E-5</c:v>
                </c:pt>
                <c:pt idx="3">
                  <c:v>8.0000000000000007E-5</c:v>
                </c:pt>
                <c:pt idx="4">
                  <c:v>1.0666666666666667E-4</c:v>
                </c:pt>
                <c:pt idx="5">
                  <c:v>1.3333333333333334E-4</c:v>
                </c:pt>
                <c:pt idx="6">
                  <c:v>1.6000000000000001E-4</c:v>
                </c:pt>
                <c:pt idx="7">
                  <c:v>1.8666666666666666E-4</c:v>
                </c:pt>
                <c:pt idx="8">
                  <c:v>2.1333333333333333E-4</c:v>
                </c:pt>
                <c:pt idx="9">
                  <c:v>2.4000000000000001E-4</c:v>
                </c:pt>
                <c:pt idx="10">
                  <c:v>2.6666666666666668E-4</c:v>
                </c:pt>
                <c:pt idx="11">
                  <c:v>2.9333333333333333E-4</c:v>
                </c:pt>
                <c:pt idx="12">
                  <c:v>3.2000000000000003E-4</c:v>
                </c:pt>
                <c:pt idx="13">
                  <c:v>3.4666666666666667E-4</c:v>
                </c:pt>
                <c:pt idx="14">
                  <c:v>3.7333333333333332E-4</c:v>
                </c:pt>
                <c:pt idx="15">
                  <c:v>4.0000000000000002E-4</c:v>
                </c:pt>
                <c:pt idx="16">
                  <c:v>4.2666666666666667E-4</c:v>
                </c:pt>
                <c:pt idx="17">
                  <c:v>4.5333333333333331E-4</c:v>
                </c:pt>
                <c:pt idx="18">
                  <c:v>4.8000000000000001E-4</c:v>
                </c:pt>
                <c:pt idx="19">
                  <c:v>5.0666666666666666E-4</c:v>
                </c:pt>
                <c:pt idx="20">
                  <c:v>5.3333333333333336E-4</c:v>
                </c:pt>
                <c:pt idx="21">
                  <c:v>5.5999999999999995E-4</c:v>
                </c:pt>
                <c:pt idx="22">
                  <c:v>5.8666666666666665E-4</c:v>
                </c:pt>
                <c:pt idx="23">
                  <c:v>6.1333333333333335E-4</c:v>
                </c:pt>
                <c:pt idx="24">
                  <c:v>6.4000000000000005E-4</c:v>
                </c:pt>
                <c:pt idx="25">
                  <c:v>6.6666666666666664E-4</c:v>
                </c:pt>
                <c:pt idx="26">
                  <c:v>6.9333333333333334E-4</c:v>
                </c:pt>
                <c:pt idx="27">
                  <c:v>7.2000000000000005E-4</c:v>
                </c:pt>
                <c:pt idx="28">
                  <c:v>7.4666666666666664E-4</c:v>
                </c:pt>
                <c:pt idx="29">
                  <c:v>7.7333333333333334E-4</c:v>
                </c:pt>
                <c:pt idx="30">
                  <c:v>8.0000000000000004E-4</c:v>
                </c:pt>
                <c:pt idx="31">
                  <c:v>8.2666666666666663E-4</c:v>
                </c:pt>
                <c:pt idx="32">
                  <c:v>8.5333333333333333E-4</c:v>
                </c:pt>
                <c:pt idx="33">
                  <c:v>8.8000000000000003E-4</c:v>
                </c:pt>
                <c:pt idx="34">
                  <c:v>9.0666666666666662E-4</c:v>
                </c:pt>
                <c:pt idx="35">
                  <c:v>9.3333333333333332E-4</c:v>
                </c:pt>
                <c:pt idx="36">
                  <c:v>9.6000000000000002E-4</c:v>
                </c:pt>
                <c:pt idx="37">
                  <c:v>9.8666666666666672E-4</c:v>
                </c:pt>
                <c:pt idx="38">
                  <c:v>1.0133333333333333E-3</c:v>
                </c:pt>
                <c:pt idx="39">
                  <c:v>1.0399999999999999E-3</c:v>
                </c:pt>
                <c:pt idx="40">
                  <c:v>1.0666666666666667E-3</c:v>
                </c:pt>
                <c:pt idx="41">
                  <c:v>1.0933333333333333E-3</c:v>
                </c:pt>
                <c:pt idx="42">
                  <c:v>1.1199999999999999E-3</c:v>
                </c:pt>
                <c:pt idx="43">
                  <c:v>1.1466666666666667E-3</c:v>
                </c:pt>
                <c:pt idx="44">
                  <c:v>1.1733333333333333E-3</c:v>
                </c:pt>
                <c:pt idx="45">
                  <c:v>1.1999999999999999E-3</c:v>
                </c:pt>
                <c:pt idx="46">
                  <c:v>1.2266666666666667E-3</c:v>
                </c:pt>
                <c:pt idx="47">
                  <c:v>1.2533333333333333E-3</c:v>
                </c:pt>
                <c:pt idx="48">
                  <c:v>1.2800000000000001E-3</c:v>
                </c:pt>
                <c:pt idx="49">
                  <c:v>1.3066666666666667E-3</c:v>
                </c:pt>
                <c:pt idx="50">
                  <c:v>1.3333333333333333E-3</c:v>
                </c:pt>
                <c:pt idx="51">
                  <c:v>1.32E-3</c:v>
                </c:pt>
                <c:pt idx="52">
                  <c:v>1.3066666666666667E-3</c:v>
                </c:pt>
                <c:pt idx="53">
                  <c:v>1.2933333333333334E-3</c:v>
                </c:pt>
                <c:pt idx="54">
                  <c:v>1.2800000000000001E-3</c:v>
                </c:pt>
                <c:pt idx="55">
                  <c:v>1.2666666666666666E-3</c:v>
                </c:pt>
                <c:pt idx="56">
                  <c:v>1.2533333333333333E-3</c:v>
                </c:pt>
                <c:pt idx="57">
                  <c:v>1.24E-3</c:v>
                </c:pt>
                <c:pt idx="58">
                  <c:v>1.2266666666666667E-3</c:v>
                </c:pt>
                <c:pt idx="59">
                  <c:v>1.2133333333333334E-3</c:v>
                </c:pt>
                <c:pt idx="60">
                  <c:v>1.1999999999999999E-3</c:v>
                </c:pt>
                <c:pt idx="61">
                  <c:v>1.1866666666666666E-3</c:v>
                </c:pt>
                <c:pt idx="62">
                  <c:v>1.1733333333333333E-3</c:v>
                </c:pt>
                <c:pt idx="63">
                  <c:v>1.16E-3</c:v>
                </c:pt>
                <c:pt idx="64">
                  <c:v>1.1466666666666667E-3</c:v>
                </c:pt>
                <c:pt idx="65">
                  <c:v>1.1333333333333334E-3</c:v>
                </c:pt>
                <c:pt idx="66">
                  <c:v>1.1199999999999999E-3</c:v>
                </c:pt>
                <c:pt idx="67">
                  <c:v>1.1066666666666666E-3</c:v>
                </c:pt>
                <c:pt idx="68">
                  <c:v>1.0933333333333333E-3</c:v>
                </c:pt>
                <c:pt idx="69">
                  <c:v>1.08E-3</c:v>
                </c:pt>
                <c:pt idx="70">
                  <c:v>1.0666666666666667E-3</c:v>
                </c:pt>
                <c:pt idx="71">
                  <c:v>1.0533333333333334E-3</c:v>
                </c:pt>
                <c:pt idx="72">
                  <c:v>1.0399999999999999E-3</c:v>
                </c:pt>
                <c:pt idx="73">
                  <c:v>1.0266666666666666E-3</c:v>
                </c:pt>
                <c:pt idx="74">
                  <c:v>1.0133333333333333E-3</c:v>
                </c:pt>
                <c:pt idx="75">
                  <c:v>1E-3</c:v>
                </c:pt>
                <c:pt idx="76">
                  <c:v>9.8666666666666672E-4</c:v>
                </c:pt>
                <c:pt idx="77">
                  <c:v>9.7333333333333332E-4</c:v>
                </c:pt>
                <c:pt idx="78">
                  <c:v>9.6000000000000002E-4</c:v>
                </c:pt>
                <c:pt idx="79">
                  <c:v>9.4666666666666662E-4</c:v>
                </c:pt>
                <c:pt idx="80">
                  <c:v>9.3333333333333332E-4</c:v>
                </c:pt>
                <c:pt idx="81">
                  <c:v>9.2000000000000003E-4</c:v>
                </c:pt>
                <c:pt idx="82">
                  <c:v>9.0666666666666662E-4</c:v>
                </c:pt>
                <c:pt idx="83">
                  <c:v>8.9333333333333333E-4</c:v>
                </c:pt>
                <c:pt idx="84">
                  <c:v>8.8000000000000003E-4</c:v>
                </c:pt>
                <c:pt idx="85">
                  <c:v>8.6666666666666663E-4</c:v>
                </c:pt>
                <c:pt idx="86">
                  <c:v>8.5333333333333333E-4</c:v>
                </c:pt>
                <c:pt idx="87">
                  <c:v>8.4000000000000003E-4</c:v>
                </c:pt>
                <c:pt idx="88">
                  <c:v>8.2666666666666663E-4</c:v>
                </c:pt>
                <c:pt idx="89">
                  <c:v>8.1333333333333333E-4</c:v>
                </c:pt>
                <c:pt idx="90">
                  <c:v>8.0000000000000004E-4</c:v>
                </c:pt>
                <c:pt idx="91">
                  <c:v>7.8666666666666663E-4</c:v>
                </c:pt>
                <c:pt idx="92">
                  <c:v>7.7333333333333334E-4</c:v>
                </c:pt>
                <c:pt idx="93">
                  <c:v>7.6000000000000004E-4</c:v>
                </c:pt>
                <c:pt idx="94">
                  <c:v>7.4666666666666664E-4</c:v>
                </c:pt>
                <c:pt idx="95">
                  <c:v>7.3333333333333334E-4</c:v>
                </c:pt>
                <c:pt idx="96">
                  <c:v>7.2000000000000005E-4</c:v>
                </c:pt>
                <c:pt idx="97">
                  <c:v>7.0666666666666664E-4</c:v>
                </c:pt>
                <c:pt idx="98">
                  <c:v>6.9333333333333334E-4</c:v>
                </c:pt>
                <c:pt idx="99">
                  <c:v>6.8000000000000005E-4</c:v>
                </c:pt>
                <c:pt idx="100">
                  <c:v>6.6666666666666664E-4</c:v>
                </c:pt>
                <c:pt idx="101">
                  <c:v>6.5333333333333335E-4</c:v>
                </c:pt>
                <c:pt idx="102">
                  <c:v>6.4000000000000005E-4</c:v>
                </c:pt>
                <c:pt idx="103">
                  <c:v>6.2666666666666665E-4</c:v>
                </c:pt>
                <c:pt idx="104">
                  <c:v>6.1333333333333335E-4</c:v>
                </c:pt>
                <c:pt idx="105">
                  <c:v>5.9999999999999995E-4</c:v>
                </c:pt>
                <c:pt idx="106">
                  <c:v>5.8666666666666665E-4</c:v>
                </c:pt>
                <c:pt idx="107">
                  <c:v>5.7333333333333336E-4</c:v>
                </c:pt>
                <c:pt idx="108">
                  <c:v>5.5999999999999995E-4</c:v>
                </c:pt>
                <c:pt idx="109">
                  <c:v>5.4666666666666665E-4</c:v>
                </c:pt>
                <c:pt idx="110">
                  <c:v>5.3333333333333336E-4</c:v>
                </c:pt>
                <c:pt idx="111">
                  <c:v>5.1999999999999995E-4</c:v>
                </c:pt>
                <c:pt idx="112">
                  <c:v>5.0666666666666666E-4</c:v>
                </c:pt>
                <c:pt idx="113">
                  <c:v>4.9333333333333336E-4</c:v>
                </c:pt>
                <c:pt idx="114">
                  <c:v>4.8000000000000001E-4</c:v>
                </c:pt>
                <c:pt idx="115">
                  <c:v>4.6666666666666666E-4</c:v>
                </c:pt>
                <c:pt idx="116">
                  <c:v>4.5333333333333331E-4</c:v>
                </c:pt>
                <c:pt idx="117">
                  <c:v>4.4000000000000002E-4</c:v>
                </c:pt>
                <c:pt idx="118">
                  <c:v>4.2666666666666667E-4</c:v>
                </c:pt>
                <c:pt idx="119">
                  <c:v>4.1333333333333332E-4</c:v>
                </c:pt>
                <c:pt idx="120">
                  <c:v>4.0000000000000002E-4</c:v>
                </c:pt>
                <c:pt idx="121">
                  <c:v>3.8666666666666667E-4</c:v>
                </c:pt>
                <c:pt idx="122">
                  <c:v>3.7333333333333332E-4</c:v>
                </c:pt>
                <c:pt idx="123">
                  <c:v>3.6000000000000002E-4</c:v>
                </c:pt>
                <c:pt idx="124">
                  <c:v>3.4666666666666667E-4</c:v>
                </c:pt>
                <c:pt idx="125">
                  <c:v>3.3333333333333332E-4</c:v>
                </c:pt>
                <c:pt idx="126">
                  <c:v>3.2000000000000003E-4</c:v>
                </c:pt>
                <c:pt idx="127">
                  <c:v>3.0666666666666668E-4</c:v>
                </c:pt>
                <c:pt idx="128">
                  <c:v>2.9333333333333333E-4</c:v>
                </c:pt>
                <c:pt idx="129">
                  <c:v>2.7999999999999998E-4</c:v>
                </c:pt>
                <c:pt idx="130">
                  <c:v>2.6666666666666668E-4</c:v>
                </c:pt>
                <c:pt idx="131">
                  <c:v>2.5333333333333333E-4</c:v>
                </c:pt>
                <c:pt idx="132">
                  <c:v>2.4000000000000001E-4</c:v>
                </c:pt>
                <c:pt idx="133">
                  <c:v>2.2666666666666666E-4</c:v>
                </c:pt>
                <c:pt idx="134">
                  <c:v>2.1333333333333333E-4</c:v>
                </c:pt>
                <c:pt idx="135">
                  <c:v>2.0000000000000001E-4</c:v>
                </c:pt>
                <c:pt idx="136">
                  <c:v>1.8666666666666666E-4</c:v>
                </c:pt>
                <c:pt idx="137">
                  <c:v>1.7333333333333334E-4</c:v>
                </c:pt>
                <c:pt idx="138">
                  <c:v>1.6000000000000001E-4</c:v>
                </c:pt>
                <c:pt idx="139">
                  <c:v>1.4666666666666666E-4</c:v>
                </c:pt>
                <c:pt idx="140">
                  <c:v>1.3333333333333334E-4</c:v>
                </c:pt>
                <c:pt idx="141">
                  <c:v>1.2E-4</c:v>
                </c:pt>
                <c:pt idx="142">
                  <c:v>1.0666666666666667E-4</c:v>
                </c:pt>
                <c:pt idx="143">
                  <c:v>9.333333333333333E-5</c:v>
                </c:pt>
                <c:pt idx="144">
                  <c:v>8.0000000000000007E-5</c:v>
                </c:pt>
                <c:pt idx="145">
                  <c:v>6.666666666666667E-5</c:v>
                </c:pt>
                <c:pt idx="146">
                  <c:v>5.3333333333333333E-5</c:v>
                </c:pt>
                <c:pt idx="147">
                  <c:v>4.0000000000000003E-5</c:v>
                </c:pt>
                <c:pt idx="148">
                  <c:v>2.6666666666666667E-5</c:v>
                </c:pt>
                <c:pt idx="149">
                  <c:v>1.3333333333333333E-5</c:v>
                </c:pt>
                <c:pt idx="1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5-4F75-9C3A-5DC01CDEA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810588575"/>
        <c:axId val="1810579423"/>
      </c:barChart>
      <c:catAx>
        <c:axId val="181058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10579423"/>
        <c:crosses val="autoZero"/>
        <c:auto val="1"/>
        <c:lblAlgn val="ctr"/>
        <c:lblOffset val="100"/>
        <c:noMultiLvlLbl val="0"/>
      </c:catAx>
      <c:valAx>
        <c:axId val="181057942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105885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Triangular!$C$5</c:f>
              <c:strCache>
                <c:ptCount val="1"/>
                <c:pt idx="0">
                  <c:v>F(x)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numRef>
              <c:f>Triangular!$A$6:$A$156</c:f>
              <c:numCache>
                <c:formatCode>General</c:formatCode>
                <c:ptCount val="151"/>
                <c:pt idx="0">
                  <c:v>500</c:v>
                </c:pt>
                <c:pt idx="1">
                  <c:v>510</c:v>
                </c:pt>
                <c:pt idx="2">
                  <c:v>520</c:v>
                </c:pt>
                <c:pt idx="3">
                  <c:v>530</c:v>
                </c:pt>
                <c:pt idx="4">
                  <c:v>540</c:v>
                </c:pt>
                <c:pt idx="5">
                  <c:v>550</c:v>
                </c:pt>
                <c:pt idx="6">
                  <c:v>560</c:v>
                </c:pt>
                <c:pt idx="7">
                  <c:v>570</c:v>
                </c:pt>
                <c:pt idx="8">
                  <c:v>580</c:v>
                </c:pt>
                <c:pt idx="9">
                  <c:v>590</c:v>
                </c:pt>
                <c:pt idx="10">
                  <c:v>600</c:v>
                </c:pt>
                <c:pt idx="11">
                  <c:v>610</c:v>
                </c:pt>
                <c:pt idx="12">
                  <c:v>620</c:v>
                </c:pt>
                <c:pt idx="13">
                  <c:v>630</c:v>
                </c:pt>
                <c:pt idx="14">
                  <c:v>640</c:v>
                </c:pt>
                <c:pt idx="15">
                  <c:v>650</c:v>
                </c:pt>
                <c:pt idx="16">
                  <c:v>660</c:v>
                </c:pt>
                <c:pt idx="17">
                  <c:v>670</c:v>
                </c:pt>
                <c:pt idx="18">
                  <c:v>680</c:v>
                </c:pt>
                <c:pt idx="19">
                  <c:v>690</c:v>
                </c:pt>
                <c:pt idx="20">
                  <c:v>700</c:v>
                </c:pt>
                <c:pt idx="21">
                  <c:v>710</c:v>
                </c:pt>
                <c:pt idx="22">
                  <c:v>720</c:v>
                </c:pt>
                <c:pt idx="23">
                  <c:v>730</c:v>
                </c:pt>
                <c:pt idx="24">
                  <c:v>740</c:v>
                </c:pt>
                <c:pt idx="25">
                  <c:v>750</c:v>
                </c:pt>
                <c:pt idx="26">
                  <c:v>760</c:v>
                </c:pt>
                <c:pt idx="27">
                  <c:v>770</c:v>
                </c:pt>
                <c:pt idx="28">
                  <c:v>780</c:v>
                </c:pt>
                <c:pt idx="29">
                  <c:v>790</c:v>
                </c:pt>
                <c:pt idx="30">
                  <c:v>800</c:v>
                </c:pt>
                <c:pt idx="31">
                  <c:v>810</c:v>
                </c:pt>
                <c:pt idx="32">
                  <c:v>820</c:v>
                </c:pt>
                <c:pt idx="33">
                  <c:v>830</c:v>
                </c:pt>
                <c:pt idx="34">
                  <c:v>840</c:v>
                </c:pt>
                <c:pt idx="35">
                  <c:v>850</c:v>
                </c:pt>
                <c:pt idx="36">
                  <c:v>860</c:v>
                </c:pt>
                <c:pt idx="37">
                  <c:v>870</c:v>
                </c:pt>
                <c:pt idx="38">
                  <c:v>880</c:v>
                </c:pt>
                <c:pt idx="39">
                  <c:v>890</c:v>
                </c:pt>
                <c:pt idx="40">
                  <c:v>900</c:v>
                </c:pt>
                <c:pt idx="41">
                  <c:v>910</c:v>
                </c:pt>
                <c:pt idx="42">
                  <c:v>920</c:v>
                </c:pt>
                <c:pt idx="43">
                  <c:v>930</c:v>
                </c:pt>
                <c:pt idx="44">
                  <c:v>940</c:v>
                </c:pt>
                <c:pt idx="45">
                  <c:v>950</c:v>
                </c:pt>
                <c:pt idx="46">
                  <c:v>960</c:v>
                </c:pt>
                <c:pt idx="47">
                  <c:v>970</c:v>
                </c:pt>
                <c:pt idx="48">
                  <c:v>980</c:v>
                </c:pt>
                <c:pt idx="49">
                  <c:v>990</c:v>
                </c:pt>
                <c:pt idx="50">
                  <c:v>1000</c:v>
                </c:pt>
                <c:pt idx="51">
                  <c:v>1010</c:v>
                </c:pt>
                <c:pt idx="52">
                  <c:v>1020</c:v>
                </c:pt>
                <c:pt idx="53">
                  <c:v>1030</c:v>
                </c:pt>
                <c:pt idx="54">
                  <c:v>1040</c:v>
                </c:pt>
                <c:pt idx="55">
                  <c:v>1050</c:v>
                </c:pt>
                <c:pt idx="56">
                  <c:v>1060</c:v>
                </c:pt>
                <c:pt idx="57">
                  <c:v>1070</c:v>
                </c:pt>
                <c:pt idx="58">
                  <c:v>1080</c:v>
                </c:pt>
                <c:pt idx="59">
                  <c:v>1090</c:v>
                </c:pt>
                <c:pt idx="60">
                  <c:v>1100</c:v>
                </c:pt>
                <c:pt idx="61">
                  <c:v>1110</c:v>
                </c:pt>
                <c:pt idx="62">
                  <c:v>1120</c:v>
                </c:pt>
                <c:pt idx="63">
                  <c:v>1130</c:v>
                </c:pt>
                <c:pt idx="64">
                  <c:v>1140</c:v>
                </c:pt>
                <c:pt idx="65">
                  <c:v>1150</c:v>
                </c:pt>
                <c:pt idx="66">
                  <c:v>1160</c:v>
                </c:pt>
                <c:pt idx="67">
                  <c:v>1170</c:v>
                </c:pt>
                <c:pt idx="68">
                  <c:v>1180</c:v>
                </c:pt>
                <c:pt idx="69">
                  <c:v>1190</c:v>
                </c:pt>
                <c:pt idx="70">
                  <c:v>1200</c:v>
                </c:pt>
                <c:pt idx="71">
                  <c:v>1210</c:v>
                </c:pt>
                <c:pt idx="72">
                  <c:v>1220</c:v>
                </c:pt>
                <c:pt idx="73">
                  <c:v>1230</c:v>
                </c:pt>
                <c:pt idx="74">
                  <c:v>1240</c:v>
                </c:pt>
                <c:pt idx="75">
                  <c:v>1250</c:v>
                </c:pt>
                <c:pt idx="76">
                  <c:v>1260</c:v>
                </c:pt>
                <c:pt idx="77">
                  <c:v>1270</c:v>
                </c:pt>
                <c:pt idx="78">
                  <c:v>1280</c:v>
                </c:pt>
                <c:pt idx="79">
                  <c:v>1290</c:v>
                </c:pt>
                <c:pt idx="80">
                  <c:v>1300</c:v>
                </c:pt>
                <c:pt idx="81">
                  <c:v>1310</c:v>
                </c:pt>
                <c:pt idx="82">
                  <c:v>1320</c:v>
                </c:pt>
                <c:pt idx="83">
                  <c:v>1330</c:v>
                </c:pt>
                <c:pt idx="84">
                  <c:v>1340</c:v>
                </c:pt>
                <c:pt idx="85">
                  <c:v>1350</c:v>
                </c:pt>
                <c:pt idx="86">
                  <c:v>1360</c:v>
                </c:pt>
                <c:pt idx="87">
                  <c:v>1370</c:v>
                </c:pt>
                <c:pt idx="88">
                  <c:v>1380</c:v>
                </c:pt>
                <c:pt idx="89">
                  <c:v>1390</c:v>
                </c:pt>
                <c:pt idx="90">
                  <c:v>1400</c:v>
                </c:pt>
                <c:pt idx="91">
                  <c:v>1410</c:v>
                </c:pt>
                <c:pt idx="92">
                  <c:v>1420</c:v>
                </c:pt>
                <c:pt idx="93">
                  <c:v>1430</c:v>
                </c:pt>
                <c:pt idx="94">
                  <c:v>1440</c:v>
                </c:pt>
                <c:pt idx="95">
                  <c:v>1450</c:v>
                </c:pt>
                <c:pt idx="96">
                  <c:v>1460</c:v>
                </c:pt>
                <c:pt idx="97">
                  <c:v>1470</c:v>
                </c:pt>
                <c:pt idx="98">
                  <c:v>1480</c:v>
                </c:pt>
                <c:pt idx="99">
                  <c:v>1490</c:v>
                </c:pt>
                <c:pt idx="100">
                  <c:v>1500</c:v>
                </c:pt>
                <c:pt idx="101">
                  <c:v>1510</c:v>
                </c:pt>
                <c:pt idx="102">
                  <c:v>1520</c:v>
                </c:pt>
                <c:pt idx="103">
                  <c:v>1530</c:v>
                </c:pt>
                <c:pt idx="104">
                  <c:v>1540</c:v>
                </c:pt>
                <c:pt idx="105">
                  <c:v>1550</c:v>
                </c:pt>
                <c:pt idx="106">
                  <c:v>1560</c:v>
                </c:pt>
                <c:pt idx="107">
                  <c:v>1570</c:v>
                </c:pt>
                <c:pt idx="108">
                  <c:v>1580</c:v>
                </c:pt>
                <c:pt idx="109">
                  <c:v>1590</c:v>
                </c:pt>
                <c:pt idx="110">
                  <c:v>1600</c:v>
                </c:pt>
                <c:pt idx="111">
                  <c:v>1610</c:v>
                </c:pt>
                <c:pt idx="112">
                  <c:v>1620</c:v>
                </c:pt>
                <c:pt idx="113">
                  <c:v>1630</c:v>
                </c:pt>
                <c:pt idx="114">
                  <c:v>1640</c:v>
                </c:pt>
                <c:pt idx="115">
                  <c:v>1650</c:v>
                </c:pt>
                <c:pt idx="116">
                  <c:v>1660</c:v>
                </c:pt>
                <c:pt idx="117">
                  <c:v>1670</c:v>
                </c:pt>
                <c:pt idx="118">
                  <c:v>1680</c:v>
                </c:pt>
                <c:pt idx="119">
                  <c:v>1690</c:v>
                </c:pt>
                <c:pt idx="120">
                  <c:v>1700</c:v>
                </c:pt>
                <c:pt idx="121">
                  <c:v>1710</c:v>
                </c:pt>
                <c:pt idx="122">
                  <c:v>1720</c:v>
                </c:pt>
                <c:pt idx="123">
                  <c:v>1730</c:v>
                </c:pt>
                <c:pt idx="124">
                  <c:v>1740</c:v>
                </c:pt>
                <c:pt idx="125">
                  <c:v>1750</c:v>
                </c:pt>
                <c:pt idx="126">
                  <c:v>1760</c:v>
                </c:pt>
                <c:pt idx="127">
                  <c:v>1770</c:v>
                </c:pt>
                <c:pt idx="128">
                  <c:v>1780</c:v>
                </c:pt>
                <c:pt idx="129">
                  <c:v>1790</c:v>
                </c:pt>
                <c:pt idx="130">
                  <c:v>1800</c:v>
                </c:pt>
                <c:pt idx="131">
                  <c:v>1810</c:v>
                </c:pt>
                <c:pt idx="132">
                  <c:v>1820</c:v>
                </c:pt>
                <c:pt idx="133">
                  <c:v>1830</c:v>
                </c:pt>
                <c:pt idx="134">
                  <c:v>1840</c:v>
                </c:pt>
                <c:pt idx="135">
                  <c:v>1850</c:v>
                </c:pt>
                <c:pt idx="136">
                  <c:v>1860</c:v>
                </c:pt>
                <c:pt idx="137">
                  <c:v>1870</c:v>
                </c:pt>
                <c:pt idx="138">
                  <c:v>1880</c:v>
                </c:pt>
                <c:pt idx="139">
                  <c:v>1890</c:v>
                </c:pt>
                <c:pt idx="140">
                  <c:v>1900</c:v>
                </c:pt>
                <c:pt idx="141">
                  <c:v>1910</c:v>
                </c:pt>
                <c:pt idx="142">
                  <c:v>1920</c:v>
                </c:pt>
                <c:pt idx="143">
                  <c:v>1930</c:v>
                </c:pt>
                <c:pt idx="144">
                  <c:v>1940</c:v>
                </c:pt>
                <c:pt idx="145">
                  <c:v>1950</c:v>
                </c:pt>
                <c:pt idx="146">
                  <c:v>1960</c:v>
                </c:pt>
                <c:pt idx="147">
                  <c:v>1970</c:v>
                </c:pt>
                <c:pt idx="148">
                  <c:v>1980</c:v>
                </c:pt>
                <c:pt idx="149">
                  <c:v>1990</c:v>
                </c:pt>
                <c:pt idx="150">
                  <c:v>2000</c:v>
                </c:pt>
              </c:numCache>
            </c:numRef>
          </c:cat>
          <c:val>
            <c:numRef>
              <c:f>Triangular!$C$6:$C$156</c:f>
              <c:numCache>
                <c:formatCode>0%</c:formatCode>
                <c:ptCount val="151"/>
                <c:pt idx="0">
                  <c:v>0</c:v>
                </c:pt>
                <c:pt idx="1">
                  <c:v>1.3333333333333334E-4</c:v>
                </c:pt>
                <c:pt idx="2">
                  <c:v>5.3333333333333336E-4</c:v>
                </c:pt>
                <c:pt idx="3">
                  <c:v>1.1999999999999999E-3</c:v>
                </c:pt>
                <c:pt idx="4">
                  <c:v>2.1333333333333334E-3</c:v>
                </c:pt>
                <c:pt idx="5">
                  <c:v>3.3333333333333335E-3</c:v>
                </c:pt>
                <c:pt idx="6">
                  <c:v>4.7999999999999996E-3</c:v>
                </c:pt>
                <c:pt idx="7">
                  <c:v>6.5333333333333337E-3</c:v>
                </c:pt>
                <c:pt idx="8">
                  <c:v>8.5333333333333337E-3</c:v>
                </c:pt>
                <c:pt idx="9">
                  <c:v>1.0800000000000001E-2</c:v>
                </c:pt>
                <c:pt idx="10">
                  <c:v>1.3333333333333334E-2</c:v>
                </c:pt>
                <c:pt idx="11">
                  <c:v>1.6133333333333333E-2</c:v>
                </c:pt>
                <c:pt idx="12">
                  <c:v>1.9199999999999998E-2</c:v>
                </c:pt>
                <c:pt idx="13">
                  <c:v>2.2533333333333332E-2</c:v>
                </c:pt>
                <c:pt idx="14">
                  <c:v>2.6133333333333335E-2</c:v>
                </c:pt>
                <c:pt idx="15">
                  <c:v>0.03</c:v>
                </c:pt>
                <c:pt idx="16">
                  <c:v>3.4133333333333335E-2</c:v>
                </c:pt>
                <c:pt idx="17">
                  <c:v>3.8533333333333336E-2</c:v>
                </c:pt>
                <c:pt idx="18">
                  <c:v>4.3200000000000002E-2</c:v>
                </c:pt>
                <c:pt idx="19">
                  <c:v>4.8133333333333334E-2</c:v>
                </c:pt>
                <c:pt idx="20">
                  <c:v>5.3333333333333337E-2</c:v>
                </c:pt>
                <c:pt idx="21">
                  <c:v>5.8799999999999998E-2</c:v>
                </c:pt>
                <c:pt idx="22">
                  <c:v>6.4533333333333331E-2</c:v>
                </c:pt>
                <c:pt idx="23">
                  <c:v>7.0533333333333337E-2</c:v>
                </c:pt>
                <c:pt idx="24">
                  <c:v>7.6799999999999993E-2</c:v>
                </c:pt>
                <c:pt idx="25">
                  <c:v>8.3333333333333329E-2</c:v>
                </c:pt>
                <c:pt idx="26">
                  <c:v>9.0133333333333329E-2</c:v>
                </c:pt>
                <c:pt idx="27">
                  <c:v>9.7199999999999995E-2</c:v>
                </c:pt>
                <c:pt idx="28">
                  <c:v>0.10453333333333334</c:v>
                </c:pt>
                <c:pt idx="29">
                  <c:v>0.11213333333333333</c:v>
                </c:pt>
                <c:pt idx="30">
                  <c:v>0.12</c:v>
                </c:pt>
                <c:pt idx="31">
                  <c:v>0.12813333333333332</c:v>
                </c:pt>
                <c:pt idx="32">
                  <c:v>0.13653333333333334</c:v>
                </c:pt>
                <c:pt idx="33">
                  <c:v>0.1452</c:v>
                </c:pt>
                <c:pt idx="34">
                  <c:v>0.15413333333333334</c:v>
                </c:pt>
                <c:pt idx="35">
                  <c:v>0.16333333333333333</c:v>
                </c:pt>
                <c:pt idx="36">
                  <c:v>0.17280000000000001</c:v>
                </c:pt>
                <c:pt idx="37">
                  <c:v>0.18253333333333333</c:v>
                </c:pt>
                <c:pt idx="38">
                  <c:v>0.19253333333333333</c:v>
                </c:pt>
                <c:pt idx="39">
                  <c:v>0.20280000000000001</c:v>
                </c:pt>
                <c:pt idx="40">
                  <c:v>0.21333333333333335</c:v>
                </c:pt>
                <c:pt idx="41">
                  <c:v>0.22413333333333332</c:v>
                </c:pt>
                <c:pt idx="42">
                  <c:v>0.23519999999999999</c:v>
                </c:pt>
                <c:pt idx="43">
                  <c:v>0.24653333333333333</c:v>
                </c:pt>
                <c:pt idx="44">
                  <c:v>0.25813333333333333</c:v>
                </c:pt>
                <c:pt idx="45">
                  <c:v>0.27</c:v>
                </c:pt>
                <c:pt idx="46">
                  <c:v>0.28213333333333335</c:v>
                </c:pt>
                <c:pt idx="47">
                  <c:v>0.29453333333333331</c:v>
                </c:pt>
                <c:pt idx="48">
                  <c:v>0.30719999999999997</c:v>
                </c:pt>
                <c:pt idx="49">
                  <c:v>0.32013333333333333</c:v>
                </c:pt>
                <c:pt idx="50">
                  <c:v>0.33333333333333331</c:v>
                </c:pt>
                <c:pt idx="51">
                  <c:v>0.34660000000000002</c:v>
                </c:pt>
                <c:pt idx="52">
                  <c:v>0.35973333333333335</c:v>
                </c:pt>
                <c:pt idx="53">
                  <c:v>0.37273333333333336</c:v>
                </c:pt>
                <c:pt idx="54">
                  <c:v>0.38560000000000005</c:v>
                </c:pt>
                <c:pt idx="55">
                  <c:v>0.39833333333333332</c:v>
                </c:pt>
                <c:pt idx="56">
                  <c:v>0.41093333333333337</c:v>
                </c:pt>
                <c:pt idx="57">
                  <c:v>0.4234</c:v>
                </c:pt>
                <c:pt idx="58">
                  <c:v>0.43573333333333331</c:v>
                </c:pt>
                <c:pt idx="59">
                  <c:v>0.44793333333333329</c:v>
                </c:pt>
                <c:pt idx="60">
                  <c:v>0.45999999999999996</c:v>
                </c:pt>
                <c:pt idx="61">
                  <c:v>0.47193333333333332</c:v>
                </c:pt>
                <c:pt idx="62">
                  <c:v>0.48373333333333335</c:v>
                </c:pt>
                <c:pt idx="63">
                  <c:v>0.49539999999999995</c:v>
                </c:pt>
                <c:pt idx="64">
                  <c:v>0.50693333333333335</c:v>
                </c:pt>
                <c:pt idx="65">
                  <c:v>0.51833333333333331</c:v>
                </c:pt>
                <c:pt idx="66">
                  <c:v>0.52960000000000007</c:v>
                </c:pt>
                <c:pt idx="67">
                  <c:v>0.54073333333333329</c:v>
                </c:pt>
                <c:pt idx="68">
                  <c:v>0.55173333333333341</c:v>
                </c:pt>
                <c:pt idx="69">
                  <c:v>0.56259999999999999</c:v>
                </c:pt>
                <c:pt idx="70">
                  <c:v>0.57333333333333325</c:v>
                </c:pt>
                <c:pt idx="71">
                  <c:v>0.58393333333333342</c:v>
                </c:pt>
                <c:pt idx="72">
                  <c:v>0.59440000000000004</c:v>
                </c:pt>
                <c:pt idx="73">
                  <c:v>0.60473333333333334</c:v>
                </c:pt>
                <c:pt idx="74">
                  <c:v>0.61493333333333333</c:v>
                </c:pt>
                <c:pt idx="75">
                  <c:v>0.625</c:v>
                </c:pt>
                <c:pt idx="76">
                  <c:v>0.63493333333333335</c:v>
                </c:pt>
                <c:pt idx="77">
                  <c:v>0.64473333333333338</c:v>
                </c:pt>
                <c:pt idx="78">
                  <c:v>0.65439999999999998</c:v>
                </c:pt>
                <c:pt idx="79">
                  <c:v>0.66393333333333326</c:v>
                </c:pt>
                <c:pt idx="80">
                  <c:v>0.67333333333333334</c:v>
                </c:pt>
                <c:pt idx="81">
                  <c:v>0.68259999999999998</c:v>
                </c:pt>
                <c:pt idx="82">
                  <c:v>0.69173333333333331</c:v>
                </c:pt>
                <c:pt idx="83">
                  <c:v>0.70073333333333332</c:v>
                </c:pt>
                <c:pt idx="84">
                  <c:v>0.70960000000000001</c:v>
                </c:pt>
                <c:pt idx="85">
                  <c:v>0.71833333333333327</c:v>
                </c:pt>
                <c:pt idx="86">
                  <c:v>0.72693333333333332</c:v>
                </c:pt>
                <c:pt idx="87">
                  <c:v>0.73540000000000005</c:v>
                </c:pt>
                <c:pt idx="88">
                  <c:v>0.74373333333333336</c:v>
                </c:pt>
                <c:pt idx="89">
                  <c:v>0.75193333333333334</c:v>
                </c:pt>
                <c:pt idx="90">
                  <c:v>0.76</c:v>
                </c:pt>
                <c:pt idx="91">
                  <c:v>0.76793333333333336</c:v>
                </c:pt>
                <c:pt idx="92">
                  <c:v>0.77573333333333339</c:v>
                </c:pt>
                <c:pt idx="93">
                  <c:v>0.78339999999999999</c:v>
                </c:pt>
                <c:pt idx="94">
                  <c:v>0.79093333333333327</c:v>
                </c:pt>
                <c:pt idx="95">
                  <c:v>0.79833333333333334</c:v>
                </c:pt>
                <c:pt idx="96">
                  <c:v>0.80559999999999998</c:v>
                </c:pt>
                <c:pt idx="97">
                  <c:v>0.81273333333333331</c:v>
                </c:pt>
                <c:pt idx="98">
                  <c:v>0.81973333333333331</c:v>
                </c:pt>
                <c:pt idx="99">
                  <c:v>0.8266</c:v>
                </c:pt>
                <c:pt idx="100">
                  <c:v>0.83333333333333337</c:v>
                </c:pt>
                <c:pt idx="101">
                  <c:v>0.83993333333333331</c:v>
                </c:pt>
                <c:pt idx="102">
                  <c:v>0.84640000000000004</c:v>
                </c:pt>
                <c:pt idx="103">
                  <c:v>0.85273333333333334</c:v>
                </c:pt>
                <c:pt idx="104">
                  <c:v>0.85893333333333333</c:v>
                </c:pt>
                <c:pt idx="105">
                  <c:v>0.86499999999999999</c:v>
                </c:pt>
                <c:pt idx="106">
                  <c:v>0.87093333333333334</c:v>
                </c:pt>
                <c:pt idx="107">
                  <c:v>0.87673333333333336</c:v>
                </c:pt>
                <c:pt idx="108">
                  <c:v>0.88239999999999996</c:v>
                </c:pt>
                <c:pt idx="109">
                  <c:v>0.88793333333333335</c:v>
                </c:pt>
                <c:pt idx="110">
                  <c:v>0.89333333333333331</c:v>
                </c:pt>
                <c:pt idx="111">
                  <c:v>0.89859999999999995</c:v>
                </c:pt>
                <c:pt idx="112">
                  <c:v>0.90373333333333328</c:v>
                </c:pt>
                <c:pt idx="113">
                  <c:v>0.90873333333333339</c:v>
                </c:pt>
                <c:pt idx="114">
                  <c:v>0.91359999999999997</c:v>
                </c:pt>
                <c:pt idx="115">
                  <c:v>0.91833333333333333</c:v>
                </c:pt>
                <c:pt idx="116">
                  <c:v>0.92293333333333338</c:v>
                </c:pt>
                <c:pt idx="117">
                  <c:v>0.9274</c:v>
                </c:pt>
                <c:pt idx="118">
                  <c:v>0.9317333333333333</c:v>
                </c:pt>
                <c:pt idx="119">
                  <c:v>0.93593333333333328</c:v>
                </c:pt>
                <c:pt idx="120">
                  <c:v>0.94</c:v>
                </c:pt>
                <c:pt idx="121">
                  <c:v>0.94393333333333329</c:v>
                </c:pt>
                <c:pt idx="122">
                  <c:v>0.94773333333333332</c:v>
                </c:pt>
                <c:pt idx="123">
                  <c:v>0.95140000000000002</c:v>
                </c:pt>
                <c:pt idx="124">
                  <c:v>0.9549333333333333</c:v>
                </c:pt>
                <c:pt idx="125">
                  <c:v>0.95833333333333337</c:v>
                </c:pt>
                <c:pt idx="126">
                  <c:v>0.96160000000000001</c:v>
                </c:pt>
                <c:pt idx="127">
                  <c:v>0.96473333333333333</c:v>
                </c:pt>
                <c:pt idx="128">
                  <c:v>0.96773333333333333</c:v>
                </c:pt>
                <c:pt idx="129">
                  <c:v>0.97060000000000002</c:v>
                </c:pt>
                <c:pt idx="130">
                  <c:v>0.97333333333333338</c:v>
                </c:pt>
                <c:pt idx="131">
                  <c:v>0.97593333333333332</c:v>
                </c:pt>
                <c:pt idx="132">
                  <c:v>0.97840000000000005</c:v>
                </c:pt>
                <c:pt idx="133">
                  <c:v>0.98073333333333335</c:v>
                </c:pt>
                <c:pt idx="134">
                  <c:v>0.98293333333333333</c:v>
                </c:pt>
                <c:pt idx="135">
                  <c:v>0.98499999999999999</c:v>
                </c:pt>
                <c:pt idx="136">
                  <c:v>0.98693333333333333</c:v>
                </c:pt>
                <c:pt idx="137">
                  <c:v>0.98873333333333335</c:v>
                </c:pt>
                <c:pt idx="138">
                  <c:v>0.99039999999999995</c:v>
                </c:pt>
                <c:pt idx="139">
                  <c:v>0.99193333333333333</c:v>
                </c:pt>
                <c:pt idx="140">
                  <c:v>0.99333333333333329</c:v>
                </c:pt>
                <c:pt idx="141">
                  <c:v>0.99460000000000004</c:v>
                </c:pt>
                <c:pt idx="142">
                  <c:v>0.99573333333333336</c:v>
                </c:pt>
                <c:pt idx="143">
                  <c:v>0.99673333333333336</c:v>
                </c:pt>
                <c:pt idx="144">
                  <c:v>0.99760000000000004</c:v>
                </c:pt>
                <c:pt idx="145">
                  <c:v>0.99833333333333329</c:v>
                </c:pt>
                <c:pt idx="146">
                  <c:v>0.99893333333333334</c:v>
                </c:pt>
                <c:pt idx="147">
                  <c:v>0.99939999999999996</c:v>
                </c:pt>
                <c:pt idx="148">
                  <c:v>0.99973333333333336</c:v>
                </c:pt>
                <c:pt idx="149">
                  <c:v>0.99993333333333334</c:v>
                </c:pt>
                <c:pt idx="1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E-4045-9177-10FCB4CF7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588575"/>
        <c:axId val="1810579423"/>
      </c:lineChart>
      <c:catAx>
        <c:axId val="181058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10579423"/>
        <c:crosses val="autoZero"/>
        <c:auto val="1"/>
        <c:lblAlgn val="ctr"/>
        <c:lblOffset val="100"/>
        <c:noMultiLvlLbl val="0"/>
      </c:catAx>
      <c:valAx>
        <c:axId val="1810579423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105885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Triangular!$B$5</c:f>
              <c:strCache>
                <c:ptCount val="1"/>
                <c:pt idx="0">
                  <c:v>(500, 1000, 2000)</c:v>
                </c:pt>
              </c:strCache>
            </c:strRef>
          </c:tx>
          <c:spPr>
            <a:ln w="22225" cap="flat" cmpd="sng" algn="ctr">
              <a:solidFill>
                <a:schemeClr val="accent3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numRef>
              <c:f>Triangular!$A$6:$A$156</c:f>
              <c:numCache>
                <c:formatCode>General</c:formatCode>
                <c:ptCount val="151"/>
                <c:pt idx="0">
                  <c:v>500</c:v>
                </c:pt>
                <c:pt idx="1">
                  <c:v>510</c:v>
                </c:pt>
                <c:pt idx="2">
                  <c:v>520</c:v>
                </c:pt>
                <c:pt idx="3">
                  <c:v>530</c:v>
                </c:pt>
                <c:pt idx="4">
                  <c:v>540</c:v>
                </c:pt>
                <c:pt idx="5">
                  <c:v>550</c:v>
                </c:pt>
                <c:pt idx="6">
                  <c:v>560</c:v>
                </c:pt>
                <c:pt idx="7">
                  <c:v>570</c:v>
                </c:pt>
                <c:pt idx="8">
                  <c:v>580</c:v>
                </c:pt>
                <c:pt idx="9">
                  <c:v>590</c:v>
                </c:pt>
                <c:pt idx="10">
                  <c:v>600</c:v>
                </c:pt>
                <c:pt idx="11">
                  <c:v>610</c:v>
                </c:pt>
                <c:pt idx="12">
                  <c:v>620</c:v>
                </c:pt>
                <c:pt idx="13">
                  <c:v>630</c:v>
                </c:pt>
                <c:pt idx="14">
                  <c:v>640</c:v>
                </c:pt>
                <c:pt idx="15">
                  <c:v>650</c:v>
                </c:pt>
                <c:pt idx="16">
                  <c:v>660</c:v>
                </c:pt>
                <c:pt idx="17">
                  <c:v>670</c:v>
                </c:pt>
                <c:pt idx="18">
                  <c:v>680</c:v>
                </c:pt>
                <c:pt idx="19">
                  <c:v>690</c:v>
                </c:pt>
                <c:pt idx="20">
                  <c:v>700</c:v>
                </c:pt>
                <c:pt idx="21">
                  <c:v>710</c:v>
                </c:pt>
                <c:pt idx="22">
                  <c:v>720</c:v>
                </c:pt>
                <c:pt idx="23">
                  <c:v>730</c:v>
                </c:pt>
                <c:pt idx="24">
                  <c:v>740</c:v>
                </c:pt>
                <c:pt idx="25">
                  <c:v>750</c:v>
                </c:pt>
                <c:pt idx="26">
                  <c:v>760</c:v>
                </c:pt>
                <c:pt idx="27">
                  <c:v>770</c:v>
                </c:pt>
                <c:pt idx="28">
                  <c:v>780</c:v>
                </c:pt>
                <c:pt idx="29">
                  <c:v>790</c:v>
                </c:pt>
                <c:pt idx="30">
                  <c:v>800</c:v>
                </c:pt>
                <c:pt idx="31">
                  <c:v>810</c:v>
                </c:pt>
                <c:pt idx="32">
                  <c:v>820</c:v>
                </c:pt>
                <c:pt idx="33">
                  <c:v>830</c:v>
                </c:pt>
                <c:pt idx="34">
                  <c:v>840</c:v>
                </c:pt>
                <c:pt idx="35">
                  <c:v>850</c:v>
                </c:pt>
                <c:pt idx="36">
                  <c:v>860</c:v>
                </c:pt>
                <c:pt idx="37">
                  <c:v>870</c:v>
                </c:pt>
                <c:pt idx="38">
                  <c:v>880</c:v>
                </c:pt>
                <c:pt idx="39">
                  <c:v>890</c:v>
                </c:pt>
                <c:pt idx="40">
                  <c:v>900</c:v>
                </c:pt>
                <c:pt idx="41">
                  <c:v>910</c:v>
                </c:pt>
                <c:pt idx="42">
                  <c:v>920</c:v>
                </c:pt>
                <c:pt idx="43">
                  <c:v>930</c:v>
                </c:pt>
                <c:pt idx="44">
                  <c:v>940</c:v>
                </c:pt>
                <c:pt idx="45">
                  <c:v>950</c:v>
                </c:pt>
                <c:pt idx="46">
                  <c:v>960</c:v>
                </c:pt>
                <c:pt idx="47">
                  <c:v>970</c:v>
                </c:pt>
                <c:pt idx="48">
                  <c:v>980</c:v>
                </c:pt>
                <c:pt idx="49">
                  <c:v>990</c:v>
                </c:pt>
                <c:pt idx="50">
                  <c:v>1000</c:v>
                </c:pt>
                <c:pt idx="51">
                  <c:v>1010</c:v>
                </c:pt>
                <c:pt idx="52">
                  <c:v>1020</c:v>
                </c:pt>
                <c:pt idx="53">
                  <c:v>1030</c:v>
                </c:pt>
                <c:pt idx="54">
                  <c:v>1040</c:v>
                </c:pt>
                <c:pt idx="55">
                  <c:v>1050</c:v>
                </c:pt>
                <c:pt idx="56">
                  <c:v>1060</c:v>
                </c:pt>
                <c:pt idx="57">
                  <c:v>1070</c:v>
                </c:pt>
                <c:pt idx="58">
                  <c:v>1080</c:v>
                </c:pt>
                <c:pt idx="59">
                  <c:v>1090</c:v>
                </c:pt>
                <c:pt idx="60">
                  <c:v>1100</c:v>
                </c:pt>
                <c:pt idx="61">
                  <c:v>1110</c:v>
                </c:pt>
                <c:pt idx="62">
                  <c:v>1120</c:v>
                </c:pt>
                <c:pt idx="63">
                  <c:v>1130</c:v>
                </c:pt>
                <c:pt idx="64">
                  <c:v>1140</c:v>
                </c:pt>
                <c:pt idx="65">
                  <c:v>1150</c:v>
                </c:pt>
                <c:pt idx="66">
                  <c:v>1160</c:v>
                </c:pt>
                <c:pt idx="67">
                  <c:v>1170</c:v>
                </c:pt>
                <c:pt idx="68">
                  <c:v>1180</c:v>
                </c:pt>
                <c:pt idx="69">
                  <c:v>1190</c:v>
                </c:pt>
                <c:pt idx="70">
                  <c:v>1200</c:v>
                </c:pt>
                <c:pt idx="71">
                  <c:v>1210</c:v>
                </c:pt>
                <c:pt idx="72">
                  <c:v>1220</c:v>
                </c:pt>
                <c:pt idx="73">
                  <c:v>1230</c:v>
                </c:pt>
                <c:pt idx="74">
                  <c:v>1240</c:v>
                </c:pt>
                <c:pt idx="75">
                  <c:v>1250</c:v>
                </c:pt>
                <c:pt idx="76">
                  <c:v>1260</c:v>
                </c:pt>
                <c:pt idx="77">
                  <c:v>1270</c:v>
                </c:pt>
                <c:pt idx="78">
                  <c:v>1280</c:v>
                </c:pt>
                <c:pt idx="79">
                  <c:v>1290</c:v>
                </c:pt>
                <c:pt idx="80">
                  <c:v>1300</c:v>
                </c:pt>
                <c:pt idx="81">
                  <c:v>1310</c:v>
                </c:pt>
                <c:pt idx="82">
                  <c:v>1320</c:v>
                </c:pt>
                <c:pt idx="83">
                  <c:v>1330</c:v>
                </c:pt>
                <c:pt idx="84">
                  <c:v>1340</c:v>
                </c:pt>
                <c:pt idx="85">
                  <c:v>1350</c:v>
                </c:pt>
                <c:pt idx="86">
                  <c:v>1360</c:v>
                </c:pt>
                <c:pt idx="87">
                  <c:v>1370</c:v>
                </c:pt>
                <c:pt idx="88">
                  <c:v>1380</c:v>
                </c:pt>
                <c:pt idx="89">
                  <c:v>1390</c:v>
                </c:pt>
                <c:pt idx="90">
                  <c:v>1400</c:v>
                </c:pt>
                <c:pt idx="91">
                  <c:v>1410</c:v>
                </c:pt>
                <c:pt idx="92">
                  <c:v>1420</c:v>
                </c:pt>
                <c:pt idx="93">
                  <c:v>1430</c:v>
                </c:pt>
                <c:pt idx="94">
                  <c:v>1440</c:v>
                </c:pt>
                <c:pt idx="95">
                  <c:v>1450</c:v>
                </c:pt>
                <c:pt idx="96">
                  <c:v>1460</c:v>
                </c:pt>
                <c:pt idx="97">
                  <c:v>1470</c:v>
                </c:pt>
                <c:pt idx="98">
                  <c:v>1480</c:v>
                </c:pt>
                <c:pt idx="99">
                  <c:v>1490</c:v>
                </c:pt>
                <c:pt idx="100">
                  <c:v>1500</c:v>
                </c:pt>
                <c:pt idx="101">
                  <c:v>1510</c:v>
                </c:pt>
                <c:pt idx="102">
                  <c:v>1520</c:v>
                </c:pt>
                <c:pt idx="103">
                  <c:v>1530</c:v>
                </c:pt>
                <c:pt idx="104">
                  <c:v>1540</c:v>
                </c:pt>
                <c:pt idx="105">
                  <c:v>1550</c:v>
                </c:pt>
                <c:pt idx="106">
                  <c:v>1560</c:v>
                </c:pt>
                <c:pt idx="107">
                  <c:v>1570</c:v>
                </c:pt>
                <c:pt idx="108">
                  <c:v>1580</c:v>
                </c:pt>
                <c:pt idx="109">
                  <c:v>1590</c:v>
                </c:pt>
                <c:pt idx="110">
                  <c:v>1600</c:v>
                </c:pt>
                <c:pt idx="111">
                  <c:v>1610</c:v>
                </c:pt>
                <c:pt idx="112">
                  <c:v>1620</c:v>
                </c:pt>
                <c:pt idx="113">
                  <c:v>1630</c:v>
                </c:pt>
                <c:pt idx="114">
                  <c:v>1640</c:v>
                </c:pt>
                <c:pt idx="115">
                  <c:v>1650</c:v>
                </c:pt>
                <c:pt idx="116">
                  <c:v>1660</c:v>
                </c:pt>
                <c:pt idx="117">
                  <c:v>1670</c:v>
                </c:pt>
                <c:pt idx="118">
                  <c:v>1680</c:v>
                </c:pt>
                <c:pt idx="119">
                  <c:v>1690</c:v>
                </c:pt>
                <c:pt idx="120">
                  <c:v>1700</c:v>
                </c:pt>
                <c:pt idx="121">
                  <c:v>1710</c:v>
                </c:pt>
                <c:pt idx="122">
                  <c:v>1720</c:v>
                </c:pt>
                <c:pt idx="123">
                  <c:v>1730</c:v>
                </c:pt>
                <c:pt idx="124">
                  <c:v>1740</c:v>
                </c:pt>
                <c:pt idx="125">
                  <c:v>1750</c:v>
                </c:pt>
                <c:pt idx="126">
                  <c:v>1760</c:v>
                </c:pt>
                <c:pt idx="127">
                  <c:v>1770</c:v>
                </c:pt>
                <c:pt idx="128">
                  <c:v>1780</c:v>
                </c:pt>
                <c:pt idx="129">
                  <c:v>1790</c:v>
                </c:pt>
                <c:pt idx="130">
                  <c:v>1800</c:v>
                </c:pt>
                <c:pt idx="131">
                  <c:v>1810</c:v>
                </c:pt>
                <c:pt idx="132">
                  <c:v>1820</c:v>
                </c:pt>
                <c:pt idx="133">
                  <c:v>1830</c:v>
                </c:pt>
                <c:pt idx="134">
                  <c:v>1840</c:v>
                </c:pt>
                <c:pt idx="135">
                  <c:v>1850</c:v>
                </c:pt>
                <c:pt idx="136">
                  <c:v>1860</c:v>
                </c:pt>
                <c:pt idx="137">
                  <c:v>1870</c:v>
                </c:pt>
                <c:pt idx="138">
                  <c:v>1880</c:v>
                </c:pt>
                <c:pt idx="139">
                  <c:v>1890</c:v>
                </c:pt>
                <c:pt idx="140">
                  <c:v>1900</c:v>
                </c:pt>
                <c:pt idx="141">
                  <c:v>1910</c:v>
                </c:pt>
                <c:pt idx="142">
                  <c:v>1920</c:v>
                </c:pt>
                <c:pt idx="143">
                  <c:v>1930</c:v>
                </c:pt>
                <c:pt idx="144">
                  <c:v>1940</c:v>
                </c:pt>
                <c:pt idx="145">
                  <c:v>1950</c:v>
                </c:pt>
                <c:pt idx="146">
                  <c:v>1960</c:v>
                </c:pt>
                <c:pt idx="147">
                  <c:v>1970</c:v>
                </c:pt>
                <c:pt idx="148">
                  <c:v>1980</c:v>
                </c:pt>
                <c:pt idx="149">
                  <c:v>1990</c:v>
                </c:pt>
                <c:pt idx="150">
                  <c:v>2000</c:v>
                </c:pt>
              </c:numCache>
            </c:numRef>
          </c:cat>
          <c:val>
            <c:numRef>
              <c:f>Triangular!$B$6:$B$156</c:f>
              <c:numCache>
                <c:formatCode>0.00%</c:formatCode>
                <c:ptCount val="151"/>
                <c:pt idx="0">
                  <c:v>0</c:v>
                </c:pt>
                <c:pt idx="1">
                  <c:v>2.6666666666666667E-5</c:v>
                </c:pt>
                <c:pt idx="2">
                  <c:v>5.3333333333333333E-5</c:v>
                </c:pt>
                <c:pt idx="3">
                  <c:v>8.0000000000000007E-5</c:v>
                </c:pt>
                <c:pt idx="4">
                  <c:v>1.0666666666666667E-4</c:v>
                </c:pt>
                <c:pt idx="5">
                  <c:v>1.3333333333333334E-4</c:v>
                </c:pt>
                <c:pt idx="6">
                  <c:v>1.6000000000000001E-4</c:v>
                </c:pt>
                <c:pt idx="7">
                  <c:v>1.8666666666666666E-4</c:v>
                </c:pt>
                <c:pt idx="8">
                  <c:v>2.1333333333333333E-4</c:v>
                </c:pt>
                <c:pt idx="9">
                  <c:v>2.4000000000000001E-4</c:v>
                </c:pt>
                <c:pt idx="10">
                  <c:v>2.6666666666666668E-4</c:v>
                </c:pt>
                <c:pt idx="11">
                  <c:v>2.9333333333333333E-4</c:v>
                </c:pt>
                <c:pt idx="12">
                  <c:v>3.2000000000000003E-4</c:v>
                </c:pt>
                <c:pt idx="13">
                  <c:v>3.4666666666666667E-4</c:v>
                </c:pt>
                <c:pt idx="14">
                  <c:v>3.7333333333333332E-4</c:v>
                </c:pt>
                <c:pt idx="15">
                  <c:v>4.0000000000000002E-4</c:v>
                </c:pt>
                <c:pt idx="16">
                  <c:v>4.2666666666666667E-4</c:v>
                </c:pt>
                <c:pt idx="17">
                  <c:v>4.5333333333333331E-4</c:v>
                </c:pt>
                <c:pt idx="18">
                  <c:v>4.8000000000000001E-4</c:v>
                </c:pt>
                <c:pt idx="19">
                  <c:v>5.0666666666666666E-4</c:v>
                </c:pt>
                <c:pt idx="20">
                  <c:v>5.3333333333333336E-4</c:v>
                </c:pt>
                <c:pt idx="21">
                  <c:v>5.5999999999999995E-4</c:v>
                </c:pt>
                <c:pt idx="22">
                  <c:v>5.8666666666666665E-4</c:v>
                </c:pt>
                <c:pt idx="23">
                  <c:v>6.1333333333333335E-4</c:v>
                </c:pt>
                <c:pt idx="24">
                  <c:v>6.4000000000000005E-4</c:v>
                </c:pt>
                <c:pt idx="25">
                  <c:v>6.6666666666666664E-4</c:v>
                </c:pt>
                <c:pt idx="26">
                  <c:v>6.9333333333333334E-4</c:v>
                </c:pt>
                <c:pt idx="27">
                  <c:v>7.2000000000000005E-4</c:v>
                </c:pt>
                <c:pt idx="28">
                  <c:v>7.4666666666666664E-4</c:v>
                </c:pt>
                <c:pt idx="29">
                  <c:v>7.7333333333333334E-4</c:v>
                </c:pt>
                <c:pt idx="30">
                  <c:v>8.0000000000000004E-4</c:v>
                </c:pt>
                <c:pt idx="31">
                  <c:v>8.2666666666666663E-4</c:v>
                </c:pt>
                <c:pt idx="32">
                  <c:v>8.5333333333333333E-4</c:v>
                </c:pt>
                <c:pt idx="33">
                  <c:v>8.8000000000000003E-4</c:v>
                </c:pt>
                <c:pt idx="34">
                  <c:v>9.0666666666666662E-4</c:v>
                </c:pt>
                <c:pt idx="35">
                  <c:v>9.3333333333333332E-4</c:v>
                </c:pt>
                <c:pt idx="36">
                  <c:v>9.6000000000000002E-4</c:v>
                </c:pt>
                <c:pt idx="37">
                  <c:v>9.8666666666666672E-4</c:v>
                </c:pt>
                <c:pt idx="38">
                  <c:v>1.0133333333333333E-3</c:v>
                </c:pt>
                <c:pt idx="39">
                  <c:v>1.0399999999999999E-3</c:v>
                </c:pt>
                <c:pt idx="40">
                  <c:v>1.0666666666666667E-3</c:v>
                </c:pt>
                <c:pt idx="41">
                  <c:v>1.0933333333333333E-3</c:v>
                </c:pt>
                <c:pt idx="42">
                  <c:v>1.1199999999999999E-3</c:v>
                </c:pt>
                <c:pt idx="43">
                  <c:v>1.1466666666666667E-3</c:v>
                </c:pt>
                <c:pt idx="44">
                  <c:v>1.1733333333333333E-3</c:v>
                </c:pt>
                <c:pt idx="45">
                  <c:v>1.1999999999999999E-3</c:v>
                </c:pt>
                <c:pt idx="46">
                  <c:v>1.2266666666666667E-3</c:v>
                </c:pt>
                <c:pt idx="47">
                  <c:v>1.2533333333333333E-3</c:v>
                </c:pt>
                <c:pt idx="48">
                  <c:v>1.2800000000000001E-3</c:v>
                </c:pt>
                <c:pt idx="49">
                  <c:v>1.3066666666666667E-3</c:v>
                </c:pt>
                <c:pt idx="50">
                  <c:v>1.3333333333333333E-3</c:v>
                </c:pt>
                <c:pt idx="51">
                  <c:v>1.32E-3</c:v>
                </c:pt>
                <c:pt idx="52">
                  <c:v>1.3066666666666667E-3</c:v>
                </c:pt>
                <c:pt idx="53">
                  <c:v>1.2933333333333334E-3</c:v>
                </c:pt>
                <c:pt idx="54">
                  <c:v>1.2800000000000001E-3</c:v>
                </c:pt>
                <c:pt idx="55">
                  <c:v>1.2666666666666666E-3</c:v>
                </c:pt>
                <c:pt idx="56">
                  <c:v>1.2533333333333333E-3</c:v>
                </c:pt>
                <c:pt idx="57">
                  <c:v>1.24E-3</c:v>
                </c:pt>
                <c:pt idx="58">
                  <c:v>1.2266666666666667E-3</c:v>
                </c:pt>
                <c:pt idx="59">
                  <c:v>1.2133333333333334E-3</c:v>
                </c:pt>
                <c:pt idx="60">
                  <c:v>1.1999999999999999E-3</c:v>
                </c:pt>
                <c:pt idx="61">
                  <c:v>1.1866666666666666E-3</c:v>
                </c:pt>
                <c:pt idx="62">
                  <c:v>1.1733333333333333E-3</c:v>
                </c:pt>
                <c:pt idx="63">
                  <c:v>1.16E-3</c:v>
                </c:pt>
                <c:pt idx="64">
                  <c:v>1.1466666666666667E-3</c:v>
                </c:pt>
                <c:pt idx="65">
                  <c:v>1.1333333333333334E-3</c:v>
                </c:pt>
                <c:pt idx="66">
                  <c:v>1.1199999999999999E-3</c:v>
                </c:pt>
                <c:pt idx="67">
                  <c:v>1.1066666666666666E-3</c:v>
                </c:pt>
                <c:pt idx="68">
                  <c:v>1.0933333333333333E-3</c:v>
                </c:pt>
                <c:pt idx="69">
                  <c:v>1.08E-3</c:v>
                </c:pt>
                <c:pt idx="70">
                  <c:v>1.0666666666666667E-3</c:v>
                </c:pt>
                <c:pt idx="71">
                  <c:v>1.0533333333333334E-3</c:v>
                </c:pt>
                <c:pt idx="72">
                  <c:v>1.0399999999999999E-3</c:v>
                </c:pt>
                <c:pt idx="73">
                  <c:v>1.0266666666666666E-3</c:v>
                </c:pt>
                <c:pt idx="74">
                  <c:v>1.0133333333333333E-3</c:v>
                </c:pt>
                <c:pt idx="75">
                  <c:v>1E-3</c:v>
                </c:pt>
                <c:pt idx="76">
                  <c:v>9.8666666666666672E-4</c:v>
                </c:pt>
                <c:pt idx="77">
                  <c:v>9.7333333333333332E-4</c:v>
                </c:pt>
                <c:pt idx="78">
                  <c:v>9.6000000000000002E-4</c:v>
                </c:pt>
                <c:pt idx="79">
                  <c:v>9.4666666666666662E-4</c:v>
                </c:pt>
                <c:pt idx="80">
                  <c:v>9.3333333333333332E-4</c:v>
                </c:pt>
                <c:pt idx="81">
                  <c:v>9.2000000000000003E-4</c:v>
                </c:pt>
                <c:pt idx="82">
                  <c:v>9.0666666666666662E-4</c:v>
                </c:pt>
                <c:pt idx="83">
                  <c:v>8.9333333333333333E-4</c:v>
                </c:pt>
                <c:pt idx="84">
                  <c:v>8.8000000000000003E-4</c:v>
                </c:pt>
                <c:pt idx="85">
                  <c:v>8.6666666666666663E-4</c:v>
                </c:pt>
                <c:pt idx="86">
                  <c:v>8.5333333333333333E-4</c:v>
                </c:pt>
                <c:pt idx="87">
                  <c:v>8.4000000000000003E-4</c:v>
                </c:pt>
                <c:pt idx="88">
                  <c:v>8.2666666666666663E-4</c:v>
                </c:pt>
                <c:pt idx="89">
                  <c:v>8.1333333333333333E-4</c:v>
                </c:pt>
                <c:pt idx="90">
                  <c:v>8.0000000000000004E-4</c:v>
                </c:pt>
                <c:pt idx="91">
                  <c:v>7.8666666666666663E-4</c:v>
                </c:pt>
                <c:pt idx="92">
                  <c:v>7.7333333333333334E-4</c:v>
                </c:pt>
                <c:pt idx="93">
                  <c:v>7.6000000000000004E-4</c:v>
                </c:pt>
                <c:pt idx="94">
                  <c:v>7.4666666666666664E-4</c:v>
                </c:pt>
                <c:pt idx="95">
                  <c:v>7.3333333333333334E-4</c:v>
                </c:pt>
                <c:pt idx="96">
                  <c:v>7.2000000000000005E-4</c:v>
                </c:pt>
                <c:pt idx="97">
                  <c:v>7.0666666666666664E-4</c:v>
                </c:pt>
                <c:pt idx="98">
                  <c:v>6.9333333333333334E-4</c:v>
                </c:pt>
                <c:pt idx="99">
                  <c:v>6.8000000000000005E-4</c:v>
                </c:pt>
                <c:pt idx="100">
                  <c:v>6.6666666666666664E-4</c:v>
                </c:pt>
                <c:pt idx="101">
                  <c:v>6.5333333333333335E-4</c:v>
                </c:pt>
                <c:pt idx="102">
                  <c:v>6.4000000000000005E-4</c:v>
                </c:pt>
                <c:pt idx="103">
                  <c:v>6.2666666666666665E-4</c:v>
                </c:pt>
                <c:pt idx="104">
                  <c:v>6.1333333333333335E-4</c:v>
                </c:pt>
                <c:pt idx="105">
                  <c:v>5.9999999999999995E-4</c:v>
                </c:pt>
                <c:pt idx="106">
                  <c:v>5.8666666666666665E-4</c:v>
                </c:pt>
                <c:pt idx="107">
                  <c:v>5.7333333333333336E-4</c:v>
                </c:pt>
                <c:pt idx="108">
                  <c:v>5.5999999999999995E-4</c:v>
                </c:pt>
                <c:pt idx="109">
                  <c:v>5.4666666666666665E-4</c:v>
                </c:pt>
                <c:pt idx="110">
                  <c:v>5.3333333333333336E-4</c:v>
                </c:pt>
                <c:pt idx="111">
                  <c:v>5.1999999999999995E-4</c:v>
                </c:pt>
                <c:pt idx="112">
                  <c:v>5.0666666666666666E-4</c:v>
                </c:pt>
                <c:pt idx="113">
                  <c:v>4.9333333333333336E-4</c:v>
                </c:pt>
                <c:pt idx="114">
                  <c:v>4.8000000000000001E-4</c:v>
                </c:pt>
                <c:pt idx="115">
                  <c:v>4.6666666666666666E-4</c:v>
                </c:pt>
                <c:pt idx="116">
                  <c:v>4.5333333333333331E-4</c:v>
                </c:pt>
                <c:pt idx="117">
                  <c:v>4.4000000000000002E-4</c:v>
                </c:pt>
                <c:pt idx="118">
                  <c:v>4.2666666666666667E-4</c:v>
                </c:pt>
                <c:pt idx="119">
                  <c:v>4.1333333333333332E-4</c:v>
                </c:pt>
                <c:pt idx="120">
                  <c:v>4.0000000000000002E-4</c:v>
                </c:pt>
                <c:pt idx="121">
                  <c:v>3.8666666666666667E-4</c:v>
                </c:pt>
                <c:pt idx="122">
                  <c:v>3.7333333333333332E-4</c:v>
                </c:pt>
                <c:pt idx="123">
                  <c:v>3.6000000000000002E-4</c:v>
                </c:pt>
                <c:pt idx="124">
                  <c:v>3.4666666666666667E-4</c:v>
                </c:pt>
                <c:pt idx="125">
                  <c:v>3.3333333333333332E-4</c:v>
                </c:pt>
                <c:pt idx="126">
                  <c:v>3.2000000000000003E-4</c:v>
                </c:pt>
                <c:pt idx="127">
                  <c:v>3.0666666666666668E-4</c:v>
                </c:pt>
                <c:pt idx="128">
                  <c:v>2.9333333333333333E-4</c:v>
                </c:pt>
                <c:pt idx="129">
                  <c:v>2.7999999999999998E-4</c:v>
                </c:pt>
                <c:pt idx="130">
                  <c:v>2.6666666666666668E-4</c:v>
                </c:pt>
                <c:pt idx="131">
                  <c:v>2.5333333333333333E-4</c:v>
                </c:pt>
                <c:pt idx="132">
                  <c:v>2.4000000000000001E-4</c:v>
                </c:pt>
                <c:pt idx="133">
                  <c:v>2.2666666666666666E-4</c:v>
                </c:pt>
                <c:pt idx="134">
                  <c:v>2.1333333333333333E-4</c:v>
                </c:pt>
                <c:pt idx="135">
                  <c:v>2.0000000000000001E-4</c:v>
                </c:pt>
                <c:pt idx="136">
                  <c:v>1.8666666666666666E-4</c:v>
                </c:pt>
                <c:pt idx="137">
                  <c:v>1.7333333333333334E-4</c:v>
                </c:pt>
                <c:pt idx="138">
                  <c:v>1.6000000000000001E-4</c:v>
                </c:pt>
                <c:pt idx="139">
                  <c:v>1.4666666666666666E-4</c:v>
                </c:pt>
                <c:pt idx="140">
                  <c:v>1.3333333333333334E-4</c:v>
                </c:pt>
                <c:pt idx="141">
                  <c:v>1.2E-4</c:v>
                </c:pt>
                <c:pt idx="142">
                  <c:v>1.0666666666666667E-4</c:v>
                </c:pt>
                <c:pt idx="143">
                  <c:v>9.333333333333333E-5</c:v>
                </c:pt>
                <c:pt idx="144">
                  <c:v>8.0000000000000007E-5</c:v>
                </c:pt>
                <c:pt idx="145">
                  <c:v>6.666666666666667E-5</c:v>
                </c:pt>
                <c:pt idx="146">
                  <c:v>5.3333333333333333E-5</c:v>
                </c:pt>
                <c:pt idx="147">
                  <c:v>4.0000000000000003E-5</c:v>
                </c:pt>
                <c:pt idx="148">
                  <c:v>2.6666666666666667E-5</c:v>
                </c:pt>
                <c:pt idx="149">
                  <c:v>1.3333333333333333E-5</c:v>
                </c:pt>
                <c:pt idx="1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3-4A7A-8626-EF95FC3252C7}"/>
            </c:ext>
          </c:extLst>
        </c:ser>
        <c:ser>
          <c:idx val="1"/>
          <c:order val="1"/>
          <c:tx>
            <c:strRef>
              <c:f>Triangular!$D$5</c:f>
              <c:strCache>
                <c:ptCount val="1"/>
                <c:pt idx="0">
                  <c:v>(500, 1200, 2000)</c:v>
                </c:pt>
              </c:strCache>
            </c:strRef>
          </c:tx>
          <c:spPr>
            <a:ln w="22225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numRef>
              <c:f>Triangular!$A$6:$A$156</c:f>
              <c:numCache>
                <c:formatCode>General</c:formatCode>
                <c:ptCount val="151"/>
                <c:pt idx="0">
                  <c:v>500</c:v>
                </c:pt>
                <c:pt idx="1">
                  <c:v>510</c:v>
                </c:pt>
                <c:pt idx="2">
                  <c:v>520</c:v>
                </c:pt>
                <c:pt idx="3">
                  <c:v>530</c:v>
                </c:pt>
                <c:pt idx="4">
                  <c:v>540</c:v>
                </c:pt>
                <c:pt idx="5">
                  <c:v>550</c:v>
                </c:pt>
                <c:pt idx="6">
                  <c:v>560</c:v>
                </c:pt>
                <c:pt idx="7">
                  <c:v>570</c:v>
                </c:pt>
                <c:pt idx="8">
                  <c:v>580</c:v>
                </c:pt>
                <c:pt idx="9">
                  <c:v>590</c:v>
                </c:pt>
                <c:pt idx="10">
                  <c:v>600</c:v>
                </c:pt>
                <c:pt idx="11">
                  <c:v>610</c:v>
                </c:pt>
                <c:pt idx="12">
                  <c:v>620</c:v>
                </c:pt>
                <c:pt idx="13">
                  <c:v>630</c:v>
                </c:pt>
                <c:pt idx="14">
                  <c:v>640</c:v>
                </c:pt>
                <c:pt idx="15">
                  <c:v>650</c:v>
                </c:pt>
                <c:pt idx="16">
                  <c:v>660</c:v>
                </c:pt>
                <c:pt idx="17">
                  <c:v>670</c:v>
                </c:pt>
                <c:pt idx="18">
                  <c:v>680</c:v>
                </c:pt>
                <c:pt idx="19">
                  <c:v>690</c:v>
                </c:pt>
                <c:pt idx="20">
                  <c:v>700</c:v>
                </c:pt>
                <c:pt idx="21">
                  <c:v>710</c:v>
                </c:pt>
                <c:pt idx="22">
                  <c:v>720</c:v>
                </c:pt>
                <c:pt idx="23">
                  <c:v>730</c:v>
                </c:pt>
                <c:pt idx="24">
                  <c:v>740</c:v>
                </c:pt>
                <c:pt idx="25">
                  <c:v>750</c:v>
                </c:pt>
                <c:pt idx="26">
                  <c:v>760</c:v>
                </c:pt>
                <c:pt idx="27">
                  <c:v>770</c:v>
                </c:pt>
                <c:pt idx="28">
                  <c:v>780</c:v>
                </c:pt>
                <c:pt idx="29">
                  <c:v>790</c:v>
                </c:pt>
                <c:pt idx="30">
                  <c:v>800</c:v>
                </c:pt>
                <c:pt idx="31">
                  <c:v>810</c:v>
                </c:pt>
                <c:pt idx="32">
                  <c:v>820</c:v>
                </c:pt>
                <c:pt idx="33">
                  <c:v>830</c:v>
                </c:pt>
                <c:pt idx="34">
                  <c:v>840</c:v>
                </c:pt>
                <c:pt idx="35">
                  <c:v>850</c:v>
                </c:pt>
                <c:pt idx="36">
                  <c:v>860</c:v>
                </c:pt>
                <c:pt idx="37">
                  <c:v>870</c:v>
                </c:pt>
                <c:pt idx="38">
                  <c:v>880</c:v>
                </c:pt>
                <c:pt idx="39">
                  <c:v>890</c:v>
                </c:pt>
                <c:pt idx="40">
                  <c:v>900</c:v>
                </c:pt>
                <c:pt idx="41">
                  <c:v>910</c:v>
                </c:pt>
                <c:pt idx="42">
                  <c:v>920</c:v>
                </c:pt>
                <c:pt idx="43">
                  <c:v>930</c:v>
                </c:pt>
                <c:pt idx="44">
                  <c:v>940</c:v>
                </c:pt>
                <c:pt idx="45">
                  <c:v>950</c:v>
                </c:pt>
                <c:pt idx="46">
                  <c:v>960</c:v>
                </c:pt>
                <c:pt idx="47">
                  <c:v>970</c:v>
                </c:pt>
                <c:pt idx="48">
                  <c:v>980</c:v>
                </c:pt>
                <c:pt idx="49">
                  <c:v>990</c:v>
                </c:pt>
                <c:pt idx="50">
                  <c:v>1000</c:v>
                </c:pt>
                <c:pt idx="51">
                  <c:v>1010</c:v>
                </c:pt>
                <c:pt idx="52">
                  <c:v>1020</c:v>
                </c:pt>
                <c:pt idx="53">
                  <c:v>1030</c:v>
                </c:pt>
                <c:pt idx="54">
                  <c:v>1040</c:v>
                </c:pt>
                <c:pt idx="55">
                  <c:v>1050</c:v>
                </c:pt>
                <c:pt idx="56">
                  <c:v>1060</c:v>
                </c:pt>
                <c:pt idx="57">
                  <c:v>1070</c:v>
                </c:pt>
                <c:pt idx="58">
                  <c:v>1080</c:v>
                </c:pt>
                <c:pt idx="59">
                  <c:v>1090</c:v>
                </c:pt>
                <c:pt idx="60">
                  <c:v>1100</c:v>
                </c:pt>
                <c:pt idx="61">
                  <c:v>1110</c:v>
                </c:pt>
                <c:pt idx="62">
                  <c:v>1120</c:v>
                </c:pt>
                <c:pt idx="63">
                  <c:v>1130</c:v>
                </c:pt>
                <c:pt idx="64">
                  <c:v>1140</c:v>
                </c:pt>
                <c:pt idx="65">
                  <c:v>1150</c:v>
                </c:pt>
                <c:pt idx="66">
                  <c:v>1160</c:v>
                </c:pt>
                <c:pt idx="67">
                  <c:v>1170</c:v>
                </c:pt>
                <c:pt idx="68">
                  <c:v>1180</c:v>
                </c:pt>
                <c:pt idx="69">
                  <c:v>1190</c:v>
                </c:pt>
                <c:pt idx="70">
                  <c:v>1200</c:v>
                </c:pt>
                <c:pt idx="71">
                  <c:v>1210</c:v>
                </c:pt>
                <c:pt idx="72">
                  <c:v>1220</c:v>
                </c:pt>
                <c:pt idx="73">
                  <c:v>1230</c:v>
                </c:pt>
                <c:pt idx="74">
                  <c:v>1240</c:v>
                </c:pt>
                <c:pt idx="75">
                  <c:v>1250</c:v>
                </c:pt>
                <c:pt idx="76">
                  <c:v>1260</c:v>
                </c:pt>
                <c:pt idx="77">
                  <c:v>1270</c:v>
                </c:pt>
                <c:pt idx="78">
                  <c:v>1280</c:v>
                </c:pt>
                <c:pt idx="79">
                  <c:v>1290</c:v>
                </c:pt>
                <c:pt idx="80">
                  <c:v>1300</c:v>
                </c:pt>
                <c:pt idx="81">
                  <c:v>1310</c:v>
                </c:pt>
                <c:pt idx="82">
                  <c:v>1320</c:v>
                </c:pt>
                <c:pt idx="83">
                  <c:v>1330</c:v>
                </c:pt>
                <c:pt idx="84">
                  <c:v>1340</c:v>
                </c:pt>
                <c:pt idx="85">
                  <c:v>1350</c:v>
                </c:pt>
                <c:pt idx="86">
                  <c:v>1360</c:v>
                </c:pt>
                <c:pt idx="87">
                  <c:v>1370</c:v>
                </c:pt>
                <c:pt idx="88">
                  <c:v>1380</c:v>
                </c:pt>
                <c:pt idx="89">
                  <c:v>1390</c:v>
                </c:pt>
                <c:pt idx="90">
                  <c:v>1400</c:v>
                </c:pt>
                <c:pt idx="91">
                  <c:v>1410</c:v>
                </c:pt>
                <c:pt idx="92">
                  <c:v>1420</c:v>
                </c:pt>
                <c:pt idx="93">
                  <c:v>1430</c:v>
                </c:pt>
                <c:pt idx="94">
                  <c:v>1440</c:v>
                </c:pt>
                <c:pt idx="95">
                  <c:v>1450</c:v>
                </c:pt>
                <c:pt idx="96">
                  <c:v>1460</c:v>
                </c:pt>
                <c:pt idx="97">
                  <c:v>1470</c:v>
                </c:pt>
                <c:pt idx="98">
                  <c:v>1480</c:v>
                </c:pt>
                <c:pt idx="99">
                  <c:v>1490</c:v>
                </c:pt>
                <c:pt idx="100">
                  <c:v>1500</c:v>
                </c:pt>
                <c:pt idx="101">
                  <c:v>1510</c:v>
                </c:pt>
                <c:pt idx="102">
                  <c:v>1520</c:v>
                </c:pt>
                <c:pt idx="103">
                  <c:v>1530</c:v>
                </c:pt>
                <c:pt idx="104">
                  <c:v>1540</c:v>
                </c:pt>
                <c:pt idx="105">
                  <c:v>1550</c:v>
                </c:pt>
                <c:pt idx="106">
                  <c:v>1560</c:v>
                </c:pt>
                <c:pt idx="107">
                  <c:v>1570</c:v>
                </c:pt>
                <c:pt idx="108">
                  <c:v>1580</c:v>
                </c:pt>
                <c:pt idx="109">
                  <c:v>1590</c:v>
                </c:pt>
                <c:pt idx="110">
                  <c:v>1600</c:v>
                </c:pt>
                <c:pt idx="111">
                  <c:v>1610</c:v>
                </c:pt>
                <c:pt idx="112">
                  <c:v>1620</c:v>
                </c:pt>
                <c:pt idx="113">
                  <c:v>1630</c:v>
                </c:pt>
                <c:pt idx="114">
                  <c:v>1640</c:v>
                </c:pt>
                <c:pt idx="115">
                  <c:v>1650</c:v>
                </c:pt>
                <c:pt idx="116">
                  <c:v>1660</c:v>
                </c:pt>
                <c:pt idx="117">
                  <c:v>1670</c:v>
                </c:pt>
                <c:pt idx="118">
                  <c:v>1680</c:v>
                </c:pt>
                <c:pt idx="119">
                  <c:v>1690</c:v>
                </c:pt>
                <c:pt idx="120">
                  <c:v>1700</c:v>
                </c:pt>
                <c:pt idx="121">
                  <c:v>1710</c:v>
                </c:pt>
                <c:pt idx="122">
                  <c:v>1720</c:v>
                </c:pt>
                <c:pt idx="123">
                  <c:v>1730</c:v>
                </c:pt>
                <c:pt idx="124">
                  <c:v>1740</c:v>
                </c:pt>
                <c:pt idx="125">
                  <c:v>1750</c:v>
                </c:pt>
                <c:pt idx="126">
                  <c:v>1760</c:v>
                </c:pt>
                <c:pt idx="127">
                  <c:v>1770</c:v>
                </c:pt>
                <c:pt idx="128">
                  <c:v>1780</c:v>
                </c:pt>
                <c:pt idx="129">
                  <c:v>1790</c:v>
                </c:pt>
                <c:pt idx="130">
                  <c:v>1800</c:v>
                </c:pt>
                <c:pt idx="131">
                  <c:v>1810</c:v>
                </c:pt>
                <c:pt idx="132">
                  <c:v>1820</c:v>
                </c:pt>
                <c:pt idx="133">
                  <c:v>1830</c:v>
                </c:pt>
                <c:pt idx="134">
                  <c:v>1840</c:v>
                </c:pt>
                <c:pt idx="135">
                  <c:v>1850</c:v>
                </c:pt>
                <c:pt idx="136">
                  <c:v>1860</c:v>
                </c:pt>
                <c:pt idx="137">
                  <c:v>1870</c:v>
                </c:pt>
                <c:pt idx="138">
                  <c:v>1880</c:v>
                </c:pt>
                <c:pt idx="139">
                  <c:v>1890</c:v>
                </c:pt>
                <c:pt idx="140">
                  <c:v>1900</c:v>
                </c:pt>
                <c:pt idx="141">
                  <c:v>1910</c:v>
                </c:pt>
                <c:pt idx="142">
                  <c:v>1920</c:v>
                </c:pt>
                <c:pt idx="143">
                  <c:v>1930</c:v>
                </c:pt>
                <c:pt idx="144">
                  <c:v>1940</c:v>
                </c:pt>
                <c:pt idx="145">
                  <c:v>1950</c:v>
                </c:pt>
                <c:pt idx="146">
                  <c:v>1960</c:v>
                </c:pt>
                <c:pt idx="147">
                  <c:v>1970</c:v>
                </c:pt>
                <c:pt idx="148">
                  <c:v>1980</c:v>
                </c:pt>
                <c:pt idx="149">
                  <c:v>1990</c:v>
                </c:pt>
                <c:pt idx="150">
                  <c:v>2000</c:v>
                </c:pt>
              </c:numCache>
            </c:numRef>
          </c:cat>
          <c:val>
            <c:numRef>
              <c:f>Triangular!$D$6:$D$156</c:f>
              <c:numCache>
                <c:formatCode>0%</c:formatCode>
                <c:ptCount val="151"/>
                <c:pt idx="0">
                  <c:v>0</c:v>
                </c:pt>
                <c:pt idx="1">
                  <c:v>1.9047619047619046E-5</c:v>
                </c:pt>
                <c:pt idx="2">
                  <c:v>3.8095238095238092E-5</c:v>
                </c:pt>
                <c:pt idx="3">
                  <c:v>5.7142857142857142E-5</c:v>
                </c:pt>
                <c:pt idx="4">
                  <c:v>7.6190476190476184E-5</c:v>
                </c:pt>
                <c:pt idx="5">
                  <c:v>9.5238095238095241E-5</c:v>
                </c:pt>
                <c:pt idx="6">
                  <c:v>1.1428571428571428E-4</c:v>
                </c:pt>
                <c:pt idx="7">
                  <c:v>1.3333333333333334E-4</c:v>
                </c:pt>
                <c:pt idx="8">
                  <c:v>1.5238095238095237E-4</c:v>
                </c:pt>
                <c:pt idx="9">
                  <c:v>1.7142857142857143E-4</c:v>
                </c:pt>
                <c:pt idx="10">
                  <c:v>1.9047619047619048E-4</c:v>
                </c:pt>
                <c:pt idx="11">
                  <c:v>2.0952380952380951E-4</c:v>
                </c:pt>
                <c:pt idx="12">
                  <c:v>2.2857142857142857E-4</c:v>
                </c:pt>
                <c:pt idx="13">
                  <c:v>2.4761904761904762E-4</c:v>
                </c:pt>
                <c:pt idx="14">
                  <c:v>2.6666666666666668E-4</c:v>
                </c:pt>
                <c:pt idx="15">
                  <c:v>2.8571428571428574E-4</c:v>
                </c:pt>
                <c:pt idx="16">
                  <c:v>3.0476190476190474E-4</c:v>
                </c:pt>
                <c:pt idx="17">
                  <c:v>3.2380952380952379E-4</c:v>
                </c:pt>
                <c:pt idx="18">
                  <c:v>3.4285714285714285E-4</c:v>
                </c:pt>
                <c:pt idx="19">
                  <c:v>3.6190476190476191E-4</c:v>
                </c:pt>
                <c:pt idx="20">
                  <c:v>3.8095238095238096E-4</c:v>
                </c:pt>
                <c:pt idx="21">
                  <c:v>4.0000000000000002E-4</c:v>
                </c:pt>
                <c:pt idx="22">
                  <c:v>4.1904761904761902E-4</c:v>
                </c:pt>
                <c:pt idx="23">
                  <c:v>4.3809523809523808E-4</c:v>
                </c:pt>
                <c:pt idx="24">
                  <c:v>4.5714285714285713E-4</c:v>
                </c:pt>
                <c:pt idx="25">
                  <c:v>4.7619047619047619E-4</c:v>
                </c:pt>
                <c:pt idx="26">
                  <c:v>4.9523809523809525E-4</c:v>
                </c:pt>
                <c:pt idx="27">
                  <c:v>5.142857142857143E-4</c:v>
                </c:pt>
                <c:pt idx="28">
                  <c:v>5.3333333333333336E-4</c:v>
                </c:pt>
                <c:pt idx="29">
                  <c:v>5.5238095238095242E-4</c:v>
                </c:pt>
                <c:pt idx="30">
                  <c:v>5.7142857142857147E-4</c:v>
                </c:pt>
                <c:pt idx="31">
                  <c:v>5.9047619047619053E-4</c:v>
                </c:pt>
                <c:pt idx="32">
                  <c:v>6.0952380952380948E-4</c:v>
                </c:pt>
                <c:pt idx="33">
                  <c:v>6.2857142857142853E-4</c:v>
                </c:pt>
                <c:pt idx="34">
                  <c:v>6.4761904761904759E-4</c:v>
                </c:pt>
                <c:pt idx="35">
                  <c:v>6.6666666666666664E-4</c:v>
                </c:pt>
                <c:pt idx="36">
                  <c:v>6.857142857142857E-4</c:v>
                </c:pt>
                <c:pt idx="37">
                  <c:v>7.0476190476190476E-4</c:v>
                </c:pt>
                <c:pt idx="38">
                  <c:v>7.2380952380952381E-4</c:v>
                </c:pt>
                <c:pt idx="39">
                  <c:v>7.4285714285714287E-4</c:v>
                </c:pt>
                <c:pt idx="40">
                  <c:v>7.6190476190476193E-4</c:v>
                </c:pt>
                <c:pt idx="41">
                  <c:v>7.8095238095238098E-4</c:v>
                </c:pt>
                <c:pt idx="42">
                  <c:v>8.0000000000000004E-4</c:v>
                </c:pt>
                <c:pt idx="43">
                  <c:v>8.1904761904761909E-4</c:v>
                </c:pt>
                <c:pt idx="44">
                  <c:v>8.3809523809523804E-4</c:v>
                </c:pt>
                <c:pt idx="45">
                  <c:v>8.571428571428571E-4</c:v>
                </c:pt>
                <c:pt idx="46">
                  <c:v>8.7619047619047616E-4</c:v>
                </c:pt>
                <c:pt idx="47">
                  <c:v>8.9523809523809521E-4</c:v>
                </c:pt>
                <c:pt idx="48">
                  <c:v>9.1428571428571427E-4</c:v>
                </c:pt>
                <c:pt idx="49">
                  <c:v>9.3333333333333332E-4</c:v>
                </c:pt>
                <c:pt idx="50">
                  <c:v>9.5238095238095238E-4</c:v>
                </c:pt>
                <c:pt idx="51">
                  <c:v>9.7142857142857144E-4</c:v>
                </c:pt>
                <c:pt idx="52">
                  <c:v>9.9047619047619049E-4</c:v>
                </c:pt>
                <c:pt idx="53">
                  <c:v>1.0095238095238095E-3</c:v>
                </c:pt>
                <c:pt idx="54">
                  <c:v>1.0285714285714286E-3</c:v>
                </c:pt>
                <c:pt idx="55">
                  <c:v>1.0476190476190477E-3</c:v>
                </c:pt>
                <c:pt idx="56">
                  <c:v>1.0666666666666667E-3</c:v>
                </c:pt>
                <c:pt idx="57">
                  <c:v>1.0857142857142858E-3</c:v>
                </c:pt>
                <c:pt idx="58">
                  <c:v>1.1047619047619048E-3</c:v>
                </c:pt>
                <c:pt idx="59">
                  <c:v>1.1238095238095239E-3</c:v>
                </c:pt>
                <c:pt idx="60">
                  <c:v>1.1428571428571429E-3</c:v>
                </c:pt>
                <c:pt idx="61">
                  <c:v>1.161904761904762E-3</c:v>
                </c:pt>
                <c:pt idx="62">
                  <c:v>1.1809523809523811E-3</c:v>
                </c:pt>
                <c:pt idx="63">
                  <c:v>1.1999999999999999E-3</c:v>
                </c:pt>
                <c:pt idx="64">
                  <c:v>1.219047619047619E-3</c:v>
                </c:pt>
                <c:pt idx="65">
                  <c:v>1.238095238095238E-3</c:v>
                </c:pt>
                <c:pt idx="66">
                  <c:v>1.2571428571428571E-3</c:v>
                </c:pt>
                <c:pt idx="67">
                  <c:v>1.2761904761904761E-3</c:v>
                </c:pt>
                <c:pt idx="68">
                  <c:v>1.2952380952380952E-3</c:v>
                </c:pt>
                <c:pt idx="69">
                  <c:v>1.3142857142857142E-3</c:v>
                </c:pt>
                <c:pt idx="70">
                  <c:v>1.3333333333333333E-3</c:v>
                </c:pt>
                <c:pt idx="71">
                  <c:v>1.3166666666666667E-3</c:v>
                </c:pt>
                <c:pt idx="72">
                  <c:v>1.2999999999999999E-3</c:v>
                </c:pt>
                <c:pt idx="73">
                  <c:v>1.2833333333333334E-3</c:v>
                </c:pt>
                <c:pt idx="74">
                  <c:v>1.2666666666666666E-3</c:v>
                </c:pt>
                <c:pt idx="75">
                  <c:v>1.25E-3</c:v>
                </c:pt>
                <c:pt idx="76">
                  <c:v>1.2333333333333332E-3</c:v>
                </c:pt>
                <c:pt idx="77">
                  <c:v>1.2166666666666667E-3</c:v>
                </c:pt>
                <c:pt idx="78">
                  <c:v>1.1999999999999999E-3</c:v>
                </c:pt>
                <c:pt idx="79">
                  <c:v>1.1833333333333333E-3</c:v>
                </c:pt>
                <c:pt idx="80">
                  <c:v>1.1666666666666668E-3</c:v>
                </c:pt>
                <c:pt idx="81">
                  <c:v>1.15E-3</c:v>
                </c:pt>
                <c:pt idx="82">
                  <c:v>1.1333333333333334E-3</c:v>
                </c:pt>
                <c:pt idx="83">
                  <c:v>1.1166666666666666E-3</c:v>
                </c:pt>
                <c:pt idx="84">
                  <c:v>1.1000000000000001E-3</c:v>
                </c:pt>
                <c:pt idx="85">
                  <c:v>1.0833333333333333E-3</c:v>
                </c:pt>
                <c:pt idx="86">
                  <c:v>1.0666666666666667E-3</c:v>
                </c:pt>
                <c:pt idx="87">
                  <c:v>1.0499999999999999E-3</c:v>
                </c:pt>
                <c:pt idx="88">
                  <c:v>1.0333333333333334E-3</c:v>
                </c:pt>
                <c:pt idx="89">
                  <c:v>1.0166666666666666E-3</c:v>
                </c:pt>
                <c:pt idx="90">
                  <c:v>1E-3</c:v>
                </c:pt>
                <c:pt idx="91">
                  <c:v>9.8333333333333324E-4</c:v>
                </c:pt>
                <c:pt idx="92">
                  <c:v>9.6666666666666667E-4</c:v>
                </c:pt>
                <c:pt idx="93">
                  <c:v>9.5E-4</c:v>
                </c:pt>
                <c:pt idx="94">
                  <c:v>9.3333333333333332E-4</c:v>
                </c:pt>
                <c:pt idx="95">
                  <c:v>9.1666666666666665E-4</c:v>
                </c:pt>
                <c:pt idx="96">
                  <c:v>8.9999999999999998E-4</c:v>
                </c:pt>
                <c:pt idx="97">
                  <c:v>8.833333333333333E-4</c:v>
                </c:pt>
                <c:pt idx="98">
                  <c:v>8.6666666666666663E-4</c:v>
                </c:pt>
                <c:pt idx="99">
                  <c:v>8.4999999999999995E-4</c:v>
                </c:pt>
                <c:pt idx="100">
                  <c:v>8.3333333333333339E-4</c:v>
                </c:pt>
                <c:pt idx="101">
                  <c:v>8.1666666666666671E-4</c:v>
                </c:pt>
                <c:pt idx="102">
                  <c:v>8.0000000000000004E-4</c:v>
                </c:pt>
                <c:pt idx="103">
                  <c:v>7.8333333333333336E-4</c:v>
                </c:pt>
                <c:pt idx="104">
                  <c:v>7.6666666666666669E-4</c:v>
                </c:pt>
                <c:pt idx="105">
                  <c:v>7.5000000000000002E-4</c:v>
                </c:pt>
                <c:pt idx="106">
                  <c:v>7.3333333333333334E-4</c:v>
                </c:pt>
                <c:pt idx="107">
                  <c:v>7.1666666666666667E-4</c:v>
                </c:pt>
                <c:pt idx="108">
                  <c:v>6.9999999999999999E-4</c:v>
                </c:pt>
                <c:pt idx="109">
                  <c:v>6.8333333333333332E-4</c:v>
                </c:pt>
                <c:pt idx="110">
                  <c:v>6.6666666666666664E-4</c:v>
                </c:pt>
                <c:pt idx="111">
                  <c:v>6.4999999999999997E-4</c:v>
                </c:pt>
                <c:pt idx="112">
                  <c:v>6.333333333333333E-4</c:v>
                </c:pt>
                <c:pt idx="113">
                  <c:v>6.1666666666666662E-4</c:v>
                </c:pt>
                <c:pt idx="114">
                  <c:v>5.9999999999999995E-4</c:v>
                </c:pt>
                <c:pt idx="115">
                  <c:v>5.8333333333333338E-4</c:v>
                </c:pt>
                <c:pt idx="116">
                  <c:v>5.6666666666666671E-4</c:v>
                </c:pt>
                <c:pt idx="117">
                  <c:v>5.5000000000000003E-4</c:v>
                </c:pt>
                <c:pt idx="118">
                  <c:v>5.3333333333333336E-4</c:v>
                </c:pt>
                <c:pt idx="119">
                  <c:v>5.1666666666666668E-4</c:v>
                </c:pt>
                <c:pt idx="120">
                  <c:v>5.0000000000000001E-4</c:v>
                </c:pt>
                <c:pt idx="121">
                  <c:v>4.8333333333333334E-4</c:v>
                </c:pt>
                <c:pt idx="122">
                  <c:v>4.6666666666666666E-4</c:v>
                </c:pt>
                <c:pt idx="123">
                  <c:v>4.4999999999999999E-4</c:v>
                </c:pt>
                <c:pt idx="124">
                  <c:v>4.3333333333333331E-4</c:v>
                </c:pt>
                <c:pt idx="125">
                  <c:v>4.1666666666666669E-4</c:v>
                </c:pt>
                <c:pt idx="126">
                  <c:v>4.0000000000000002E-4</c:v>
                </c:pt>
                <c:pt idx="127">
                  <c:v>3.8333333333333334E-4</c:v>
                </c:pt>
                <c:pt idx="128">
                  <c:v>3.6666666666666667E-4</c:v>
                </c:pt>
                <c:pt idx="129">
                  <c:v>3.5E-4</c:v>
                </c:pt>
                <c:pt idx="130">
                  <c:v>3.3333333333333332E-4</c:v>
                </c:pt>
                <c:pt idx="131">
                  <c:v>3.1666666666666665E-4</c:v>
                </c:pt>
                <c:pt idx="132">
                  <c:v>2.9999999999999997E-4</c:v>
                </c:pt>
                <c:pt idx="133">
                  <c:v>2.8333333333333335E-4</c:v>
                </c:pt>
                <c:pt idx="134">
                  <c:v>2.6666666666666668E-4</c:v>
                </c:pt>
                <c:pt idx="135">
                  <c:v>2.5000000000000001E-4</c:v>
                </c:pt>
                <c:pt idx="136">
                  <c:v>2.3333333333333333E-4</c:v>
                </c:pt>
                <c:pt idx="137">
                  <c:v>2.1666666666666666E-4</c:v>
                </c:pt>
                <c:pt idx="138">
                  <c:v>2.0000000000000001E-4</c:v>
                </c:pt>
                <c:pt idx="139">
                  <c:v>1.8333333333333334E-4</c:v>
                </c:pt>
                <c:pt idx="140">
                  <c:v>1.6666666666666666E-4</c:v>
                </c:pt>
                <c:pt idx="141">
                  <c:v>1.4999999999999999E-4</c:v>
                </c:pt>
                <c:pt idx="142">
                  <c:v>1.3333333333333334E-4</c:v>
                </c:pt>
                <c:pt idx="143">
                  <c:v>1.1666666666666667E-4</c:v>
                </c:pt>
                <c:pt idx="144">
                  <c:v>1E-4</c:v>
                </c:pt>
                <c:pt idx="145">
                  <c:v>8.3333333333333331E-5</c:v>
                </c:pt>
                <c:pt idx="146">
                  <c:v>6.666666666666667E-5</c:v>
                </c:pt>
                <c:pt idx="147">
                  <c:v>5.0000000000000002E-5</c:v>
                </c:pt>
                <c:pt idx="148">
                  <c:v>3.3333333333333335E-5</c:v>
                </c:pt>
                <c:pt idx="149">
                  <c:v>1.6666666666666667E-5</c:v>
                </c:pt>
                <c:pt idx="1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3-4A7A-8626-EF95FC3252C7}"/>
            </c:ext>
          </c:extLst>
        </c:ser>
        <c:ser>
          <c:idx val="2"/>
          <c:order val="2"/>
          <c:tx>
            <c:strRef>
              <c:f>Triangular!$E$5</c:f>
              <c:strCache>
                <c:ptCount val="1"/>
                <c:pt idx="0">
                  <c:v>(500, 1700, 2000)</c:v>
                </c:pt>
              </c:strCache>
            </c:strRef>
          </c:tx>
          <c:spPr>
            <a:ln w="22225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numRef>
              <c:f>Triangular!$A$6:$A$156</c:f>
              <c:numCache>
                <c:formatCode>General</c:formatCode>
                <c:ptCount val="151"/>
                <c:pt idx="0">
                  <c:v>500</c:v>
                </c:pt>
                <c:pt idx="1">
                  <c:v>510</c:v>
                </c:pt>
                <c:pt idx="2">
                  <c:v>520</c:v>
                </c:pt>
                <c:pt idx="3">
                  <c:v>530</c:v>
                </c:pt>
                <c:pt idx="4">
                  <c:v>540</c:v>
                </c:pt>
                <c:pt idx="5">
                  <c:v>550</c:v>
                </c:pt>
                <c:pt idx="6">
                  <c:v>560</c:v>
                </c:pt>
                <c:pt idx="7">
                  <c:v>570</c:v>
                </c:pt>
                <c:pt idx="8">
                  <c:v>580</c:v>
                </c:pt>
                <c:pt idx="9">
                  <c:v>590</c:v>
                </c:pt>
                <c:pt idx="10">
                  <c:v>600</c:v>
                </c:pt>
                <c:pt idx="11">
                  <c:v>610</c:v>
                </c:pt>
                <c:pt idx="12">
                  <c:v>620</c:v>
                </c:pt>
                <c:pt idx="13">
                  <c:v>630</c:v>
                </c:pt>
                <c:pt idx="14">
                  <c:v>640</c:v>
                </c:pt>
                <c:pt idx="15">
                  <c:v>650</c:v>
                </c:pt>
                <c:pt idx="16">
                  <c:v>660</c:v>
                </c:pt>
                <c:pt idx="17">
                  <c:v>670</c:v>
                </c:pt>
                <c:pt idx="18">
                  <c:v>680</c:v>
                </c:pt>
                <c:pt idx="19">
                  <c:v>690</c:v>
                </c:pt>
                <c:pt idx="20">
                  <c:v>700</c:v>
                </c:pt>
                <c:pt idx="21">
                  <c:v>710</c:v>
                </c:pt>
                <c:pt idx="22">
                  <c:v>720</c:v>
                </c:pt>
                <c:pt idx="23">
                  <c:v>730</c:v>
                </c:pt>
                <c:pt idx="24">
                  <c:v>740</c:v>
                </c:pt>
                <c:pt idx="25">
                  <c:v>750</c:v>
                </c:pt>
                <c:pt idx="26">
                  <c:v>760</c:v>
                </c:pt>
                <c:pt idx="27">
                  <c:v>770</c:v>
                </c:pt>
                <c:pt idx="28">
                  <c:v>780</c:v>
                </c:pt>
                <c:pt idx="29">
                  <c:v>790</c:v>
                </c:pt>
                <c:pt idx="30">
                  <c:v>800</c:v>
                </c:pt>
                <c:pt idx="31">
                  <c:v>810</c:v>
                </c:pt>
                <c:pt idx="32">
                  <c:v>820</c:v>
                </c:pt>
                <c:pt idx="33">
                  <c:v>830</c:v>
                </c:pt>
                <c:pt idx="34">
                  <c:v>840</c:v>
                </c:pt>
                <c:pt idx="35">
                  <c:v>850</c:v>
                </c:pt>
                <c:pt idx="36">
                  <c:v>860</c:v>
                </c:pt>
                <c:pt idx="37">
                  <c:v>870</c:v>
                </c:pt>
                <c:pt idx="38">
                  <c:v>880</c:v>
                </c:pt>
                <c:pt idx="39">
                  <c:v>890</c:v>
                </c:pt>
                <c:pt idx="40">
                  <c:v>900</c:v>
                </c:pt>
                <c:pt idx="41">
                  <c:v>910</c:v>
                </c:pt>
                <c:pt idx="42">
                  <c:v>920</c:v>
                </c:pt>
                <c:pt idx="43">
                  <c:v>930</c:v>
                </c:pt>
                <c:pt idx="44">
                  <c:v>940</c:v>
                </c:pt>
                <c:pt idx="45">
                  <c:v>950</c:v>
                </c:pt>
                <c:pt idx="46">
                  <c:v>960</c:v>
                </c:pt>
                <c:pt idx="47">
                  <c:v>970</c:v>
                </c:pt>
                <c:pt idx="48">
                  <c:v>980</c:v>
                </c:pt>
                <c:pt idx="49">
                  <c:v>990</c:v>
                </c:pt>
                <c:pt idx="50">
                  <c:v>1000</c:v>
                </c:pt>
                <c:pt idx="51">
                  <c:v>1010</c:v>
                </c:pt>
                <c:pt idx="52">
                  <c:v>1020</c:v>
                </c:pt>
                <c:pt idx="53">
                  <c:v>1030</c:v>
                </c:pt>
                <c:pt idx="54">
                  <c:v>1040</c:v>
                </c:pt>
                <c:pt idx="55">
                  <c:v>1050</c:v>
                </c:pt>
                <c:pt idx="56">
                  <c:v>1060</c:v>
                </c:pt>
                <c:pt idx="57">
                  <c:v>1070</c:v>
                </c:pt>
                <c:pt idx="58">
                  <c:v>1080</c:v>
                </c:pt>
                <c:pt idx="59">
                  <c:v>1090</c:v>
                </c:pt>
                <c:pt idx="60">
                  <c:v>1100</c:v>
                </c:pt>
                <c:pt idx="61">
                  <c:v>1110</c:v>
                </c:pt>
                <c:pt idx="62">
                  <c:v>1120</c:v>
                </c:pt>
                <c:pt idx="63">
                  <c:v>1130</c:v>
                </c:pt>
                <c:pt idx="64">
                  <c:v>1140</c:v>
                </c:pt>
                <c:pt idx="65">
                  <c:v>1150</c:v>
                </c:pt>
                <c:pt idx="66">
                  <c:v>1160</c:v>
                </c:pt>
                <c:pt idx="67">
                  <c:v>1170</c:v>
                </c:pt>
                <c:pt idx="68">
                  <c:v>1180</c:v>
                </c:pt>
                <c:pt idx="69">
                  <c:v>1190</c:v>
                </c:pt>
                <c:pt idx="70">
                  <c:v>1200</c:v>
                </c:pt>
                <c:pt idx="71">
                  <c:v>1210</c:v>
                </c:pt>
                <c:pt idx="72">
                  <c:v>1220</c:v>
                </c:pt>
                <c:pt idx="73">
                  <c:v>1230</c:v>
                </c:pt>
                <c:pt idx="74">
                  <c:v>1240</c:v>
                </c:pt>
                <c:pt idx="75">
                  <c:v>1250</c:v>
                </c:pt>
                <c:pt idx="76">
                  <c:v>1260</c:v>
                </c:pt>
                <c:pt idx="77">
                  <c:v>1270</c:v>
                </c:pt>
                <c:pt idx="78">
                  <c:v>1280</c:v>
                </c:pt>
                <c:pt idx="79">
                  <c:v>1290</c:v>
                </c:pt>
                <c:pt idx="80">
                  <c:v>1300</c:v>
                </c:pt>
                <c:pt idx="81">
                  <c:v>1310</c:v>
                </c:pt>
                <c:pt idx="82">
                  <c:v>1320</c:v>
                </c:pt>
                <c:pt idx="83">
                  <c:v>1330</c:v>
                </c:pt>
                <c:pt idx="84">
                  <c:v>1340</c:v>
                </c:pt>
                <c:pt idx="85">
                  <c:v>1350</c:v>
                </c:pt>
                <c:pt idx="86">
                  <c:v>1360</c:v>
                </c:pt>
                <c:pt idx="87">
                  <c:v>1370</c:v>
                </c:pt>
                <c:pt idx="88">
                  <c:v>1380</c:v>
                </c:pt>
                <c:pt idx="89">
                  <c:v>1390</c:v>
                </c:pt>
                <c:pt idx="90">
                  <c:v>1400</c:v>
                </c:pt>
                <c:pt idx="91">
                  <c:v>1410</c:v>
                </c:pt>
                <c:pt idx="92">
                  <c:v>1420</c:v>
                </c:pt>
                <c:pt idx="93">
                  <c:v>1430</c:v>
                </c:pt>
                <c:pt idx="94">
                  <c:v>1440</c:v>
                </c:pt>
                <c:pt idx="95">
                  <c:v>1450</c:v>
                </c:pt>
                <c:pt idx="96">
                  <c:v>1460</c:v>
                </c:pt>
                <c:pt idx="97">
                  <c:v>1470</c:v>
                </c:pt>
                <c:pt idx="98">
                  <c:v>1480</c:v>
                </c:pt>
                <c:pt idx="99">
                  <c:v>1490</c:v>
                </c:pt>
                <c:pt idx="100">
                  <c:v>1500</c:v>
                </c:pt>
                <c:pt idx="101">
                  <c:v>1510</c:v>
                </c:pt>
                <c:pt idx="102">
                  <c:v>1520</c:v>
                </c:pt>
                <c:pt idx="103">
                  <c:v>1530</c:v>
                </c:pt>
                <c:pt idx="104">
                  <c:v>1540</c:v>
                </c:pt>
                <c:pt idx="105">
                  <c:v>1550</c:v>
                </c:pt>
                <c:pt idx="106">
                  <c:v>1560</c:v>
                </c:pt>
                <c:pt idx="107">
                  <c:v>1570</c:v>
                </c:pt>
                <c:pt idx="108">
                  <c:v>1580</c:v>
                </c:pt>
                <c:pt idx="109">
                  <c:v>1590</c:v>
                </c:pt>
                <c:pt idx="110">
                  <c:v>1600</c:v>
                </c:pt>
                <c:pt idx="111">
                  <c:v>1610</c:v>
                </c:pt>
                <c:pt idx="112">
                  <c:v>1620</c:v>
                </c:pt>
                <c:pt idx="113">
                  <c:v>1630</c:v>
                </c:pt>
                <c:pt idx="114">
                  <c:v>1640</c:v>
                </c:pt>
                <c:pt idx="115">
                  <c:v>1650</c:v>
                </c:pt>
                <c:pt idx="116">
                  <c:v>1660</c:v>
                </c:pt>
                <c:pt idx="117">
                  <c:v>1670</c:v>
                </c:pt>
                <c:pt idx="118">
                  <c:v>1680</c:v>
                </c:pt>
                <c:pt idx="119">
                  <c:v>1690</c:v>
                </c:pt>
                <c:pt idx="120">
                  <c:v>1700</c:v>
                </c:pt>
                <c:pt idx="121">
                  <c:v>1710</c:v>
                </c:pt>
                <c:pt idx="122">
                  <c:v>1720</c:v>
                </c:pt>
                <c:pt idx="123">
                  <c:v>1730</c:v>
                </c:pt>
                <c:pt idx="124">
                  <c:v>1740</c:v>
                </c:pt>
                <c:pt idx="125">
                  <c:v>1750</c:v>
                </c:pt>
                <c:pt idx="126">
                  <c:v>1760</c:v>
                </c:pt>
                <c:pt idx="127">
                  <c:v>1770</c:v>
                </c:pt>
                <c:pt idx="128">
                  <c:v>1780</c:v>
                </c:pt>
                <c:pt idx="129">
                  <c:v>1790</c:v>
                </c:pt>
                <c:pt idx="130">
                  <c:v>1800</c:v>
                </c:pt>
                <c:pt idx="131">
                  <c:v>1810</c:v>
                </c:pt>
                <c:pt idx="132">
                  <c:v>1820</c:v>
                </c:pt>
                <c:pt idx="133">
                  <c:v>1830</c:v>
                </c:pt>
                <c:pt idx="134">
                  <c:v>1840</c:v>
                </c:pt>
                <c:pt idx="135">
                  <c:v>1850</c:v>
                </c:pt>
                <c:pt idx="136">
                  <c:v>1860</c:v>
                </c:pt>
                <c:pt idx="137">
                  <c:v>1870</c:v>
                </c:pt>
                <c:pt idx="138">
                  <c:v>1880</c:v>
                </c:pt>
                <c:pt idx="139">
                  <c:v>1890</c:v>
                </c:pt>
                <c:pt idx="140">
                  <c:v>1900</c:v>
                </c:pt>
                <c:pt idx="141">
                  <c:v>1910</c:v>
                </c:pt>
                <c:pt idx="142">
                  <c:v>1920</c:v>
                </c:pt>
                <c:pt idx="143">
                  <c:v>1930</c:v>
                </c:pt>
                <c:pt idx="144">
                  <c:v>1940</c:v>
                </c:pt>
                <c:pt idx="145">
                  <c:v>1950</c:v>
                </c:pt>
                <c:pt idx="146">
                  <c:v>1960</c:v>
                </c:pt>
                <c:pt idx="147">
                  <c:v>1970</c:v>
                </c:pt>
                <c:pt idx="148">
                  <c:v>1980</c:v>
                </c:pt>
                <c:pt idx="149">
                  <c:v>1990</c:v>
                </c:pt>
                <c:pt idx="150">
                  <c:v>2000</c:v>
                </c:pt>
              </c:numCache>
            </c:numRef>
          </c:cat>
          <c:val>
            <c:numRef>
              <c:f>Triangular!$E$6:$E$156</c:f>
              <c:numCache>
                <c:formatCode>0%</c:formatCode>
                <c:ptCount val="151"/>
                <c:pt idx="0">
                  <c:v>0</c:v>
                </c:pt>
                <c:pt idx="1">
                  <c:v>1.1111111111111112E-5</c:v>
                </c:pt>
                <c:pt idx="2">
                  <c:v>2.2222222222222223E-5</c:v>
                </c:pt>
                <c:pt idx="3">
                  <c:v>3.3333333333333335E-5</c:v>
                </c:pt>
                <c:pt idx="4">
                  <c:v>4.4444444444444447E-5</c:v>
                </c:pt>
                <c:pt idx="5">
                  <c:v>5.5555555555555558E-5</c:v>
                </c:pt>
                <c:pt idx="6">
                  <c:v>6.666666666666667E-5</c:v>
                </c:pt>
                <c:pt idx="7">
                  <c:v>7.7777777777777782E-5</c:v>
                </c:pt>
                <c:pt idx="8">
                  <c:v>8.8888888888888893E-5</c:v>
                </c:pt>
                <c:pt idx="9">
                  <c:v>1E-4</c:v>
                </c:pt>
                <c:pt idx="10">
                  <c:v>1.1111111111111112E-4</c:v>
                </c:pt>
                <c:pt idx="11">
                  <c:v>1.2222222222222221E-4</c:v>
                </c:pt>
                <c:pt idx="12">
                  <c:v>1.3333333333333334E-4</c:v>
                </c:pt>
                <c:pt idx="13">
                  <c:v>1.4444444444444444E-4</c:v>
                </c:pt>
                <c:pt idx="14">
                  <c:v>1.5555555555555556E-4</c:v>
                </c:pt>
                <c:pt idx="15">
                  <c:v>1.6666666666666666E-4</c:v>
                </c:pt>
                <c:pt idx="16">
                  <c:v>1.7777777777777779E-4</c:v>
                </c:pt>
                <c:pt idx="17">
                  <c:v>1.8888888888888888E-4</c:v>
                </c:pt>
                <c:pt idx="18">
                  <c:v>2.0000000000000001E-4</c:v>
                </c:pt>
                <c:pt idx="19">
                  <c:v>2.1111111111111111E-4</c:v>
                </c:pt>
                <c:pt idx="20">
                  <c:v>2.2222222222222223E-4</c:v>
                </c:pt>
                <c:pt idx="21">
                  <c:v>2.3333333333333333E-4</c:v>
                </c:pt>
                <c:pt idx="22">
                  <c:v>2.4444444444444443E-4</c:v>
                </c:pt>
                <c:pt idx="23">
                  <c:v>2.5555555555555558E-4</c:v>
                </c:pt>
                <c:pt idx="24">
                  <c:v>2.6666666666666668E-4</c:v>
                </c:pt>
                <c:pt idx="25">
                  <c:v>2.7777777777777778E-4</c:v>
                </c:pt>
                <c:pt idx="26">
                  <c:v>2.8888888888888888E-4</c:v>
                </c:pt>
                <c:pt idx="27">
                  <c:v>2.9999999999999997E-4</c:v>
                </c:pt>
                <c:pt idx="28">
                  <c:v>3.1111111111111113E-4</c:v>
                </c:pt>
                <c:pt idx="29">
                  <c:v>3.2222222222222222E-4</c:v>
                </c:pt>
                <c:pt idx="30">
                  <c:v>3.3333333333333332E-4</c:v>
                </c:pt>
                <c:pt idx="31">
                  <c:v>3.4444444444444442E-4</c:v>
                </c:pt>
                <c:pt idx="32">
                  <c:v>3.5555555555555557E-4</c:v>
                </c:pt>
                <c:pt idx="33">
                  <c:v>3.6666666666666667E-4</c:v>
                </c:pt>
                <c:pt idx="34">
                  <c:v>3.7777777777777777E-4</c:v>
                </c:pt>
                <c:pt idx="35">
                  <c:v>3.8888888888888887E-4</c:v>
                </c:pt>
                <c:pt idx="36">
                  <c:v>4.0000000000000002E-4</c:v>
                </c:pt>
                <c:pt idx="37">
                  <c:v>4.1111111111111112E-4</c:v>
                </c:pt>
                <c:pt idx="38">
                  <c:v>4.2222222222222222E-4</c:v>
                </c:pt>
                <c:pt idx="39">
                  <c:v>4.3333333333333331E-4</c:v>
                </c:pt>
                <c:pt idx="40">
                  <c:v>4.4444444444444447E-4</c:v>
                </c:pt>
                <c:pt idx="41">
                  <c:v>4.5555555555555556E-4</c:v>
                </c:pt>
                <c:pt idx="42">
                  <c:v>4.6666666666666666E-4</c:v>
                </c:pt>
                <c:pt idx="43">
                  <c:v>4.7777777777777776E-4</c:v>
                </c:pt>
                <c:pt idx="44">
                  <c:v>4.8888888888888886E-4</c:v>
                </c:pt>
                <c:pt idx="45">
                  <c:v>5.0000000000000001E-4</c:v>
                </c:pt>
                <c:pt idx="46">
                  <c:v>5.1111111111111116E-4</c:v>
                </c:pt>
                <c:pt idx="47">
                  <c:v>5.2222222222222221E-4</c:v>
                </c:pt>
                <c:pt idx="48">
                  <c:v>5.3333333333333336E-4</c:v>
                </c:pt>
                <c:pt idx="49">
                  <c:v>5.444444444444444E-4</c:v>
                </c:pt>
                <c:pt idx="50">
                  <c:v>5.5555555555555556E-4</c:v>
                </c:pt>
                <c:pt idx="51">
                  <c:v>5.6666666666666671E-4</c:v>
                </c:pt>
                <c:pt idx="52">
                  <c:v>5.7777777777777775E-4</c:v>
                </c:pt>
                <c:pt idx="53">
                  <c:v>5.888888888888889E-4</c:v>
                </c:pt>
                <c:pt idx="54">
                  <c:v>5.9999999999999995E-4</c:v>
                </c:pt>
                <c:pt idx="55">
                  <c:v>6.111111111111111E-4</c:v>
                </c:pt>
                <c:pt idx="56">
                  <c:v>6.2222222222222225E-4</c:v>
                </c:pt>
                <c:pt idx="57">
                  <c:v>6.333333333333333E-4</c:v>
                </c:pt>
                <c:pt idx="58">
                  <c:v>6.4444444444444445E-4</c:v>
                </c:pt>
                <c:pt idx="59">
                  <c:v>6.555555555555556E-4</c:v>
                </c:pt>
                <c:pt idx="60">
                  <c:v>6.6666666666666664E-4</c:v>
                </c:pt>
                <c:pt idx="61">
                  <c:v>6.777777777777778E-4</c:v>
                </c:pt>
                <c:pt idx="62">
                  <c:v>6.8888888888888884E-4</c:v>
                </c:pt>
                <c:pt idx="63">
                  <c:v>6.9999999999999999E-4</c:v>
                </c:pt>
                <c:pt idx="64">
                  <c:v>7.1111111111111115E-4</c:v>
                </c:pt>
                <c:pt idx="65">
                  <c:v>7.2222222222222219E-4</c:v>
                </c:pt>
                <c:pt idx="66">
                  <c:v>7.3333333333333334E-4</c:v>
                </c:pt>
                <c:pt idx="67">
                  <c:v>7.4444444444444449E-4</c:v>
                </c:pt>
                <c:pt idx="68">
                  <c:v>7.5555555555555554E-4</c:v>
                </c:pt>
                <c:pt idx="69">
                  <c:v>7.6666666666666669E-4</c:v>
                </c:pt>
                <c:pt idx="70">
                  <c:v>7.7777777777777773E-4</c:v>
                </c:pt>
                <c:pt idx="71">
                  <c:v>7.8888888888888889E-4</c:v>
                </c:pt>
                <c:pt idx="72">
                  <c:v>8.0000000000000004E-4</c:v>
                </c:pt>
                <c:pt idx="73">
                  <c:v>8.1111111111111108E-4</c:v>
                </c:pt>
                <c:pt idx="74">
                  <c:v>8.2222222222222223E-4</c:v>
                </c:pt>
                <c:pt idx="75">
                  <c:v>8.3333333333333339E-4</c:v>
                </c:pt>
                <c:pt idx="76">
                  <c:v>8.4444444444444443E-4</c:v>
                </c:pt>
                <c:pt idx="77">
                  <c:v>8.5555555555555558E-4</c:v>
                </c:pt>
                <c:pt idx="78">
                  <c:v>8.6666666666666663E-4</c:v>
                </c:pt>
                <c:pt idx="79">
                  <c:v>8.7777777777777778E-4</c:v>
                </c:pt>
                <c:pt idx="80">
                  <c:v>8.8888888888888893E-4</c:v>
                </c:pt>
                <c:pt idx="81">
                  <c:v>8.9999999999999998E-4</c:v>
                </c:pt>
                <c:pt idx="82">
                  <c:v>9.1111111111111113E-4</c:v>
                </c:pt>
                <c:pt idx="83">
                  <c:v>9.2222222222222217E-4</c:v>
                </c:pt>
                <c:pt idx="84">
                  <c:v>9.3333333333333332E-4</c:v>
                </c:pt>
                <c:pt idx="85">
                  <c:v>9.4444444444444448E-4</c:v>
                </c:pt>
                <c:pt idx="86">
                  <c:v>9.5555555555555552E-4</c:v>
                </c:pt>
                <c:pt idx="87">
                  <c:v>9.6666666666666667E-4</c:v>
                </c:pt>
                <c:pt idx="88">
                  <c:v>9.7777777777777772E-4</c:v>
                </c:pt>
                <c:pt idx="89">
                  <c:v>9.8888888888888898E-4</c:v>
                </c:pt>
                <c:pt idx="90">
                  <c:v>1E-3</c:v>
                </c:pt>
                <c:pt idx="91">
                  <c:v>1.0111111111111111E-3</c:v>
                </c:pt>
                <c:pt idx="92">
                  <c:v>1.0222222222222223E-3</c:v>
                </c:pt>
                <c:pt idx="93">
                  <c:v>1.0333333333333334E-3</c:v>
                </c:pt>
                <c:pt idx="94">
                  <c:v>1.0444444444444444E-3</c:v>
                </c:pt>
                <c:pt idx="95">
                  <c:v>1.0555555555555555E-3</c:v>
                </c:pt>
                <c:pt idx="96">
                  <c:v>1.0666666666666667E-3</c:v>
                </c:pt>
                <c:pt idx="97">
                  <c:v>1.0777777777777778E-3</c:v>
                </c:pt>
                <c:pt idx="98">
                  <c:v>1.0888888888888888E-3</c:v>
                </c:pt>
                <c:pt idx="99">
                  <c:v>1.1000000000000001E-3</c:v>
                </c:pt>
                <c:pt idx="100">
                  <c:v>1.1111111111111111E-3</c:v>
                </c:pt>
                <c:pt idx="101">
                  <c:v>1.1222222222222222E-3</c:v>
                </c:pt>
                <c:pt idx="102">
                  <c:v>1.1333333333333334E-3</c:v>
                </c:pt>
                <c:pt idx="103">
                  <c:v>1.1444444444444445E-3</c:v>
                </c:pt>
                <c:pt idx="104">
                  <c:v>1.1555555555555555E-3</c:v>
                </c:pt>
                <c:pt idx="105">
                  <c:v>1.1666666666666668E-3</c:v>
                </c:pt>
                <c:pt idx="106">
                  <c:v>1.1777777777777778E-3</c:v>
                </c:pt>
                <c:pt idx="107">
                  <c:v>1.1888888888888889E-3</c:v>
                </c:pt>
                <c:pt idx="108">
                  <c:v>1.1999999999999999E-3</c:v>
                </c:pt>
                <c:pt idx="109">
                  <c:v>1.2111111111111112E-3</c:v>
                </c:pt>
                <c:pt idx="110">
                  <c:v>1.2222222222222222E-3</c:v>
                </c:pt>
                <c:pt idx="111">
                  <c:v>1.2333333333333332E-3</c:v>
                </c:pt>
                <c:pt idx="112">
                  <c:v>1.2444444444444445E-3</c:v>
                </c:pt>
                <c:pt idx="113">
                  <c:v>1.2555555555555555E-3</c:v>
                </c:pt>
                <c:pt idx="114">
                  <c:v>1.2666666666666666E-3</c:v>
                </c:pt>
                <c:pt idx="115">
                  <c:v>1.2777777777777779E-3</c:v>
                </c:pt>
                <c:pt idx="116">
                  <c:v>1.2888888888888889E-3</c:v>
                </c:pt>
                <c:pt idx="117">
                  <c:v>1.2999999999999999E-3</c:v>
                </c:pt>
                <c:pt idx="118">
                  <c:v>1.3111111111111112E-3</c:v>
                </c:pt>
                <c:pt idx="119">
                  <c:v>1.3222222222222222E-3</c:v>
                </c:pt>
                <c:pt idx="120">
                  <c:v>1.3333333333333333E-3</c:v>
                </c:pt>
                <c:pt idx="121">
                  <c:v>1.2888888888888889E-3</c:v>
                </c:pt>
                <c:pt idx="122">
                  <c:v>1.2444444444444445E-3</c:v>
                </c:pt>
                <c:pt idx="123">
                  <c:v>1.1999999999999999E-3</c:v>
                </c:pt>
                <c:pt idx="124">
                  <c:v>1.1555555555555555E-3</c:v>
                </c:pt>
                <c:pt idx="125">
                  <c:v>1.1111111111111111E-3</c:v>
                </c:pt>
                <c:pt idx="126">
                  <c:v>1.0666666666666667E-3</c:v>
                </c:pt>
                <c:pt idx="127">
                  <c:v>1.0222222222222223E-3</c:v>
                </c:pt>
                <c:pt idx="128">
                  <c:v>9.7777777777777772E-4</c:v>
                </c:pt>
                <c:pt idx="129">
                  <c:v>9.3333333333333332E-4</c:v>
                </c:pt>
                <c:pt idx="130">
                  <c:v>8.8888888888888893E-4</c:v>
                </c:pt>
                <c:pt idx="131">
                  <c:v>8.4444444444444443E-4</c:v>
                </c:pt>
                <c:pt idx="132">
                  <c:v>8.0000000000000004E-4</c:v>
                </c:pt>
                <c:pt idx="133">
                  <c:v>7.5555555555555554E-4</c:v>
                </c:pt>
                <c:pt idx="134">
                  <c:v>7.1111111111111115E-4</c:v>
                </c:pt>
                <c:pt idx="135">
                  <c:v>6.6666666666666664E-4</c:v>
                </c:pt>
                <c:pt idx="136">
                  <c:v>6.2222222222222225E-4</c:v>
                </c:pt>
                <c:pt idx="137">
                  <c:v>5.7777777777777775E-4</c:v>
                </c:pt>
                <c:pt idx="138">
                  <c:v>5.3333333333333336E-4</c:v>
                </c:pt>
                <c:pt idx="139">
                  <c:v>4.8888888888888886E-4</c:v>
                </c:pt>
                <c:pt idx="140">
                  <c:v>4.4444444444444447E-4</c:v>
                </c:pt>
                <c:pt idx="141">
                  <c:v>4.0000000000000002E-4</c:v>
                </c:pt>
                <c:pt idx="142">
                  <c:v>3.5555555555555557E-4</c:v>
                </c:pt>
                <c:pt idx="143">
                  <c:v>3.1111111111111113E-4</c:v>
                </c:pt>
                <c:pt idx="144">
                  <c:v>2.6666666666666668E-4</c:v>
                </c:pt>
                <c:pt idx="145">
                  <c:v>2.2222222222222223E-4</c:v>
                </c:pt>
                <c:pt idx="146">
                  <c:v>1.7777777777777779E-4</c:v>
                </c:pt>
                <c:pt idx="147">
                  <c:v>1.3333333333333334E-4</c:v>
                </c:pt>
                <c:pt idx="148">
                  <c:v>8.8888888888888893E-5</c:v>
                </c:pt>
                <c:pt idx="149">
                  <c:v>4.4444444444444447E-5</c:v>
                </c:pt>
                <c:pt idx="1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03-4A7A-8626-EF95FC325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588575"/>
        <c:axId val="1810579423"/>
      </c:lineChart>
      <c:catAx>
        <c:axId val="181058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10579423"/>
        <c:crosses val="autoZero"/>
        <c:auto val="1"/>
        <c:lblAlgn val="ctr"/>
        <c:lblOffset val="100"/>
        <c:noMultiLvlLbl val="0"/>
      </c:catAx>
      <c:valAx>
        <c:axId val="181057942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1058857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'Uniforme continua'!$B$4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'Uniforme continua'!$A$5:$A$15</c:f>
              <c:numCache>
                <c:formatCode>General</c:formatCode>
                <c:ptCount val="1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</c:numCache>
            </c:numRef>
          </c:cat>
          <c:val>
            <c:numRef>
              <c:f>'Uniforme continua'!$B$5:$B$15</c:f>
              <c:numCache>
                <c:formatCode>0.000%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E6-48ED-A810-AA8DA6AFC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385315664"/>
        <c:axId val="1385316080"/>
      </c:barChart>
      <c:catAx>
        <c:axId val="138531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385316080"/>
        <c:crosses val="autoZero"/>
        <c:auto val="1"/>
        <c:lblAlgn val="ctr"/>
        <c:lblOffset val="100"/>
        <c:noMultiLvlLbl val="0"/>
      </c:catAx>
      <c:valAx>
        <c:axId val="1385316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38531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'Uniforme continua'!$C$4</c:f>
              <c:strCache>
                <c:ptCount val="1"/>
                <c:pt idx="0">
                  <c:v>F(x)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numRef>
              <c:f>'Uniforme continua'!$A$5:$A$15</c:f>
              <c:numCache>
                <c:formatCode>General</c:formatCode>
                <c:ptCount val="1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</c:numCache>
            </c:numRef>
          </c:cat>
          <c:val>
            <c:numRef>
              <c:f>'Uniforme continua'!$C$5:$C$15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9-4CEA-8911-4399EF19F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315664"/>
        <c:axId val="1385316080"/>
      </c:lineChart>
      <c:catAx>
        <c:axId val="138531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385316080"/>
        <c:crosses val="autoZero"/>
        <c:auto val="1"/>
        <c:lblAlgn val="ctr"/>
        <c:lblOffset val="100"/>
        <c:noMultiLvlLbl val="0"/>
      </c:catAx>
      <c:valAx>
        <c:axId val="1385316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38531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Lognormal!$C$6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Lognormal!$B$7:$B$595</c:f>
              <c:numCache>
                <c:formatCode>0.0</c:formatCode>
                <c:ptCount val="589"/>
                <c:pt idx="0">
                  <c:v>0.01</c:v>
                </c:pt>
                <c:pt idx="1">
                  <c:v>1.0999999999999999E-2</c:v>
                </c:pt>
                <c:pt idx="2">
                  <c:v>1.2E-2</c:v>
                </c:pt>
                <c:pt idx="3">
                  <c:v>1.3000000000000001E-2</c:v>
                </c:pt>
                <c:pt idx="4">
                  <c:v>1.4000000000000002E-2</c:v>
                </c:pt>
                <c:pt idx="5">
                  <c:v>1.5000000000000003E-2</c:v>
                </c:pt>
                <c:pt idx="6">
                  <c:v>1.6000000000000004E-2</c:v>
                </c:pt>
                <c:pt idx="7">
                  <c:v>1.7000000000000005E-2</c:v>
                </c:pt>
                <c:pt idx="8">
                  <c:v>1.8000000000000006E-2</c:v>
                </c:pt>
                <c:pt idx="9">
                  <c:v>1.9000000000000006E-2</c:v>
                </c:pt>
                <c:pt idx="10">
                  <c:v>2.0000000000000007E-2</c:v>
                </c:pt>
                <c:pt idx="11">
                  <c:v>2.1000000000000008E-2</c:v>
                </c:pt>
                <c:pt idx="12">
                  <c:v>2.2000000000000009E-2</c:v>
                </c:pt>
                <c:pt idx="13">
                  <c:v>2.300000000000001E-2</c:v>
                </c:pt>
                <c:pt idx="14">
                  <c:v>2.4000000000000011E-2</c:v>
                </c:pt>
                <c:pt idx="15">
                  <c:v>2.5000000000000012E-2</c:v>
                </c:pt>
                <c:pt idx="16">
                  <c:v>0.12500000000000003</c:v>
                </c:pt>
                <c:pt idx="17">
                  <c:v>0.22500000000000003</c:v>
                </c:pt>
                <c:pt idx="18">
                  <c:v>0.32500000000000007</c:v>
                </c:pt>
                <c:pt idx="19">
                  <c:v>0.42500000000000004</c:v>
                </c:pt>
                <c:pt idx="20">
                  <c:v>0.52500000000000002</c:v>
                </c:pt>
                <c:pt idx="21">
                  <c:v>0.625</c:v>
                </c:pt>
                <c:pt idx="22">
                  <c:v>0.72499999999999998</c:v>
                </c:pt>
                <c:pt idx="23">
                  <c:v>0.82499999999999996</c:v>
                </c:pt>
                <c:pt idx="24">
                  <c:v>0.92499999999999993</c:v>
                </c:pt>
                <c:pt idx="25">
                  <c:v>1.0249999999999999</c:v>
                </c:pt>
                <c:pt idx="26">
                  <c:v>1.125</c:v>
                </c:pt>
                <c:pt idx="27">
                  <c:v>1.2250000000000001</c:v>
                </c:pt>
                <c:pt idx="28">
                  <c:v>1.3250000000000002</c:v>
                </c:pt>
                <c:pt idx="29">
                  <c:v>1.4250000000000003</c:v>
                </c:pt>
                <c:pt idx="30">
                  <c:v>1.5250000000000004</c:v>
                </c:pt>
                <c:pt idx="31">
                  <c:v>1.6250000000000004</c:v>
                </c:pt>
                <c:pt idx="32">
                  <c:v>1.7250000000000005</c:v>
                </c:pt>
                <c:pt idx="33">
                  <c:v>1.8250000000000006</c:v>
                </c:pt>
                <c:pt idx="34">
                  <c:v>1.9250000000000007</c:v>
                </c:pt>
                <c:pt idx="35">
                  <c:v>2.0250000000000008</c:v>
                </c:pt>
                <c:pt idx="36">
                  <c:v>2.1250000000000009</c:v>
                </c:pt>
                <c:pt idx="37">
                  <c:v>2.225000000000001</c:v>
                </c:pt>
                <c:pt idx="38">
                  <c:v>2.3250000000000011</c:v>
                </c:pt>
                <c:pt idx="39">
                  <c:v>2.4250000000000012</c:v>
                </c:pt>
                <c:pt idx="40">
                  <c:v>2.5250000000000012</c:v>
                </c:pt>
                <c:pt idx="41">
                  <c:v>2.6250000000000013</c:v>
                </c:pt>
                <c:pt idx="42">
                  <c:v>2.7250000000000014</c:v>
                </c:pt>
                <c:pt idx="43">
                  <c:v>2.8250000000000015</c:v>
                </c:pt>
                <c:pt idx="44">
                  <c:v>2.9250000000000016</c:v>
                </c:pt>
                <c:pt idx="45">
                  <c:v>3.0250000000000017</c:v>
                </c:pt>
                <c:pt idx="46">
                  <c:v>3.1250000000000018</c:v>
                </c:pt>
                <c:pt idx="47">
                  <c:v>3.2250000000000019</c:v>
                </c:pt>
                <c:pt idx="48">
                  <c:v>3.325000000000002</c:v>
                </c:pt>
                <c:pt idx="49">
                  <c:v>3.425000000000002</c:v>
                </c:pt>
                <c:pt idx="50">
                  <c:v>3.5250000000000021</c:v>
                </c:pt>
                <c:pt idx="51">
                  <c:v>3.6250000000000022</c:v>
                </c:pt>
                <c:pt idx="52">
                  <c:v>3.7250000000000023</c:v>
                </c:pt>
                <c:pt idx="53">
                  <c:v>3.8250000000000024</c:v>
                </c:pt>
                <c:pt idx="54">
                  <c:v>3.9250000000000025</c:v>
                </c:pt>
                <c:pt idx="55">
                  <c:v>4.0250000000000021</c:v>
                </c:pt>
                <c:pt idx="56">
                  <c:v>4.1250000000000018</c:v>
                </c:pt>
                <c:pt idx="57">
                  <c:v>4.2250000000000014</c:v>
                </c:pt>
                <c:pt idx="58">
                  <c:v>4.3250000000000011</c:v>
                </c:pt>
                <c:pt idx="59">
                  <c:v>4.4250000000000007</c:v>
                </c:pt>
                <c:pt idx="60">
                  <c:v>4.5250000000000004</c:v>
                </c:pt>
                <c:pt idx="61">
                  <c:v>4.625</c:v>
                </c:pt>
                <c:pt idx="62">
                  <c:v>4.7249999999999996</c:v>
                </c:pt>
                <c:pt idx="63">
                  <c:v>4.8249999999999993</c:v>
                </c:pt>
                <c:pt idx="64">
                  <c:v>4.9249999999999989</c:v>
                </c:pt>
                <c:pt idx="65">
                  <c:v>5.0249999999999986</c:v>
                </c:pt>
                <c:pt idx="66">
                  <c:v>5.1249999999999982</c:v>
                </c:pt>
                <c:pt idx="67">
                  <c:v>5.2249999999999979</c:v>
                </c:pt>
                <c:pt idx="68">
                  <c:v>5.3249999999999975</c:v>
                </c:pt>
                <c:pt idx="69">
                  <c:v>5.4249999999999972</c:v>
                </c:pt>
                <c:pt idx="70">
                  <c:v>5.5249999999999968</c:v>
                </c:pt>
                <c:pt idx="71">
                  <c:v>5.6249999999999964</c:v>
                </c:pt>
                <c:pt idx="72">
                  <c:v>5.7249999999999961</c:v>
                </c:pt>
                <c:pt idx="73">
                  <c:v>5.8249999999999957</c:v>
                </c:pt>
                <c:pt idx="74">
                  <c:v>5.9249999999999954</c:v>
                </c:pt>
                <c:pt idx="75">
                  <c:v>6.024999999999995</c:v>
                </c:pt>
                <c:pt idx="76">
                  <c:v>6.1249999999999947</c:v>
                </c:pt>
                <c:pt idx="77">
                  <c:v>6.2249999999999943</c:v>
                </c:pt>
                <c:pt idx="78">
                  <c:v>6.324999999999994</c:v>
                </c:pt>
                <c:pt idx="79">
                  <c:v>6.4249999999999936</c:v>
                </c:pt>
                <c:pt idx="80">
                  <c:v>6.5249999999999932</c:v>
                </c:pt>
                <c:pt idx="81">
                  <c:v>6.6249999999999929</c:v>
                </c:pt>
                <c:pt idx="82">
                  <c:v>6.7249999999999925</c:v>
                </c:pt>
                <c:pt idx="83">
                  <c:v>6.8249999999999922</c:v>
                </c:pt>
                <c:pt idx="84">
                  <c:v>6.9249999999999918</c:v>
                </c:pt>
                <c:pt idx="85">
                  <c:v>7.0249999999999915</c:v>
                </c:pt>
                <c:pt idx="86">
                  <c:v>7.1249999999999911</c:v>
                </c:pt>
                <c:pt idx="87">
                  <c:v>7.2249999999999908</c:v>
                </c:pt>
                <c:pt idx="88">
                  <c:v>7.3249999999999904</c:v>
                </c:pt>
                <c:pt idx="89">
                  <c:v>7.4249999999999901</c:v>
                </c:pt>
                <c:pt idx="90">
                  <c:v>7.5249999999999897</c:v>
                </c:pt>
                <c:pt idx="91">
                  <c:v>7.6249999999999893</c:v>
                </c:pt>
                <c:pt idx="92">
                  <c:v>7.724999999999989</c:v>
                </c:pt>
                <c:pt idx="93">
                  <c:v>7.8249999999999886</c:v>
                </c:pt>
                <c:pt idx="94">
                  <c:v>7.9249999999999883</c:v>
                </c:pt>
                <c:pt idx="95">
                  <c:v>8.0249999999999879</c:v>
                </c:pt>
                <c:pt idx="96">
                  <c:v>8.1249999999999876</c:v>
                </c:pt>
                <c:pt idx="97">
                  <c:v>8.2249999999999872</c:v>
                </c:pt>
                <c:pt idx="98">
                  <c:v>8.3249999999999869</c:v>
                </c:pt>
                <c:pt idx="99">
                  <c:v>8.4249999999999865</c:v>
                </c:pt>
                <c:pt idx="100">
                  <c:v>8.5249999999999861</c:v>
                </c:pt>
                <c:pt idx="101">
                  <c:v>8.6249999999999858</c:v>
                </c:pt>
                <c:pt idx="102">
                  <c:v>8.7249999999999854</c:v>
                </c:pt>
                <c:pt idx="103">
                  <c:v>8.8249999999999851</c:v>
                </c:pt>
                <c:pt idx="104">
                  <c:v>8.9249999999999847</c:v>
                </c:pt>
                <c:pt idx="105">
                  <c:v>9.0249999999999844</c:v>
                </c:pt>
                <c:pt idx="106">
                  <c:v>9.124999999999984</c:v>
                </c:pt>
                <c:pt idx="107">
                  <c:v>9.2249999999999837</c:v>
                </c:pt>
                <c:pt idx="108">
                  <c:v>9.3249999999999833</c:v>
                </c:pt>
                <c:pt idx="109">
                  <c:v>9.4249999999999829</c:v>
                </c:pt>
                <c:pt idx="110">
                  <c:v>9.5249999999999826</c:v>
                </c:pt>
                <c:pt idx="111">
                  <c:v>9.6249999999999822</c:v>
                </c:pt>
                <c:pt idx="112">
                  <c:v>9.7249999999999819</c:v>
                </c:pt>
                <c:pt idx="113">
                  <c:v>9.8249999999999815</c:v>
                </c:pt>
                <c:pt idx="114">
                  <c:v>9.9249999999999812</c:v>
                </c:pt>
                <c:pt idx="115">
                  <c:v>10.024999999999981</c:v>
                </c:pt>
                <c:pt idx="116">
                  <c:v>10.12499999999998</c:v>
                </c:pt>
                <c:pt idx="117">
                  <c:v>10.22499999999998</c:v>
                </c:pt>
                <c:pt idx="118">
                  <c:v>10.32499999999998</c:v>
                </c:pt>
                <c:pt idx="119">
                  <c:v>10.424999999999979</c:v>
                </c:pt>
                <c:pt idx="120">
                  <c:v>10.524999999999979</c:v>
                </c:pt>
                <c:pt idx="121">
                  <c:v>10.624999999999979</c:v>
                </c:pt>
                <c:pt idx="122">
                  <c:v>10.724999999999978</c:v>
                </c:pt>
                <c:pt idx="123">
                  <c:v>10.824999999999978</c:v>
                </c:pt>
                <c:pt idx="124">
                  <c:v>10.924999999999978</c:v>
                </c:pt>
                <c:pt idx="125">
                  <c:v>11.024999999999977</c:v>
                </c:pt>
                <c:pt idx="126">
                  <c:v>11.124999999999977</c:v>
                </c:pt>
                <c:pt idx="127">
                  <c:v>11.224999999999977</c:v>
                </c:pt>
                <c:pt idx="128">
                  <c:v>11.324999999999976</c:v>
                </c:pt>
                <c:pt idx="129">
                  <c:v>11.424999999999976</c:v>
                </c:pt>
                <c:pt idx="130">
                  <c:v>11.524999999999975</c:v>
                </c:pt>
                <c:pt idx="131">
                  <c:v>11.624999999999975</c:v>
                </c:pt>
                <c:pt idx="132">
                  <c:v>11.724999999999975</c:v>
                </c:pt>
                <c:pt idx="133">
                  <c:v>11.824999999999974</c:v>
                </c:pt>
                <c:pt idx="134">
                  <c:v>11.924999999999974</c:v>
                </c:pt>
                <c:pt idx="135">
                  <c:v>12.024999999999974</c:v>
                </c:pt>
                <c:pt idx="136">
                  <c:v>12.124999999999973</c:v>
                </c:pt>
                <c:pt idx="137">
                  <c:v>12.224999999999973</c:v>
                </c:pt>
                <c:pt idx="138">
                  <c:v>12.324999999999973</c:v>
                </c:pt>
                <c:pt idx="139">
                  <c:v>12.424999999999972</c:v>
                </c:pt>
                <c:pt idx="140">
                  <c:v>12.524999999999972</c:v>
                </c:pt>
                <c:pt idx="141">
                  <c:v>12.624999999999972</c:v>
                </c:pt>
                <c:pt idx="142">
                  <c:v>12.724999999999971</c:v>
                </c:pt>
                <c:pt idx="143">
                  <c:v>12.824999999999971</c:v>
                </c:pt>
                <c:pt idx="144">
                  <c:v>12.924999999999971</c:v>
                </c:pt>
                <c:pt idx="145">
                  <c:v>13.02499999999997</c:v>
                </c:pt>
                <c:pt idx="146">
                  <c:v>13.12499999999997</c:v>
                </c:pt>
                <c:pt idx="147">
                  <c:v>13.224999999999969</c:v>
                </c:pt>
                <c:pt idx="148">
                  <c:v>13.324999999999969</c:v>
                </c:pt>
                <c:pt idx="149">
                  <c:v>13.424999999999969</c:v>
                </c:pt>
                <c:pt idx="150">
                  <c:v>13.524999999999968</c:v>
                </c:pt>
                <c:pt idx="151">
                  <c:v>13.624999999999968</c:v>
                </c:pt>
                <c:pt idx="152">
                  <c:v>13.724999999999968</c:v>
                </c:pt>
                <c:pt idx="153">
                  <c:v>13.824999999999967</c:v>
                </c:pt>
                <c:pt idx="154">
                  <c:v>13.924999999999967</c:v>
                </c:pt>
                <c:pt idx="155">
                  <c:v>14.024999999999967</c:v>
                </c:pt>
                <c:pt idx="156">
                  <c:v>14.124999999999966</c:v>
                </c:pt>
                <c:pt idx="157">
                  <c:v>14.224999999999966</c:v>
                </c:pt>
                <c:pt idx="158">
                  <c:v>14.324999999999966</c:v>
                </c:pt>
                <c:pt idx="159">
                  <c:v>14.424999999999965</c:v>
                </c:pt>
                <c:pt idx="160">
                  <c:v>14.524999999999965</c:v>
                </c:pt>
                <c:pt idx="161">
                  <c:v>14.624999999999964</c:v>
                </c:pt>
                <c:pt idx="162">
                  <c:v>14.724999999999964</c:v>
                </c:pt>
                <c:pt idx="163">
                  <c:v>14.824999999999964</c:v>
                </c:pt>
                <c:pt idx="164">
                  <c:v>14.924999999999963</c:v>
                </c:pt>
                <c:pt idx="165">
                  <c:v>15.024999999999963</c:v>
                </c:pt>
                <c:pt idx="166">
                  <c:v>15.124999999999963</c:v>
                </c:pt>
                <c:pt idx="167">
                  <c:v>15.224999999999962</c:v>
                </c:pt>
                <c:pt idx="168">
                  <c:v>15.324999999999962</c:v>
                </c:pt>
                <c:pt idx="169">
                  <c:v>15.424999999999962</c:v>
                </c:pt>
                <c:pt idx="170">
                  <c:v>15.524999999999961</c:v>
                </c:pt>
                <c:pt idx="171">
                  <c:v>15.624999999999961</c:v>
                </c:pt>
                <c:pt idx="172">
                  <c:v>15.724999999999961</c:v>
                </c:pt>
                <c:pt idx="173">
                  <c:v>15.82499999999996</c:v>
                </c:pt>
                <c:pt idx="174">
                  <c:v>15.92499999999996</c:v>
                </c:pt>
                <c:pt idx="175">
                  <c:v>16.024999999999959</c:v>
                </c:pt>
                <c:pt idx="176">
                  <c:v>16.124999999999961</c:v>
                </c:pt>
                <c:pt idx="177">
                  <c:v>16.224999999999962</c:v>
                </c:pt>
                <c:pt idx="178">
                  <c:v>16.324999999999964</c:v>
                </c:pt>
                <c:pt idx="179">
                  <c:v>16.424999999999965</c:v>
                </c:pt>
                <c:pt idx="180">
                  <c:v>16.524999999999967</c:v>
                </c:pt>
                <c:pt idx="181">
                  <c:v>16.624999999999968</c:v>
                </c:pt>
                <c:pt idx="182">
                  <c:v>16.724999999999969</c:v>
                </c:pt>
                <c:pt idx="183">
                  <c:v>16.824999999999971</c:v>
                </c:pt>
                <c:pt idx="184">
                  <c:v>16.924999999999972</c:v>
                </c:pt>
                <c:pt idx="185">
                  <c:v>17.024999999999974</c:v>
                </c:pt>
                <c:pt idx="186">
                  <c:v>17.124999999999975</c:v>
                </c:pt>
                <c:pt idx="187">
                  <c:v>17.224999999999977</c:v>
                </c:pt>
                <c:pt idx="188">
                  <c:v>17.324999999999978</c:v>
                </c:pt>
                <c:pt idx="189">
                  <c:v>17.424999999999979</c:v>
                </c:pt>
                <c:pt idx="190">
                  <c:v>17.524999999999981</c:v>
                </c:pt>
                <c:pt idx="191">
                  <c:v>17.624999999999982</c:v>
                </c:pt>
                <c:pt idx="192">
                  <c:v>17.724999999999984</c:v>
                </c:pt>
                <c:pt idx="193">
                  <c:v>17.824999999999985</c:v>
                </c:pt>
                <c:pt idx="194">
                  <c:v>17.924999999999986</c:v>
                </c:pt>
                <c:pt idx="195">
                  <c:v>18.024999999999988</c:v>
                </c:pt>
                <c:pt idx="196">
                  <c:v>18.124999999999989</c:v>
                </c:pt>
                <c:pt idx="197">
                  <c:v>18.224999999999991</c:v>
                </c:pt>
                <c:pt idx="198">
                  <c:v>18.324999999999992</c:v>
                </c:pt>
                <c:pt idx="199">
                  <c:v>18.424999999999994</c:v>
                </c:pt>
                <c:pt idx="200">
                  <c:v>18.524999999999995</c:v>
                </c:pt>
                <c:pt idx="201">
                  <c:v>18.624999999999996</c:v>
                </c:pt>
                <c:pt idx="202">
                  <c:v>18.724999999999998</c:v>
                </c:pt>
                <c:pt idx="203">
                  <c:v>18.824999999999999</c:v>
                </c:pt>
                <c:pt idx="204">
                  <c:v>18.925000000000001</c:v>
                </c:pt>
                <c:pt idx="205">
                  <c:v>19.025000000000002</c:v>
                </c:pt>
                <c:pt idx="206">
                  <c:v>19.125000000000004</c:v>
                </c:pt>
                <c:pt idx="207">
                  <c:v>19.225000000000005</c:v>
                </c:pt>
                <c:pt idx="208">
                  <c:v>19.325000000000006</c:v>
                </c:pt>
                <c:pt idx="209">
                  <c:v>19.425000000000008</c:v>
                </c:pt>
                <c:pt idx="210">
                  <c:v>19.525000000000009</c:v>
                </c:pt>
                <c:pt idx="211">
                  <c:v>19.625000000000011</c:v>
                </c:pt>
                <c:pt idx="212">
                  <c:v>19.725000000000012</c:v>
                </c:pt>
                <c:pt idx="213">
                  <c:v>19.825000000000014</c:v>
                </c:pt>
                <c:pt idx="214">
                  <c:v>19.925000000000015</c:v>
                </c:pt>
                <c:pt idx="215">
                  <c:v>20.025000000000016</c:v>
                </c:pt>
                <c:pt idx="216">
                  <c:v>20.125000000000018</c:v>
                </c:pt>
                <c:pt idx="217">
                  <c:v>20.225000000000019</c:v>
                </c:pt>
                <c:pt idx="218">
                  <c:v>20.325000000000021</c:v>
                </c:pt>
                <c:pt idx="219">
                  <c:v>20.425000000000022</c:v>
                </c:pt>
                <c:pt idx="220">
                  <c:v>20.525000000000023</c:v>
                </c:pt>
                <c:pt idx="221">
                  <c:v>20.625000000000025</c:v>
                </c:pt>
                <c:pt idx="222">
                  <c:v>20.725000000000026</c:v>
                </c:pt>
                <c:pt idx="223">
                  <c:v>20.825000000000028</c:v>
                </c:pt>
                <c:pt idx="224">
                  <c:v>20.925000000000029</c:v>
                </c:pt>
                <c:pt idx="225">
                  <c:v>21.025000000000031</c:v>
                </c:pt>
                <c:pt idx="226">
                  <c:v>21.125000000000032</c:v>
                </c:pt>
                <c:pt idx="227">
                  <c:v>21.225000000000033</c:v>
                </c:pt>
                <c:pt idx="228">
                  <c:v>21.325000000000035</c:v>
                </c:pt>
                <c:pt idx="229">
                  <c:v>21.425000000000036</c:v>
                </c:pt>
                <c:pt idx="230">
                  <c:v>21.525000000000038</c:v>
                </c:pt>
                <c:pt idx="231">
                  <c:v>21.625000000000039</c:v>
                </c:pt>
                <c:pt idx="232">
                  <c:v>21.725000000000041</c:v>
                </c:pt>
                <c:pt idx="233">
                  <c:v>21.825000000000042</c:v>
                </c:pt>
                <c:pt idx="234">
                  <c:v>21.925000000000043</c:v>
                </c:pt>
                <c:pt idx="235">
                  <c:v>22.025000000000045</c:v>
                </c:pt>
                <c:pt idx="236">
                  <c:v>22.125000000000046</c:v>
                </c:pt>
                <c:pt idx="237">
                  <c:v>22.225000000000048</c:v>
                </c:pt>
                <c:pt idx="238">
                  <c:v>22.325000000000049</c:v>
                </c:pt>
                <c:pt idx="239">
                  <c:v>22.42500000000005</c:v>
                </c:pt>
                <c:pt idx="240">
                  <c:v>22.525000000000052</c:v>
                </c:pt>
                <c:pt idx="241">
                  <c:v>22.625000000000053</c:v>
                </c:pt>
                <c:pt idx="242">
                  <c:v>22.725000000000055</c:v>
                </c:pt>
                <c:pt idx="243">
                  <c:v>22.825000000000056</c:v>
                </c:pt>
                <c:pt idx="244">
                  <c:v>22.925000000000058</c:v>
                </c:pt>
                <c:pt idx="245">
                  <c:v>23.025000000000059</c:v>
                </c:pt>
                <c:pt idx="246">
                  <c:v>23.12500000000006</c:v>
                </c:pt>
                <c:pt idx="247">
                  <c:v>23.225000000000062</c:v>
                </c:pt>
                <c:pt idx="248">
                  <c:v>23.325000000000063</c:v>
                </c:pt>
                <c:pt idx="249">
                  <c:v>23.425000000000065</c:v>
                </c:pt>
                <c:pt idx="250">
                  <c:v>23.525000000000066</c:v>
                </c:pt>
                <c:pt idx="251">
                  <c:v>23.625000000000068</c:v>
                </c:pt>
                <c:pt idx="252">
                  <c:v>23.725000000000069</c:v>
                </c:pt>
                <c:pt idx="253">
                  <c:v>23.82500000000007</c:v>
                </c:pt>
                <c:pt idx="254">
                  <c:v>23.925000000000072</c:v>
                </c:pt>
                <c:pt idx="255">
                  <c:v>24.025000000000073</c:v>
                </c:pt>
                <c:pt idx="256">
                  <c:v>24.125000000000075</c:v>
                </c:pt>
                <c:pt idx="257">
                  <c:v>24.225000000000076</c:v>
                </c:pt>
                <c:pt idx="258">
                  <c:v>24.325000000000077</c:v>
                </c:pt>
                <c:pt idx="259">
                  <c:v>24.425000000000079</c:v>
                </c:pt>
                <c:pt idx="260">
                  <c:v>24.52500000000008</c:v>
                </c:pt>
                <c:pt idx="261">
                  <c:v>24.625000000000082</c:v>
                </c:pt>
                <c:pt idx="262">
                  <c:v>24.725000000000083</c:v>
                </c:pt>
                <c:pt idx="263">
                  <c:v>24.825000000000085</c:v>
                </c:pt>
                <c:pt idx="264">
                  <c:v>24.925000000000086</c:v>
                </c:pt>
                <c:pt idx="265">
                  <c:v>25.025000000000087</c:v>
                </c:pt>
                <c:pt idx="266">
                  <c:v>25.125000000000089</c:v>
                </c:pt>
                <c:pt idx="267">
                  <c:v>25.22500000000009</c:v>
                </c:pt>
                <c:pt idx="268">
                  <c:v>25.325000000000092</c:v>
                </c:pt>
                <c:pt idx="269">
                  <c:v>25.425000000000093</c:v>
                </c:pt>
                <c:pt idx="270">
                  <c:v>25.525000000000095</c:v>
                </c:pt>
                <c:pt idx="271">
                  <c:v>25.625000000000096</c:v>
                </c:pt>
                <c:pt idx="272">
                  <c:v>25.725000000000097</c:v>
                </c:pt>
                <c:pt idx="273">
                  <c:v>25.825000000000099</c:v>
                </c:pt>
                <c:pt idx="274">
                  <c:v>25.9250000000001</c:v>
                </c:pt>
                <c:pt idx="275">
                  <c:v>26.025000000000102</c:v>
                </c:pt>
                <c:pt idx="276">
                  <c:v>26.125000000000103</c:v>
                </c:pt>
                <c:pt idx="277">
                  <c:v>26.225000000000104</c:v>
                </c:pt>
                <c:pt idx="278">
                  <c:v>26.325000000000106</c:v>
                </c:pt>
                <c:pt idx="279">
                  <c:v>26.425000000000107</c:v>
                </c:pt>
                <c:pt idx="280">
                  <c:v>26.525000000000109</c:v>
                </c:pt>
                <c:pt idx="281">
                  <c:v>26.62500000000011</c:v>
                </c:pt>
                <c:pt idx="282">
                  <c:v>26.725000000000112</c:v>
                </c:pt>
                <c:pt idx="283">
                  <c:v>26.825000000000113</c:v>
                </c:pt>
                <c:pt idx="284">
                  <c:v>26.925000000000114</c:v>
                </c:pt>
                <c:pt idx="285">
                  <c:v>27.025000000000116</c:v>
                </c:pt>
                <c:pt idx="286">
                  <c:v>27.125000000000117</c:v>
                </c:pt>
                <c:pt idx="287">
                  <c:v>27.225000000000119</c:v>
                </c:pt>
                <c:pt idx="288">
                  <c:v>27.32500000000012</c:v>
                </c:pt>
                <c:pt idx="289">
                  <c:v>27.425000000000122</c:v>
                </c:pt>
                <c:pt idx="290">
                  <c:v>27.525000000000123</c:v>
                </c:pt>
                <c:pt idx="291">
                  <c:v>27.625000000000124</c:v>
                </c:pt>
                <c:pt idx="292">
                  <c:v>27.725000000000126</c:v>
                </c:pt>
                <c:pt idx="293">
                  <c:v>27.825000000000127</c:v>
                </c:pt>
                <c:pt idx="294">
                  <c:v>27.925000000000129</c:v>
                </c:pt>
                <c:pt idx="295">
                  <c:v>28.02500000000013</c:v>
                </c:pt>
                <c:pt idx="296">
                  <c:v>28.125000000000131</c:v>
                </c:pt>
                <c:pt idx="297">
                  <c:v>28.225000000000133</c:v>
                </c:pt>
                <c:pt idx="298">
                  <c:v>28.325000000000134</c:v>
                </c:pt>
                <c:pt idx="299">
                  <c:v>28.425000000000136</c:v>
                </c:pt>
                <c:pt idx="300">
                  <c:v>28.525000000000137</c:v>
                </c:pt>
                <c:pt idx="301">
                  <c:v>28.625000000000139</c:v>
                </c:pt>
                <c:pt idx="302">
                  <c:v>28.72500000000014</c:v>
                </c:pt>
                <c:pt idx="303">
                  <c:v>28.825000000000141</c:v>
                </c:pt>
                <c:pt idx="304">
                  <c:v>28.925000000000143</c:v>
                </c:pt>
                <c:pt idx="305">
                  <c:v>29.025000000000144</c:v>
                </c:pt>
                <c:pt idx="306">
                  <c:v>29.125000000000146</c:v>
                </c:pt>
                <c:pt idx="307">
                  <c:v>29.225000000000147</c:v>
                </c:pt>
                <c:pt idx="308">
                  <c:v>29.325000000000149</c:v>
                </c:pt>
                <c:pt idx="309">
                  <c:v>29.42500000000015</c:v>
                </c:pt>
                <c:pt idx="310">
                  <c:v>29.525000000000151</c:v>
                </c:pt>
                <c:pt idx="311">
                  <c:v>29.625000000000153</c:v>
                </c:pt>
                <c:pt idx="312">
                  <c:v>29.725000000000154</c:v>
                </c:pt>
                <c:pt idx="313">
                  <c:v>29.825000000000156</c:v>
                </c:pt>
                <c:pt idx="314">
                  <c:v>29.925000000000157</c:v>
                </c:pt>
                <c:pt idx="315">
                  <c:v>30.025000000000158</c:v>
                </c:pt>
                <c:pt idx="316">
                  <c:v>30.12500000000016</c:v>
                </c:pt>
                <c:pt idx="317">
                  <c:v>30.225000000000161</c:v>
                </c:pt>
                <c:pt idx="318">
                  <c:v>30.325000000000163</c:v>
                </c:pt>
                <c:pt idx="319">
                  <c:v>30.425000000000164</c:v>
                </c:pt>
                <c:pt idx="320">
                  <c:v>30.525000000000166</c:v>
                </c:pt>
                <c:pt idx="321">
                  <c:v>30.625000000000167</c:v>
                </c:pt>
                <c:pt idx="322">
                  <c:v>30.725000000000168</c:v>
                </c:pt>
                <c:pt idx="323">
                  <c:v>30.82500000000017</c:v>
                </c:pt>
                <c:pt idx="324">
                  <c:v>30.925000000000171</c:v>
                </c:pt>
                <c:pt idx="325">
                  <c:v>31.025000000000173</c:v>
                </c:pt>
                <c:pt idx="326">
                  <c:v>31.125000000000174</c:v>
                </c:pt>
                <c:pt idx="327">
                  <c:v>31.225000000000176</c:v>
                </c:pt>
                <c:pt idx="328">
                  <c:v>31.325000000000177</c:v>
                </c:pt>
                <c:pt idx="329">
                  <c:v>31.425000000000178</c:v>
                </c:pt>
                <c:pt idx="330">
                  <c:v>31.52500000000018</c:v>
                </c:pt>
                <c:pt idx="331">
                  <c:v>31.625000000000181</c:v>
                </c:pt>
                <c:pt idx="332">
                  <c:v>31.725000000000183</c:v>
                </c:pt>
                <c:pt idx="333">
                  <c:v>31.825000000000184</c:v>
                </c:pt>
                <c:pt idx="334">
                  <c:v>31.925000000000185</c:v>
                </c:pt>
                <c:pt idx="335">
                  <c:v>32.025000000000183</c:v>
                </c:pt>
                <c:pt idx="336">
                  <c:v>32.125000000000185</c:v>
                </c:pt>
                <c:pt idx="337">
                  <c:v>32.225000000000186</c:v>
                </c:pt>
                <c:pt idx="338">
                  <c:v>32.325000000000188</c:v>
                </c:pt>
                <c:pt idx="339">
                  <c:v>32.425000000000189</c:v>
                </c:pt>
                <c:pt idx="340">
                  <c:v>32.52500000000019</c:v>
                </c:pt>
                <c:pt idx="341">
                  <c:v>32.625000000000192</c:v>
                </c:pt>
                <c:pt idx="342">
                  <c:v>32.725000000000193</c:v>
                </c:pt>
                <c:pt idx="343">
                  <c:v>32.825000000000195</c:v>
                </c:pt>
                <c:pt idx="344">
                  <c:v>32.925000000000196</c:v>
                </c:pt>
                <c:pt idx="345">
                  <c:v>33.025000000000198</c:v>
                </c:pt>
                <c:pt idx="346">
                  <c:v>33.125000000000199</c:v>
                </c:pt>
                <c:pt idx="347">
                  <c:v>33.2250000000002</c:v>
                </c:pt>
                <c:pt idx="348">
                  <c:v>33.325000000000202</c:v>
                </c:pt>
                <c:pt idx="349">
                  <c:v>33.425000000000203</c:v>
                </c:pt>
                <c:pt idx="350">
                  <c:v>33.525000000000205</c:v>
                </c:pt>
                <c:pt idx="351">
                  <c:v>33.625000000000206</c:v>
                </c:pt>
                <c:pt idx="352">
                  <c:v>33.725000000000207</c:v>
                </c:pt>
                <c:pt idx="353">
                  <c:v>33.825000000000209</c:v>
                </c:pt>
                <c:pt idx="354">
                  <c:v>33.92500000000021</c:v>
                </c:pt>
                <c:pt idx="355">
                  <c:v>34.025000000000212</c:v>
                </c:pt>
                <c:pt idx="356">
                  <c:v>34.125000000000213</c:v>
                </c:pt>
                <c:pt idx="357">
                  <c:v>34.225000000000215</c:v>
                </c:pt>
                <c:pt idx="358">
                  <c:v>34.325000000000216</c:v>
                </c:pt>
                <c:pt idx="359">
                  <c:v>34.425000000000217</c:v>
                </c:pt>
                <c:pt idx="360">
                  <c:v>34.525000000000219</c:v>
                </c:pt>
                <c:pt idx="361">
                  <c:v>34.62500000000022</c:v>
                </c:pt>
                <c:pt idx="362">
                  <c:v>34.725000000000222</c:v>
                </c:pt>
                <c:pt idx="363">
                  <c:v>34.825000000000223</c:v>
                </c:pt>
                <c:pt idx="364">
                  <c:v>34.925000000000225</c:v>
                </c:pt>
                <c:pt idx="365">
                  <c:v>35.025000000000226</c:v>
                </c:pt>
                <c:pt idx="366">
                  <c:v>35.125000000000227</c:v>
                </c:pt>
                <c:pt idx="367">
                  <c:v>35.225000000000229</c:v>
                </c:pt>
                <c:pt idx="368">
                  <c:v>35.32500000000023</c:v>
                </c:pt>
                <c:pt idx="369">
                  <c:v>35.425000000000232</c:v>
                </c:pt>
                <c:pt idx="370">
                  <c:v>35.525000000000233</c:v>
                </c:pt>
                <c:pt idx="371">
                  <c:v>35.625000000000234</c:v>
                </c:pt>
                <c:pt idx="372">
                  <c:v>35.725000000000236</c:v>
                </c:pt>
                <c:pt idx="373">
                  <c:v>35.825000000000237</c:v>
                </c:pt>
                <c:pt idx="374">
                  <c:v>35.925000000000239</c:v>
                </c:pt>
                <c:pt idx="375">
                  <c:v>36.02500000000024</c:v>
                </c:pt>
                <c:pt idx="376">
                  <c:v>36.125000000000242</c:v>
                </c:pt>
                <c:pt idx="377">
                  <c:v>36.225000000000243</c:v>
                </c:pt>
                <c:pt idx="378">
                  <c:v>36.325000000000244</c:v>
                </c:pt>
                <c:pt idx="379">
                  <c:v>36.425000000000246</c:v>
                </c:pt>
                <c:pt idx="380">
                  <c:v>36.525000000000247</c:v>
                </c:pt>
                <c:pt idx="381">
                  <c:v>36.625000000000249</c:v>
                </c:pt>
                <c:pt idx="382">
                  <c:v>36.72500000000025</c:v>
                </c:pt>
                <c:pt idx="383">
                  <c:v>36.825000000000252</c:v>
                </c:pt>
                <c:pt idx="384">
                  <c:v>36.925000000000253</c:v>
                </c:pt>
                <c:pt idx="385">
                  <c:v>37.025000000000254</c:v>
                </c:pt>
                <c:pt idx="386">
                  <c:v>37.125000000000256</c:v>
                </c:pt>
                <c:pt idx="387">
                  <c:v>37.225000000000257</c:v>
                </c:pt>
                <c:pt idx="388">
                  <c:v>37.325000000000259</c:v>
                </c:pt>
                <c:pt idx="389">
                  <c:v>37.42500000000026</c:v>
                </c:pt>
                <c:pt idx="390">
                  <c:v>37.525000000000261</c:v>
                </c:pt>
                <c:pt idx="391">
                  <c:v>37.625000000000263</c:v>
                </c:pt>
                <c:pt idx="392">
                  <c:v>37.725000000000264</c:v>
                </c:pt>
                <c:pt idx="393">
                  <c:v>37.825000000000266</c:v>
                </c:pt>
                <c:pt idx="394">
                  <c:v>37.925000000000267</c:v>
                </c:pt>
                <c:pt idx="395">
                  <c:v>38.025000000000269</c:v>
                </c:pt>
                <c:pt idx="396">
                  <c:v>38.12500000000027</c:v>
                </c:pt>
                <c:pt idx="397">
                  <c:v>38.225000000000271</c:v>
                </c:pt>
                <c:pt idx="398">
                  <c:v>38.325000000000273</c:v>
                </c:pt>
                <c:pt idx="399">
                  <c:v>38.425000000000274</c:v>
                </c:pt>
                <c:pt idx="400">
                  <c:v>38.525000000000276</c:v>
                </c:pt>
                <c:pt idx="401">
                  <c:v>38.625000000000277</c:v>
                </c:pt>
                <c:pt idx="402">
                  <c:v>38.725000000000279</c:v>
                </c:pt>
                <c:pt idx="403">
                  <c:v>38.82500000000028</c:v>
                </c:pt>
                <c:pt idx="404">
                  <c:v>38.925000000000281</c:v>
                </c:pt>
                <c:pt idx="405">
                  <c:v>39.025000000000283</c:v>
                </c:pt>
                <c:pt idx="406">
                  <c:v>39.125000000000284</c:v>
                </c:pt>
                <c:pt idx="407">
                  <c:v>39.225000000000286</c:v>
                </c:pt>
                <c:pt idx="408">
                  <c:v>39.325000000000287</c:v>
                </c:pt>
                <c:pt idx="409">
                  <c:v>39.425000000000288</c:v>
                </c:pt>
                <c:pt idx="410">
                  <c:v>39.52500000000029</c:v>
                </c:pt>
                <c:pt idx="411">
                  <c:v>39.625000000000291</c:v>
                </c:pt>
                <c:pt idx="412">
                  <c:v>39.725000000000293</c:v>
                </c:pt>
                <c:pt idx="413">
                  <c:v>39.825000000000294</c:v>
                </c:pt>
                <c:pt idx="414">
                  <c:v>39.925000000000296</c:v>
                </c:pt>
                <c:pt idx="415">
                  <c:v>40.025000000000297</c:v>
                </c:pt>
                <c:pt idx="416">
                  <c:v>40.125000000000298</c:v>
                </c:pt>
                <c:pt idx="417">
                  <c:v>40.2250000000003</c:v>
                </c:pt>
                <c:pt idx="418">
                  <c:v>40.325000000000301</c:v>
                </c:pt>
                <c:pt idx="419">
                  <c:v>40.425000000000303</c:v>
                </c:pt>
                <c:pt idx="420">
                  <c:v>40.525000000000304</c:v>
                </c:pt>
                <c:pt idx="421">
                  <c:v>40.625000000000306</c:v>
                </c:pt>
                <c:pt idx="422">
                  <c:v>40.725000000000307</c:v>
                </c:pt>
                <c:pt idx="423">
                  <c:v>40.825000000000308</c:v>
                </c:pt>
                <c:pt idx="424">
                  <c:v>40.92500000000031</c:v>
                </c:pt>
                <c:pt idx="425">
                  <c:v>41.025000000000311</c:v>
                </c:pt>
                <c:pt idx="426">
                  <c:v>41.125000000000313</c:v>
                </c:pt>
                <c:pt idx="427">
                  <c:v>41.225000000000314</c:v>
                </c:pt>
                <c:pt idx="428">
                  <c:v>41.325000000000315</c:v>
                </c:pt>
                <c:pt idx="429">
                  <c:v>41.425000000000317</c:v>
                </c:pt>
                <c:pt idx="430">
                  <c:v>41.525000000000318</c:v>
                </c:pt>
                <c:pt idx="431">
                  <c:v>41.62500000000032</c:v>
                </c:pt>
                <c:pt idx="432">
                  <c:v>41.725000000000321</c:v>
                </c:pt>
                <c:pt idx="433">
                  <c:v>41.825000000000323</c:v>
                </c:pt>
                <c:pt idx="434">
                  <c:v>41.925000000000324</c:v>
                </c:pt>
                <c:pt idx="435">
                  <c:v>42.025000000000325</c:v>
                </c:pt>
                <c:pt idx="436">
                  <c:v>42.125000000000327</c:v>
                </c:pt>
                <c:pt idx="437">
                  <c:v>42.225000000000328</c:v>
                </c:pt>
                <c:pt idx="438">
                  <c:v>42.32500000000033</c:v>
                </c:pt>
                <c:pt idx="439">
                  <c:v>42.425000000000331</c:v>
                </c:pt>
                <c:pt idx="440">
                  <c:v>42.525000000000333</c:v>
                </c:pt>
                <c:pt idx="441">
                  <c:v>42.625000000000334</c:v>
                </c:pt>
                <c:pt idx="442">
                  <c:v>42.725000000000335</c:v>
                </c:pt>
                <c:pt idx="443">
                  <c:v>42.825000000000337</c:v>
                </c:pt>
                <c:pt idx="444">
                  <c:v>42.925000000000338</c:v>
                </c:pt>
                <c:pt idx="445">
                  <c:v>43.02500000000034</c:v>
                </c:pt>
                <c:pt idx="446">
                  <c:v>43.125000000000341</c:v>
                </c:pt>
                <c:pt idx="447">
                  <c:v>43.225000000000342</c:v>
                </c:pt>
                <c:pt idx="448">
                  <c:v>43.325000000000344</c:v>
                </c:pt>
                <c:pt idx="449">
                  <c:v>43.425000000000345</c:v>
                </c:pt>
                <c:pt idx="450">
                  <c:v>43.525000000000347</c:v>
                </c:pt>
                <c:pt idx="451">
                  <c:v>43.625000000000348</c:v>
                </c:pt>
                <c:pt idx="452">
                  <c:v>43.72500000000035</c:v>
                </c:pt>
                <c:pt idx="453">
                  <c:v>43.825000000000351</c:v>
                </c:pt>
                <c:pt idx="454">
                  <c:v>43.925000000000352</c:v>
                </c:pt>
                <c:pt idx="455">
                  <c:v>44.025000000000354</c:v>
                </c:pt>
                <c:pt idx="456">
                  <c:v>44.125000000000355</c:v>
                </c:pt>
                <c:pt idx="457">
                  <c:v>44.225000000000357</c:v>
                </c:pt>
                <c:pt idx="458">
                  <c:v>44.325000000000358</c:v>
                </c:pt>
                <c:pt idx="459">
                  <c:v>44.42500000000036</c:v>
                </c:pt>
                <c:pt idx="460">
                  <c:v>44.525000000000361</c:v>
                </c:pt>
                <c:pt idx="461">
                  <c:v>44.625000000000362</c:v>
                </c:pt>
                <c:pt idx="462">
                  <c:v>44.725000000000364</c:v>
                </c:pt>
                <c:pt idx="463">
                  <c:v>44.825000000000365</c:v>
                </c:pt>
                <c:pt idx="464">
                  <c:v>44.925000000000367</c:v>
                </c:pt>
                <c:pt idx="465">
                  <c:v>45.025000000000368</c:v>
                </c:pt>
                <c:pt idx="466">
                  <c:v>45.125000000000369</c:v>
                </c:pt>
                <c:pt idx="467">
                  <c:v>45.225000000000371</c:v>
                </c:pt>
                <c:pt idx="468">
                  <c:v>45.325000000000372</c:v>
                </c:pt>
                <c:pt idx="469">
                  <c:v>45.425000000000374</c:v>
                </c:pt>
                <c:pt idx="470">
                  <c:v>45.525000000000375</c:v>
                </c:pt>
                <c:pt idx="471">
                  <c:v>45.625000000000377</c:v>
                </c:pt>
                <c:pt idx="472">
                  <c:v>45.725000000000378</c:v>
                </c:pt>
                <c:pt idx="473">
                  <c:v>45.825000000000379</c:v>
                </c:pt>
                <c:pt idx="474">
                  <c:v>45.925000000000381</c:v>
                </c:pt>
                <c:pt idx="475">
                  <c:v>46.025000000000382</c:v>
                </c:pt>
                <c:pt idx="476">
                  <c:v>46.125000000000384</c:v>
                </c:pt>
                <c:pt idx="477">
                  <c:v>46.225000000000385</c:v>
                </c:pt>
                <c:pt idx="478">
                  <c:v>46.325000000000387</c:v>
                </c:pt>
                <c:pt idx="479">
                  <c:v>46.425000000000388</c:v>
                </c:pt>
                <c:pt idx="480">
                  <c:v>46.525000000000389</c:v>
                </c:pt>
                <c:pt idx="481">
                  <c:v>46.625000000000391</c:v>
                </c:pt>
                <c:pt idx="482">
                  <c:v>46.725000000000392</c:v>
                </c:pt>
                <c:pt idx="483">
                  <c:v>46.825000000000394</c:v>
                </c:pt>
                <c:pt idx="484">
                  <c:v>46.925000000000395</c:v>
                </c:pt>
                <c:pt idx="485">
                  <c:v>47.025000000000396</c:v>
                </c:pt>
                <c:pt idx="486">
                  <c:v>47.125000000000398</c:v>
                </c:pt>
                <c:pt idx="487">
                  <c:v>47.225000000000399</c:v>
                </c:pt>
                <c:pt idx="488">
                  <c:v>47.325000000000401</c:v>
                </c:pt>
                <c:pt idx="489">
                  <c:v>47.425000000000402</c:v>
                </c:pt>
                <c:pt idx="490">
                  <c:v>47.525000000000404</c:v>
                </c:pt>
                <c:pt idx="491">
                  <c:v>47.625000000000405</c:v>
                </c:pt>
                <c:pt idx="492">
                  <c:v>47.725000000000406</c:v>
                </c:pt>
                <c:pt idx="493">
                  <c:v>47.825000000000408</c:v>
                </c:pt>
                <c:pt idx="494">
                  <c:v>47.925000000000409</c:v>
                </c:pt>
                <c:pt idx="495">
                  <c:v>48.025000000000411</c:v>
                </c:pt>
                <c:pt idx="496">
                  <c:v>48.125000000000412</c:v>
                </c:pt>
                <c:pt idx="497">
                  <c:v>48.225000000000414</c:v>
                </c:pt>
                <c:pt idx="498">
                  <c:v>48.325000000000415</c:v>
                </c:pt>
                <c:pt idx="499">
                  <c:v>48.425000000000416</c:v>
                </c:pt>
                <c:pt idx="500">
                  <c:v>48.525000000000418</c:v>
                </c:pt>
                <c:pt idx="501">
                  <c:v>48.625000000000419</c:v>
                </c:pt>
                <c:pt idx="502">
                  <c:v>48.725000000000421</c:v>
                </c:pt>
                <c:pt idx="503">
                  <c:v>48.825000000000422</c:v>
                </c:pt>
                <c:pt idx="504">
                  <c:v>48.925000000000423</c:v>
                </c:pt>
                <c:pt idx="505">
                  <c:v>49.025000000000425</c:v>
                </c:pt>
                <c:pt idx="506">
                  <c:v>49.125000000000426</c:v>
                </c:pt>
                <c:pt idx="507">
                  <c:v>49.225000000000428</c:v>
                </c:pt>
                <c:pt idx="508">
                  <c:v>49.325000000000429</c:v>
                </c:pt>
                <c:pt idx="509">
                  <c:v>49.425000000000431</c:v>
                </c:pt>
                <c:pt idx="510">
                  <c:v>49.525000000000432</c:v>
                </c:pt>
                <c:pt idx="511">
                  <c:v>49.625000000000433</c:v>
                </c:pt>
                <c:pt idx="512">
                  <c:v>49.725000000000435</c:v>
                </c:pt>
                <c:pt idx="513">
                  <c:v>49.825000000000436</c:v>
                </c:pt>
                <c:pt idx="514">
                  <c:v>49.925000000000438</c:v>
                </c:pt>
                <c:pt idx="515">
                  <c:v>50.025000000000439</c:v>
                </c:pt>
                <c:pt idx="516">
                  <c:v>50.125000000000441</c:v>
                </c:pt>
                <c:pt idx="517">
                  <c:v>50.225000000000442</c:v>
                </c:pt>
                <c:pt idx="518">
                  <c:v>50.325000000000443</c:v>
                </c:pt>
                <c:pt idx="519">
                  <c:v>50.425000000000445</c:v>
                </c:pt>
                <c:pt idx="520">
                  <c:v>50.525000000000446</c:v>
                </c:pt>
                <c:pt idx="521">
                  <c:v>50.625000000000448</c:v>
                </c:pt>
                <c:pt idx="522">
                  <c:v>50.725000000000449</c:v>
                </c:pt>
                <c:pt idx="523">
                  <c:v>50.82500000000045</c:v>
                </c:pt>
                <c:pt idx="524">
                  <c:v>50.925000000000452</c:v>
                </c:pt>
                <c:pt idx="525">
                  <c:v>51.025000000000453</c:v>
                </c:pt>
                <c:pt idx="526">
                  <c:v>51.125000000000455</c:v>
                </c:pt>
                <c:pt idx="527">
                  <c:v>51.225000000000456</c:v>
                </c:pt>
                <c:pt idx="528">
                  <c:v>51.325000000000458</c:v>
                </c:pt>
                <c:pt idx="529">
                  <c:v>51.425000000000459</c:v>
                </c:pt>
                <c:pt idx="530">
                  <c:v>51.52500000000046</c:v>
                </c:pt>
                <c:pt idx="531">
                  <c:v>51.625000000000462</c:v>
                </c:pt>
                <c:pt idx="532">
                  <c:v>51.725000000000463</c:v>
                </c:pt>
                <c:pt idx="533">
                  <c:v>51.825000000000465</c:v>
                </c:pt>
                <c:pt idx="534">
                  <c:v>51.925000000000466</c:v>
                </c:pt>
                <c:pt idx="535">
                  <c:v>52.025000000000468</c:v>
                </c:pt>
                <c:pt idx="536">
                  <c:v>52.125000000000469</c:v>
                </c:pt>
                <c:pt idx="537">
                  <c:v>52.22500000000047</c:v>
                </c:pt>
                <c:pt idx="538">
                  <c:v>52.325000000000472</c:v>
                </c:pt>
                <c:pt idx="539">
                  <c:v>52.425000000000473</c:v>
                </c:pt>
                <c:pt idx="540">
                  <c:v>52.525000000000475</c:v>
                </c:pt>
                <c:pt idx="541">
                  <c:v>52.625000000000476</c:v>
                </c:pt>
                <c:pt idx="542">
                  <c:v>52.725000000000477</c:v>
                </c:pt>
                <c:pt idx="543">
                  <c:v>52.825000000000479</c:v>
                </c:pt>
                <c:pt idx="544">
                  <c:v>52.92500000000048</c:v>
                </c:pt>
                <c:pt idx="545">
                  <c:v>53.025000000000482</c:v>
                </c:pt>
                <c:pt idx="546">
                  <c:v>53.125000000000483</c:v>
                </c:pt>
                <c:pt idx="547">
                  <c:v>53.225000000000485</c:v>
                </c:pt>
                <c:pt idx="548">
                  <c:v>53.325000000000486</c:v>
                </c:pt>
                <c:pt idx="549">
                  <c:v>53.425000000000487</c:v>
                </c:pt>
                <c:pt idx="550">
                  <c:v>53.525000000000489</c:v>
                </c:pt>
                <c:pt idx="551">
                  <c:v>53.62500000000049</c:v>
                </c:pt>
                <c:pt idx="552">
                  <c:v>53.725000000000492</c:v>
                </c:pt>
                <c:pt idx="553">
                  <c:v>53.825000000000493</c:v>
                </c:pt>
                <c:pt idx="554">
                  <c:v>53.925000000000495</c:v>
                </c:pt>
                <c:pt idx="555">
                  <c:v>54.025000000000496</c:v>
                </c:pt>
                <c:pt idx="556">
                  <c:v>54.125000000000497</c:v>
                </c:pt>
                <c:pt idx="557">
                  <c:v>54.225000000000499</c:v>
                </c:pt>
                <c:pt idx="558">
                  <c:v>54.3250000000005</c:v>
                </c:pt>
                <c:pt idx="559">
                  <c:v>54.425000000000502</c:v>
                </c:pt>
                <c:pt idx="560">
                  <c:v>54.525000000000503</c:v>
                </c:pt>
                <c:pt idx="561">
                  <c:v>54.625000000000504</c:v>
                </c:pt>
                <c:pt idx="562">
                  <c:v>54.725000000000506</c:v>
                </c:pt>
                <c:pt idx="563">
                  <c:v>54.825000000000507</c:v>
                </c:pt>
                <c:pt idx="564">
                  <c:v>54.925000000000509</c:v>
                </c:pt>
                <c:pt idx="565">
                  <c:v>55.02500000000051</c:v>
                </c:pt>
                <c:pt idx="566">
                  <c:v>55.125000000000512</c:v>
                </c:pt>
                <c:pt idx="567">
                  <c:v>55.225000000000513</c:v>
                </c:pt>
                <c:pt idx="568">
                  <c:v>55.325000000000514</c:v>
                </c:pt>
                <c:pt idx="569">
                  <c:v>55.425000000000516</c:v>
                </c:pt>
                <c:pt idx="570">
                  <c:v>55.525000000000517</c:v>
                </c:pt>
                <c:pt idx="571">
                  <c:v>55.625000000000519</c:v>
                </c:pt>
                <c:pt idx="572">
                  <c:v>55.72500000000052</c:v>
                </c:pt>
                <c:pt idx="573">
                  <c:v>55.825000000000522</c:v>
                </c:pt>
                <c:pt idx="574">
                  <c:v>55.925000000000523</c:v>
                </c:pt>
                <c:pt idx="575">
                  <c:v>56.025000000000524</c:v>
                </c:pt>
                <c:pt idx="576">
                  <c:v>56.125000000000526</c:v>
                </c:pt>
                <c:pt idx="577">
                  <c:v>56.225000000000527</c:v>
                </c:pt>
                <c:pt idx="578">
                  <c:v>56.325000000000529</c:v>
                </c:pt>
                <c:pt idx="579">
                  <c:v>56.42500000000053</c:v>
                </c:pt>
                <c:pt idx="580">
                  <c:v>56.525000000000531</c:v>
                </c:pt>
                <c:pt idx="581">
                  <c:v>56.625000000000533</c:v>
                </c:pt>
                <c:pt idx="582">
                  <c:v>56.725000000000534</c:v>
                </c:pt>
                <c:pt idx="583">
                  <c:v>56.825000000000536</c:v>
                </c:pt>
                <c:pt idx="584">
                  <c:v>56.925000000000537</c:v>
                </c:pt>
                <c:pt idx="585">
                  <c:v>57.025000000000539</c:v>
                </c:pt>
                <c:pt idx="586">
                  <c:v>57.12500000000054</c:v>
                </c:pt>
                <c:pt idx="587">
                  <c:v>57.225000000000541</c:v>
                </c:pt>
                <c:pt idx="588">
                  <c:v>57.325000000000543</c:v>
                </c:pt>
              </c:numCache>
            </c:numRef>
          </c:cat>
          <c:val>
            <c:numRef>
              <c:f>Lognormal!$C$7:$C$595</c:f>
              <c:numCache>
                <c:formatCode>0%</c:formatCode>
                <c:ptCount val="589"/>
                <c:pt idx="0">
                  <c:v>1.3401423019409554E-8</c:v>
                </c:pt>
                <c:pt idx="1">
                  <c:v>2.2761002614010115E-8</c:v>
                </c:pt>
                <c:pt idx="2">
                  <c:v>3.6623264339458599E-8</c:v>
                </c:pt>
                <c:pt idx="3">
                  <c:v>5.6347605499221518E-8</c:v>
                </c:pt>
                <c:pt idx="4">
                  <c:v>8.3490951683258807E-8</c:v>
                </c:pt>
                <c:pt idx="5">
                  <c:v>1.1980445300026672E-7</c:v>
                </c:pt>
                <c:pt idx="6">
                  <c:v>1.6722822914504034E-7</c:v>
                </c:pt>
                <c:pt idx="7">
                  <c:v>2.2788460424083793E-7</c:v>
                </c:pt>
                <c:pt idx="8">
                  <c:v>3.0407020276962614E-7</c:v>
                </c:pt>
                <c:pt idx="9">
                  <c:v>3.982472158214765E-7</c:v>
                </c:pt>
                <c:pt idx="10">
                  <c:v>5.1303409287782768E-7</c:v>
                </c:pt>
                <c:pt idx="11">
                  <c:v>6.5119586808708277E-7</c:v>
                </c:pt>
                <c:pt idx="12">
                  <c:v>8.1563429080969876E-7</c:v>
                </c:pt>
                <c:pt idx="13">
                  <c:v>1.0093778972787314E-6</c:v>
                </c:pt>
                <c:pt idx="14">
                  <c:v>1.2355721327044517E-6</c:v>
                </c:pt>
                <c:pt idx="15">
                  <c:v>1.4974696102623434E-6</c:v>
                </c:pt>
                <c:pt idx="16">
                  <c:v>7.7672931711207226E-4</c:v>
                </c:pt>
                <c:pt idx="17">
                  <c:v>3.993406928242382E-3</c:v>
                </c:pt>
                <c:pt idx="18">
                  <c:v>9.3303937640276148E-3</c:v>
                </c:pt>
                <c:pt idx="19">
                  <c:v>1.5911918025046691E-2</c:v>
                </c:pt>
                <c:pt idx="20">
                  <c:v>2.3031474733389398E-2</c:v>
                </c:pt>
                <c:pt idx="21">
                  <c:v>3.0215692564928582E-2</c:v>
                </c:pt>
                <c:pt idx="22">
                  <c:v>3.7170859517396966E-2</c:v>
                </c:pt>
                <c:pt idx="23">
                  <c:v>4.3725933962199419E-2</c:v>
                </c:pt>
                <c:pt idx="24">
                  <c:v>4.9790101705115899E-2</c:v>
                </c:pt>
                <c:pt idx="25">
                  <c:v>5.5323871927694321E-2</c:v>
                </c:pt>
                <c:pt idx="26">
                  <c:v>6.0319978042916625E-2</c:v>
                </c:pt>
                <c:pt idx="27">
                  <c:v>6.479089580771516E-2</c:v>
                </c:pt>
                <c:pt idx="28">
                  <c:v>6.8760724633655193E-2</c:v>
                </c:pt>
                <c:pt idx="29">
                  <c:v>7.225992752047504E-2</c:v>
                </c:pt>
                <c:pt idx="30">
                  <c:v>7.5321944108646052E-2</c:v>
                </c:pt>
                <c:pt idx="31">
                  <c:v>7.7981033897833771E-2</c:v>
                </c:pt>
                <c:pt idx="32">
                  <c:v>8.0270929197086047E-2</c:v>
                </c:pt>
                <c:pt idx="33">
                  <c:v>8.2224021555999421E-2</c:v>
                </c:pt>
                <c:pt idx="34">
                  <c:v>8.3870899167622942E-2</c:v>
                </c:pt>
                <c:pt idx="35">
                  <c:v>8.5240114045437729E-2</c:v>
                </c:pt>
                <c:pt idx="36">
                  <c:v>8.6358098155973798E-2</c:v>
                </c:pt>
                <c:pt idx="37">
                  <c:v>8.7249174468273627E-2</c:v>
                </c:pt>
                <c:pt idx="38">
                  <c:v>8.7935626758084404E-2</c:v>
                </c:pt>
                <c:pt idx="39">
                  <c:v>8.8437804006930548E-2</c:v>
                </c:pt>
                <c:pt idx="40">
                  <c:v>8.8774243332576358E-2</c:v>
                </c:pt>
                <c:pt idx="41">
                  <c:v>8.8961800867945459E-2</c:v>
                </c:pt>
                <c:pt idx="42">
                  <c:v>8.9015783722839595E-2</c:v>
                </c:pt>
                <c:pt idx="43">
                  <c:v>8.8950078684635336E-2</c:v>
                </c:pt>
                <c:pt idx="44">
                  <c:v>8.8777275021595214E-2</c:v>
                </c:pt>
                <c:pt idx="45">
                  <c:v>8.8508779902985668E-2</c:v>
                </c:pt>
                <c:pt idx="46">
                  <c:v>8.8154925718919308E-2</c:v>
                </c:pt>
                <c:pt idx="47">
                  <c:v>8.7725069089428953E-2</c:v>
                </c:pt>
                <c:pt idx="48">
                  <c:v>8.7227681678952881E-2</c:v>
                </c:pt>
                <c:pt idx="49">
                  <c:v>8.6670433135878841E-2</c:v>
                </c:pt>
                <c:pt idx="50">
                  <c:v>8.6060266596269072E-2</c:v>
                </c:pt>
                <c:pt idx="51">
                  <c:v>8.5403467253565235E-2</c:v>
                </c:pt>
                <c:pt idx="52">
                  <c:v>8.4705724520797249E-2</c:v>
                </c:pt>
                <c:pt idx="53">
                  <c:v>8.3972188311667528E-2</c:v>
                </c:pt>
                <c:pt idx="54">
                  <c:v>8.3207519950885198E-2</c:v>
                </c:pt>
                <c:pt idx="55">
                  <c:v>8.2415938198512839E-2</c:v>
                </c:pt>
                <c:pt idx="56">
                  <c:v>8.1601260842109391E-2</c:v>
                </c:pt>
                <c:pt idx="57">
                  <c:v>8.0766942276988163E-2</c:v>
                </c:pt>
                <c:pt idx="58">
                  <c:v>7.9916107460864652E-2</c:v>
                </c:pt>
                <c:pt idx="59">
                  <c:v>7.9051582595797629E-2</c:v>
                </c:pt>
                <c:pt idx="60">
                  <c:v>7.817592285838891E-2</c:v>
                </c:pt>
                <c:pt idx="61">
                  <c:v>7.7291437469168445E-2</c:v>
                </c:pt>
                <c:pt idx="62">
                  <c:v>7.6400212364177031E-2</c:v>
                </c:pt>
                <c:pt idx="63">
                  <c:v>7.5504130706051539E-2</c:v>
                </c:pt>
                <c:pt idx="64">
                  <c:v>7.4604891448414548E-2</c:v>
                </c:pt>
                <c:pt idx="65">
                  <c:v>7.3704026145981802E-2</c:v>
                </c:pt>
                <c:pt idx="66">
                  <c:v>7.2802914183424619E-2</c:v>
                </c:pt>
                <c:pt idx="67">
                  <c:v>7.1902796578519834E-2</c:v>
                </c:pt>
                <c:pt idx="68">
                  <c:v>7.1004788499346716E-2</c:v>
                </c:pt>
                <c:pt idx="69">
                  <c:v>7.0109890621100374E-2</c:v>
                </c:pt>
                <c:pt idx="70">
                  <c:v>6.9218999435344417E-2</c:v>
                </c:pt>
                <c:pt idx="71">
                  <c:v>6.833291661308824E-2</c:v>
                </c:pt>
                <c:pt idx="72">
                  <c:v>6.7452357512814254E-2</c:v>
                </c:pt>
                <c:pt idx="73">
                  <c:v>6.6577958915386412E-2</c:v>
                </c:pt>
                <c:pt idx="74">
                  <c:v>6.5710286059532247E-2</c:v>
                </c:pt>
                <c:pt idx="75">
                  <c:v>6.484983904420645E-2</c:v>
                </c:pt>
                <c:pt idx="76">
                  <c:v>6.3997058657529429E-2</c:v>
                </c:pt>
                <c:pt idx="77">
                  <c:v>6.3152331686066904E-2</c:v>
                </c:pt>
                <c:pt idx="78">
                  <c:v>6.2315995752900803E-2</c:v>
                </c:pt>
                <c:pt idx="79">
                  <c:v>6.1488343728180288E-2</c:v>
                </c:pt>
                <c:pt idx="80">
                  <c:v>6.0669627751565168E-2</c:v>
                </c:pt>
                <c:pt idx="81">
                  <c:v>5.986006290214322E-2</c:v>
                </c:pt>
                <c:pt idx="82">
                  <c:v>5.9059830547956348E-2</c:v>
                </c:pt>
                <c:pt idx="83">
                  <c:v>5.8269081404183305E-2</c:v>
                </c:pt>
                <c:pt idx="84">
                  <c:v>5.7487938326244672E-2</c:v>
                </c:pt>
                <c:pt idx="85">
                  <c:v>5.6716498861599414E-2</c:v>
                </c:pt>
                <c:pt idx="86">
                  <c:v>5.5954837581755165E-2</c:v>
                </c:pt>
                <c:pt idx="87">
                  <c:v>5.5203008213989699E-2</c:v>
                </c:pt>
                <c:pt idx="88">
                  <c:v>5.4461045590460833E-2</c:v>
                </c:pt>
                <c:pt idx="89">
                  <c:v>5.3728967430737989E-2</c:v>
                </c:pt>
                <c:pt idx="90">
                  <c:v>5.3006775972308774E-2</c:v>
                </c:pt>
                <c:pt idx="91">
                  <c:v>5.2294459462276961E-2</c:v>
                </c:pt>
                <c:pt idx="92">
                  <c:v>5.1591993522261154E-2</c:v>
                </c:pt>
                <c:pt idx="93">
                  <c:v>5.0899342397414282E-2</c:v>
                </c:pt>
                <c:pt idx="94">
                  <c:v>5.0216460099497505E-2</c:v>
                </c:pt>
                <c:pt idx="95">
                  <c:v>4.9543291453050135E-2</c:v>
                </c:pt>
                <c:pt idx="96">
                  <c:v>4.8879773052891852E-2</c:v>
                </c:pt>
                <c:pt idx="97">
                  <c:v>4.8225834140459861E-2</c:v>
                </c:pt>
                <c:pt idx="98">
                  <c:v>4.758139740582383E-2</c:v>
                </c:pt>
                <c:pt idx="99">
                  <c:v>4.6946379721619323E-2</c:v>
                </c:pt>
                <c:pt idx="100">
                  <c:v>4.6320692814594326E-2</c:v>
                </c:pt>
                <c:pt idx="101">
                  <c:v>4.5704243879971518E-2</c:v>
                </c:pt>
                <c:pt idx="102">
                  <c:v>4.509693614337662E-2</c:v>
                </c:pt>
                <c:pt idx="103">
                  <c:v>4.4498669374675247E-2</c:v>
                </c:pt>
                <c:pt idx="104">
                  <c:v>4.3909340357690639E-2</c:v>
                </c:pt>
                <c:pt idx="105">
                  <c:v>4.3328843319433506E-2</c:v>
                </c:pt>
                <c:pt idx="106">
                  <c:v>4.2757070322170521E-2</c:v>
                </c:pt>
                <c:pt idx="107">
                  <c:v>4.2193911621375042E-2</c:v>
                </c:pt>
                <c:pt idx="108">
                  <c:v>4.1639255992349397E-2</c:v>
                </c:pt>
                <c:pt idx="109">
                  <c:v>4.1092991028074163E-2</c:v>
                </c:pt>
                <c:pt idx="110">
                  <c:v>4.0555003410628183E-2</c:v>
                </c:pt>
                <c:pt idx="111">
                  <c:v>4.0025179158326887E-2</c:v>
                </c:pt>
                <c:pt idx="112">
                  <c:v>3.9503403850552232E-2</c:v>
                </c:pt>
                <c:pt idx="113">
                  <c:v>3.8989562832082096E-2</c:v>
                </c:pt>
                <c:pt idx="114">
                  <c:v>3.8483541398581497E-2</c:v>
                </c:pt>
                <c:pt idx="115">
                  <c:v>3.7985224964781038E-2</c:v>
                </c:pt>
                <c:pt idx="116">
                  <c:v>3.7494499216744567E-2</c:v>
                </c:pt>
                <c:pt idx="117">
                  <c:v>3.7011250249514287E-2</c:v>
                </c:pt>
                <c:pt idx="118">
                  <c:v>3.6535364691317941E-2</c:v>
                </c:pt>
                <c:pt idx="119">
                  <c:v>3.6066729815426593E-2</c:v>
                </c:pt>
                <c:pt idx="120">
                  <c:v>3.5605233640665687E-2</c:v>
                </c:pt>
                <c:pt idx="121">
                  <c:v>3.5150765021500108E-2</c:v>
                </c:pt>
                <c:pt idx="122">
                  <c:v>3.4703213728542424E-2</c:v>
                </c:pt>
                <c:pt idx="123">
                  <c:v>3.4262470520264272E-2</c:v>
                </c:pt>
                <c:pt idx="124">
                  <c:v>3.3828427206630519E-2</c:v>
                </c:pt>
                <c:pt idx="125">
                  <c:v>3.3400976705317914E-2</c:v>
                </c:pt>
                <c:pt idx="126">
                  <c:v>3.2980013091127761E-2</c:v>
                </c:pt>
                <c:pt idx="127">
                  <c:v>3.2565431639155276E-2</c:v>
                </c:pt>
                <c:pt idx="128">
                  <c:v>3.2157128862232209E-2</c:v>
                </c:pt>
                <c:pt idx="129">
                  <c:v>3.1755002543120588E-2</c:v>
                </c:pt>
                <c:pt idx="130">
                  <c:v>3.1358951761896577E-2</c:v>
                </c:pt>
                <c:pt idx="131">
                  <c:v>3.0968876918930553E-2</c:v>
                </c:pt>
                <c:pt idx="132">
                  <c:v>3.0584679753836035E-2</c:v>
                </c:pt>
                <c:pt idx="133">
                  <c:v>3.0206263360732601E-2</c:v>
                </c:pt>
                <c:pt idx="134">
                  <c:v>2.9833532200140223E-2</c:v>
                </c:pt>
                <c:pt idx="135">
                  <c:v>2.9466392107797567E-2</c:v>
                </c:pt>
                <c:pt idx="136">
                  <c:v>2.9104750300674574E-2</c:v>
                </c:pt>
                <c:pt idx="137">
                  <c:v>2.8748515380428354E-2</c:v>
                </c:pt>
                <c:pt idx="138">
                  <c:v>2.8397597334531548E-2</c:v>
                </c:pt>
                <c:pt idx="139">
                  <c:v>2.8051907535285282E-2</c:v>
                </c:pt>
                <c:pt idx="140">
                  <c:v>2.7711358736911613E-2</c:v>
                </c:pt>
                <c:pt idx="141">
                  <c:v>2.7375865070905656E-2</c:v>
                </c:pt>
                <c:pt idx="142">
                  <c:v>2.7045342039812778E-2</c:v>
                </c:pt>
                <c:pt idx="143">
                  <c:v>2.6719706509584475E-2</c:v>
                </c:pt>
                <c:pt idx="144">
                  <c:v>2.6398876700653089E-2</c:v>
                </c:pt>
                <c:pt idx="145">
                  <c:v>2.6082772177855689E-2</c:v>
                </c:pt>
                <c:pt idx="146">
                  <c:v>2.5771313839326605E-2</c:v>
                </c:pt>
                <c:pt idx="147">
                  <c:v>2.5464423904468403E-2</c:v>
                </c:pt>
                <c:pt idx="148">
                  <c:v>2.5162025901103641E-2</c:v>
                </c:pt>
                <c:pt idx="149">
                  <c:v>2.4864044651899325E-2</c:v>
                </c:pt>
                <c:pt idx="150">
                  <c:v>2.4570406260151612E-2</c:v>
                </c:pt>
                <c:pt idx="151">
                  <c:v>2.4281038095008367E-2</c:v>
                </c:pt>
                <c:pt idx="152">
                  <c:v>2.3995868776203091E-2</c:v>
                </c:pt>
                <c:pt idx="153">
                  <c:v>2.3714828158366397E-2</c:v>
                </c:pt>
                <c:pt idx="154">
                  <c:v>2.3437847314976903E-2</c:v>
                </c:pt>
                <c:pt idx="155">
                  <c:v>2.3164858522007274E-2</c:v>
                </c:pt>
                <c:pt idx="156">
                  <c:v>2.2895795241317338E-2</c:v>
                </c:pt>
                <c:pt idx="157">
                  <c:v>2.2630592103841503E-2</c:v>
                </c:pt>
                <c:pt idx="158">
                  <c:v>2.2369184892613785E-2</c:v>
                </c:pt>
                <c:pt idx="159">
                  <c:v>2.2111510525670095E-2</c:v>
                </c:pt>
                <c:pt idx="160">
                  <c:v>2.1857507038864125E-2</c:v>
                </c:pt>
                <c:pt idx="161">
                  <c:v>2.1607113568629762E-2</c:v>
                </c:pt>
                <c:pt idx="162">
                  <c:v>2.1360270334720564E-2</c:v>
                </c:pt>
                <c:pt idx="163">
                  <c:v>2.1116918622953205E-2</c:v>
                </c:pt>
                <c:pt idx="164">
                  <c:v>2.0877000767980654E-2</c:v>
                </c:pt>
                <c:pt idx="165">
                  <c:v>2.0640460136117231E-2</c:v>
                </c:pt>
                <c:pt idx="166">
                  <c:v>2.0407241108236468E-2</c:v>
                </c:pt>
                <c:pt idx="167">
                  <c:v>2.0177289062760333E-2</c:v>
                </c:pt>
                <c:pt idx="168">
                  <c:v>1.9950550358756619E-2</c:v>
                </c:pt>
                <c:pt idx="169">
                  <c:v>1.9726972319159739E-2</c:v>
                </c:pt>
                <c:pt idx="170">
                  <c:v>1.9506503214128414E-2</c:v>
                </c:pt>
                <c:pt idx="171">
                  <c:v>1.9289092244552691E-2</c:v>
                </c:pt>
                <c:pt idx="172">
                  <c:v>1.9074689525721018E-2</c:v>
                </c:pt>
                <c:pt idx="173">
                  <c:v>1.8863246071156966E-2</c:v>
                </c:pt>
                <c:pt idx="174">
                  <c:v>1.865471377663435E-2</c:v>
                </c:pt>
                <c:pt idx="175">
                  <c:v>1.844904540437825E-2</c:v>
                </c:pt>
                <c:pt idx="176">
                  <c:v>1.824619456745823E-2</c:v>
                </c:pt>
                <c:pt idx="177">
                  <c:v>1.8046115714379932E-2</c:v>
                </c:pt>
                <c:pt idx="178">
                  <c:v>1.7848764113879537E-2</c:v>
                </c:pt>
                <c:pt idx="179">
                  <c:v>1.7654095839925353E-2</c:v>
                </c:pt>
                <c:pt idx="180">
                  <c:v>1.7462067756930214E-2</c:v>
                </c:pt>
                <c:pt idx="181">
                  <c:v>1.7272637505177366E-2</c:v>
                </c:pt>
                <c:pt idx="182">
                  <c:v>1.708576348646192E-2</c:v>
                </c:pt>
                <c:pt idx="183">
                  <c:v>1.6901404849950341E-2</c:v>
                </c:pt>
                <c:pt idx="184">
                  <c:v>1.6719521478258129E-2</c:v>
                </c:pt>
                <c:pt idx="185">
                  <c:v>1.6540073973747842E-2</c:v>
                </c:pt>
                <c:pt idx="186">
                  <c:v>1.6363023645046701E-2</c:v>
                </c:pt>
                <c:pt idx="187">
                  <c:v>1.618833249378469E-2</c:v>
                </c:pt>
                <c:pt idx="188">
                  <c:v>1.6015963201552581E-2</c:v>
                </c:pt>
                <c:pt idx="189">
                  <c:v>1.5845879117078854E-2</c:v>
                </c:pt>
                <c:pt idx="190">
                  <c:v>1.567804424362599E-2</c:v>
                </c:pt>
                <c:pt idx="191">
                  <c:v>1.5512423226603145E-2</c:v>
                </c:pt>
                <c:pt idx="192">
                  <c:v>1.5348981341395836E-2</c:v>
                </c:pt>
                <c:pt idx="193">
                  <c:v>1.5187684481409508E-2</c:v>
                </c:pt>
                <c:pt idx="194">
                  <c:v>1.5028499146326358E-2</c:v>
                </c:pt>
                <c:pt idx="195">
                  <c:v>1.4871392430572981E-2</c:v>
                </c:pt>
                <c:pt idx="196">
                  <c:v>1.4716332011996942E-2</c:v>
                </c:pt>
                <c:pt idx="197">
                  <c:v>1.4563286140750201E-2</c:v>
                </c:pt>
                <c:pt idx="198">
                  <c:v>1.4412223628377036E-2</c:v>
                </c:pt>
                <c:pt idx="199">
                  <c:v>1.4263113837104113E-2</c:v>
                </c:pt>
                <c:pt idx="200">
                  <c:v>1.4115926669330266E-2</c:v>
                </c:pt>
                <c:pt idx="201">
                  <c:v>1.3970632557313265E-2</c:v>
                </c:pt>
                <c:pt idx="202">
                  <c:v>1.3827202453051373E-2</c:v>
                </c:pt>
                <c:pt idx="203">
                  <c:v>1.3685607818356441E-2</c:v>
                </c:pt>
                <c:pt idx="204">
                  <c:v>1.3545820615116333E-2</c:v>
                </c:pt>
                <c:pt idx="205">
                  <c:v>1.3407813295743734E-2</c:v>
                </c:pt>
                <c:pt idx="206">
                  <c:v>1.3271558793808331E-2</c:v>
                </c:pt>
                <c:pt idx="207">
                  <c:v>1.3137030514849955E-2</c:v>
                </c:pt>
                <c:pt idx="208">
                  <c:v>1.300420232736948E-2</c:v>
                </c:pt>
                <c:pt idx="209">
                  <c:v>1.2873048553994933E-2</c:v>
                </c:pt>
                <c:pt idx="210">
                  <c:v>1.2743543962819716E-2</c:v>
                </c:pt>
                <c:pt idx="211">
                  <c:v>1.2615663758910102E-2</c:v>
                </c:pt>
                <c:pt idx="212">
                  <c:v>1.2489383575979377E-2</c:v>
                </c:pt>
                <c:pt idx="213">
                  <c:v>1.2364679468225424E-2</c:v>
                </c:pt>
                <c:pt idx="214">
                  <c:v>1.2241527902329258E-2</c:v>
                </c:pt>
                <c:pt idx="215">
                  <c:v>1.2119905749611358E-2</c:v>
                </c:pt>
                <c:pt idx="216">
                  <c:v>1.1999790278343192E-2</c:v>
                </c:pt>
                <c:pt idx="217">
                  <c:v>1.1881159146211141E-2</c:v>
                </c:pt>
                <c:pt idx="218">
                  <c:v>1.1763990392929833E-2</c:v>
                </c:pt>
                <c:pt idx="219">
                  <c:v>1.164826243300235E-2</c:v>
                </c:pt>
                <c:pt idx="220">
                  <c:v>1.1533954048624596E-2</c:v>
                </c:pt>
                <c:pt idx="221">
                  <c:v>1.1421044382730918E-2</c:v>
                </c:pt>
                <c:pt idx="222">
                  <c:v>1.1309512932178524E-2</c:v>
                </c:pt>
                <c:pt idx="223">
                  <c:v>1.1199339541067874E-2</c:v>
                </c:pt>
                <c:pt idx="224">
                  <c:v>1.1090504394196773E-2</c:v>
                </c:pt>
                <c:pt idx="225">
                  <c:v>1.098298801064502E-2</c:v>
                </c:pt>
                <c:pt idx="226">
                  <c:v>1.0876771237487688E-2</c:v>
                </c:pt>
                <c:pt idx="227">
                  <c:v>1.0771835243634117E-2</c:v>
                </c:pt>
                <c:pt idx="228">
                  <c:v>1.0668161513790464E-2</c:v>
                </c:pt>
                <c:pt idx="229">
                  <c:v>1.0565731842542867E-2</c:v>
                </c:pt>
                <c:pt idx="230">
                  <c:v>1.0464528328559599E-2</c:v>
                </c:pt>
                <c:pt idx="231">
                  <c:v>1.0364533368909089E-2</c:v>
                </c:pt>
                <c:pt idx="232">
                  <c:v>1.0265729653491934E-2</c:v>
                </c:pt>
                <c:pt idx="233">
                  <c:v>1.0168100159584643E-2</c:v>
                </c:pt>
                <c:pt idx="234">
                  <c:v>1.0071628146492465E-2</c:v>
                </c:pt>
                <c:pt idx="235">
                  <c:v>9.9762971503095689E-3</c:v>
                </c:pt>
                <c:pt idx="236">
                  <c:v>9.8820909787841887E-3</c:v>
                </c:pt>
                <c:pt idx="237">
                  <c:v>9.7889937062864835E-3</c:v>
                </c:pt>
                <c:pt idx="238">
                  <c:v>9.6969896688772414E-3</c:v>
                </c:pt>
                <c:pt idx="239">
                  <c:v>9.6060634594752805E-3</c:v>
                </c:pt>
                <c:pt idx="240">
                  <c:v>9.5161999231214989E-3</c:v>
                </c:pt>
                <c:pt idx="241">
                  <c:v>9.4273841523376499E-3</c:v>
                </c:pt>
                <c:pt idx="242">
                  <c:v>9.339601482577729E-3</c:v>
                </c:pt>
                <c:pt idx="243">
                  <c:v>9.2528374877704125E-3</c:v>
                </c:pt>
                <c:pt idx="244">
                  <c:v>9.1670779759502902E-3</c:v>
                </c:pt>
                <c:pt idx="245">
                  <c:v>9.0823089849762714E-3</c:v>
                </c:pt>
                <c:pt idx="246">
                  <c:v>8.9985167783353422E-3</c:v>
                </c:pt>
                <c:pt idx="247">
                  <c:v>8.9156878410298363E-3</c:v>
                </c:pt>
                <c:pt idx="248">
                  <c:v>8.8338088755465626E-3</c:v>
                </c:pt>
                <c:pt idx="249">
                  <c:v>8.7528667979060466E-3</c:v>
                </c:pt>
                <c:pt idx="250">
                  <c:v>8.6728487337901939E-3</c:v>
                </c:pt>
                <c:pt idx="251">
                  <c:v>8.593742014746877E-3</c:v>
                </c:pt>
                <c:pt idx="252">
                  <c:v>8.515534174469673E-3</c:v>
                </c:pt>
                <c:pt idx="253">
                  <c:v>8.4382129451512165E-3</c:v>
                </c:pt>
                <c:pt idx="254">
                  <c:v>8.3617662539088467E-3</c:v>
                </c:pt>
                <c:pt idx="255">
                  <c:v>8.2861822192807234E-3</c:v>
                </c:pt>
                <c:pt idx="256">
                  <c:v>8.2114491477911847E-3</c:v>
                </c:pt>
                <c:pt idx="257">
                  <c:v>8.1375555305837569E-3</c:v>
                </c:pt>
                <c:pt idx="258">
                  <c:v>8.064490040120496E-3</c:v>
                </c:pt>
                <c:pt idx="259">
                  <c:v>7.992241526946265E-3</c:v>
                </c:pt>
                <c:pt idx="260">
                  <c:v>7.920799016516494E-3</c:v>
                </c:pt>
                <c:pt idx="261">
                  <c:v>7.8501517060872595E-3</c:v>
                </c:pt>
                <c:pt idx="262">
                  <c:v>7.7802889616662273E-3</c:v>
                </c:pt>
                <c:pt idx="263">
                  <c:v>7.7112003150233335E-3</c:v>
                </c:pt>
                <c:pt idx="264">
                  <c:v>7.6428754607597797E-3</c:v>
                </c:pt>
                <c:pt idx="265">
                  <c:v>7.5753042534343392E-3</c:v>
                </c:pt>
                <c:pt idx="266">
                  <c:v>7.5084767047456074E-3</c:v>
                </c:pt>
                <c:pt idx="267">
                  <c:v>7.4423829807690883E-3</c:v>
                </c:pt>
                <c:pt idx="268">
                  <c:v>7.3770133992479732E-3</c:v>
                </c:pt>
                <c:pt idx="269">
                  <c:v>7.3123584269366004E-3</c:v>
                </c:pt>
                <c:pt idx="270">
                  <c:v>7.2484086769952138E-3</c:v>
                </c:pt>
                <c:pt idx="271">
                  <c:v>7.1851549064353322E-3</c:v>
                </c:pt>
                <c:pt idx="272">
                  <c:v>7.1225880136143154E-3</c:v>
                </c:pt>
                <c:pt idx="273">
                  <c:v>7.0606990357783795E-3</c:v>
                </c:pt>
                <c:pt idx="274">
                  <c:v>6.9994791466528776E-3</c:v>
                </c:pt>
                <c:pt idx="275">
                  <c:v>6.9389196540790331E-3</c:v>
                </c:pt>
                <c:pt idx="276">
                  <c:v>6.879011997695951E-3</c:v>
                </c:pt>
                <c:pt idx="277">
                  <c:v>6.8197477466671024E-3</c:v>
                </c:pt>
                <c:pt idx="278">
                  <c:v>6.7611185974504225E-3</c:v>
                </c:pt>
                <c:pt idx="279">
                  <c:v>6.7031163716109662E-3</c:v>
                </c:pt>
                <c:pt idx="280">
                  <c:v>6.6457330136752866E-3</c:v>
                </c:pt>
                <c:pt idx="281">
                  <c:v>6.5889605890268191E-3</c:v>
                </c:pt>
                <c:pt idx="282">
                  <c:v>6.5327912818411629E-3</c:v>
                </c:pt>
                <c:pt idx="283">
                  <c:v>6.4772173930606799E-3</c:v>
                </c:pt>
                <c:pt idx="284">
                  <c:v>6.4222313384074883E-3</c:v>
                </c:pt>
                <c:pt idx="285">
                  <c:v>6.3678256464340449E-3</c:v>
                </c:pt>
                <c:pt idx="286">
                  <c:v>6.3139929566106102E-3</c:v>
                </c:pt>
                <c:pt idx="287">
                  <c:v>6.2607260174487806E-3</c:v>
                </c:pt>
                <c:pt idx="288">
                  <c:v>6.2080176846603975E-3</c:v>
                </c:pt>
                <c:pt idx="289">
                  <c:v>6.1558609193510319E-3</c:v>
                </c:pt>
                <c:pt idx="290">
                  <c:v>6.1042487862474808E-3</c:v>
                </c:pt>
                <c:pt idx="291">
                  <c:v>6.0531744519583819E-3</c:v>
                </c:pt>
                <c:pt idx="292">
                  <c:v>6.0026311832674919E-3</c:v>
                </c:pt>
                <c:pt idx="293">
                  <c:v>5.9526123454586959E-3</c:v>
                </c:pt>
                <c:pt idx="294">
                  <c:v>5.9031114006724318E-3</c:v>
                </c:pt>
                <c:pt idx="295">
                  <c:v>5.8541219062925995E-3</c:v>
                </c:pt>
                <c:pt idx="296">
                  <c:v>5.8056375133634479E-3</c:v>
                </c:pt>
                <c:pt idx="297">
                  <c:v>5.7576519650359018E-3</c:v>
                </c:pt>
                <c:pt idx="298">
                  <c:v>5.710159095042599E-3</c:v>
                </c:pt>
                <c:pt idx="299">
                  <c:v>5.6631528262011729E-3</c:v>
                </c:pt>
                <c:pt idx="300">
                  <c:v>5.6166271689451069E-3</c:v>
                </c:pt>
                <c:pt idx="301">
                  <c:v>5.5705762198816934E-3</c:v>
                </c:pt>
                <c:pt idx="302">
                  <c:v>5.524994160376568E-3</c:v>
                </c:pt>
                <c:pt idx="303">
                  <c:v>5.4798752551640352E-3</c:v>
                </c:pt>
                <c:pt idx="304">
                  <c:v>5.4352138509831316E-3</c:v>
                </c:pt>
                <c:pt idx="305">
                  <c:v>5.3910043752384189E-3</c:v>
                </c:pt>
                <c:pt idx="306">
                  <c:v>5.3472413346853922E-3</c:v>
                </c:pt>
                <c:pt idx="307">
                  <c:v>5.303919314139708E-3</c:v>
                </c:pt>
                <c:pt idx="308">
                  <c:v>5.2610329752100175E-3</c:v>
                </c:pt>
                <c:pt idx="309">
                  <c:v>5.2185770550538029E-3</c:v>
                </c:pt>
                <c:pt idx="310">
                  <c:v>5.176546365155678E-3</c:v>
                </c:pt>
                <c:pt idx="311">
                  <c:v>5.1349357901279459E-3</c:v>
                </c:pt>
                <c:pt idx="312">
                  <c:v>5.0937402865326919E-3</c:v>
                </c:pt>
                <c:pt idx="313">
                  <c:v>5.0529548817252138E-3</c:v>
                </c:pt>
                <c:pt idx="314">
                  <c:v>5.0125746727182254E-3</c:v>
                </c:pt>
                <c:pt idx="315">
                  <c:v>4.9725948250664929E-3</c:v>
                </c:pt>
                <c:pt idx="316">
                  <c:v>4.9330105717715041E-3</c:v>
                </c:pt>
                <c:pt idx="317">
                  <c:v>4.8938172122056168E-3</c:v>
                </c:pt>
                <c:pt idx="318">
                  <c:v>4.8550101110556671E-3</c:v>
                </c:pt>
                <c:pt idx="319">
                  <c:v>4.8165846972852006E-3</c:v>
                </c:pt>
                <c:pt idx="320">
                  <c:v>4.7785364631153238E-3</c:v>
                </c:pt>
                <c:pt idx="321">
                  <c:v>4.7408609630235866E-3</c:v>
                </c:pt>
                <c:pt idx="322">
                  <c:v>4.7035538127607269E-3</c:v>
                </c:pt>
                <c:pt idx="323">
                  <c:v>4.6666106883846972E-3</c:v>
                </c:pt>
                <c:pt idx="324">
                  <c:v>4.6300273253119311E-3</c:v>
                </c:pt>
                <c:pt idx="325">
                  <c:v>4.593799517385185E-3</c:v>
                </c:pt>
                <c:pt idx="326">
                  <c:v>4.5579231159579214E-3</c:v>
                </c:pt>
                <c:pt idx="327">
                  <c:v>4.5223940289947535E-3</c:v>
                </c:pt>
                <c:pt idx="328">
                  <c:v>4.4872082201876436E-3</c:v>
                </c:pt>
                <c:pt idx="329">
                  <c:v>4.4523617080876408E-3</c:v>
                </c:pt>
                <c:pt idx="330">
                  <c:v>4.4178505652517994E-3</c:v>
                </c:pt>
                <c:pt idx="331">
                  <c:v>4.3836709174049117E-3</c:v>
                </c:pt>
                <c:pt idx="332">
                  <c:v>4.3498189426159194E-3</c:v>
                </c:pt>
                <c:pt idx="333">
                  <c:v>4.3162908704886789E-3</c:v>
                </c:pt>
                <c:pt idx="334">
                  <c:v>4.2830829813666361E-3</c:v>
                </c:pt>
                <c:pt idx="335">
                  <c:v>4.2501916055514618E-3</c:v>
                </c:pt>
                <c:pt idx="336">
                  <c:v>4.2176131225350535E-3</c:v>
                </c:pt>
                <c:pt idx="337">
                  <c:v>4.185343960244876E-3</c:v>
                </c:pt>
                <c:pt idx="338">
                  <c:v>4.1533805943023E-3</c:v>
                </c:pt>
                <c:pt idx="339">
                  <c:v>4.1217195472936603E-3</c:v>
                </c:pt>
                <c:pt idx="340">
                  <c:v>4.0903573880538575E-3</c:v>
                </c:pt>
                <c:pt idx="341">
                  <c:v>4.0592907309622717E-3</c:v>
                </c:pt>
                <c:pt idx="342">
                  <c:v>4.0285162352506456E-3</c:v>
                </c:pt>
                <c:pt idx="343">
                  <c:v>3.9980306043228397E-3</c:v>
                </c:pt>
                <c:pt idx="344">
                  <c:v>3.9678305850862142E-3</c:v>
                </c:pt>
                <c:pt idx="345">
                  <c:v>3.9379129672942412E-3</c:v>
                </c:pt>
                <c:pt idx="346">
                  <c:v>3.9082745829005011E-3</c:v>
                </c:pt>
                <c:pt idx="347">
                  <c:v>3.8789123054234409E-3</c:v>
                </c:pt>
                <c:pt idx="348">
                  <c:v>3.849823049321971E-3</c:v>
                </c:pt>
                <c:pt idx="349">
                  <c:v>3.821003769381603E-3</c:v>
                </c:pt>
                <c:pt idx="350">
                  <c:v>3.7924514601109086E-3</c:v>
                </c:pt>
                <c:pt idx="351">
                  <c:v>3.7641631551481639E-3</c:v>
                </c:pt>
                <c:pt idx="352">
                  <c:v>3.7361359266779512E-3</c:v>
                </c:pt>
                <c:pt idx="353">
                  <c:v>3.7083668848575438E-3</c:v>
                </c:pt>
                <c:pt idx="354">
                  <c:v>3.680853177252886E-3</c:v>
                </c:pt>
                <c:pt idx="355">
                  <c:v>3.6535919882839892E-3</c:v>
                </c:pt>
                <c:pt idx="356">
                  <c:v>3.6265805386796256E-3</c:v>
                </c:pt>
                <c:pt idx="357">
                  <c:v>3.5998160849410269E-3</c:v>
                </c:pt>
                <c:pt idx="358">
                  <c:v>3.5732959188145398E-3</c:v>
                </c:pt>
                <c:pt idx="359">
                  <c:v>3.5470173667730177E-3</c:v>
                </c:pt>
                <c:pt idx="360">
                  <c:v>3.5209777895058264E-3</c:v>
                </c:pt>
                <c:pt idx="361">
                  <c:v>3.4951745814172015E-3</c:v>
                </c:pt>
                <c:pt idx="362">
                  <c:v>3.4696051701329765E-3</c:v>
                </c:pt>
                <c:pt idx="363">
                  <c:v>3.4442670160153765E-3</c:v>
                </c:pt>
                <c:pt idx="364">
                  <c:v>3.4191576116857671E-3</c:v>
                </c:pt>
                <c:pt idx="365">
                  <c:v>3.3942744815553053E-3</c:v>
                </c:pt>
                <c:pt idx="366">
                  <c:v>3.3696151813632229E-3</c:v>
                </c:pt>
                <c:pt idx="367">
                  <c:v>3.3451772977226841E-3</c:v>
                </c:pt>
                <c:pt idx="368">
                  <c:v>3.3209584476740044E-3</c:v>
                </c:pt>
                <c:pt idx="369">
                  <c:v>3.2969562782452413E-3</c:v>
                </c:pt>
                <c:pt idx="370">
                  <c:v>3.2731684660198212E-3</c:v>
                </c:pt>
                <c:pt idx="371">
                  <c:v>3.2495927167112896E-3</c:v>
                </c:pt>
                <c:pt idx="372">
                  <c:v>3.2262267647448373E-3</c:v>
                </c:pt>
                <c:pt idx="373">
                  <c:v>3.2030683728457138E-3</c:v>
                </c:pt>
                <c:pt idx="374">
                  <c:v>3.180115331634193E-3</c:v>
                </c:pt>
                <c:pt idx="375">
                  <c:v>3.1573654592271087E-3</c:v>
                </c:pt>
                <c:pt idx="376">
                  <c:v>3.1348166008458027E-3</c:v>
                </c:pt>
                <c:pt idx="377">
                  <c:v>3.1124666284303346E-3</c:v>
                </c:pt>
                <c:pt idx="378">
                  <c:v>3.0903134402599139E-3</c:v>
                </c:pt>
                <c:pt idx="379">
                  <c:v>3.0683549605793965E-3</c:v>
                </c:pt>
                <c:pt idx="380">
                  <c:v>3.046589139231711E-3</c:v>
                </c:pt>
                <c:pt idx="381">
                  <c:v>3.0250139512962211E-3</c:v>
                </c:pt>
                <c:pt idx="382">
                  <c:v>3.0036273967327287E-3</c:v>
                </c:pt>
                <c:pt idx="383">
                  <c:v>2.9824275000312752E-3</c:v>
                </c:pt>
                <c:pt idx="384">
                  <c:v>2.9614123098673653E-3</c:v>
                </c:pt>
                <c:pt idx="385">
                  <c:v>2.9405798987627322E-3</c:v>
                </c:pt>
                <c:pt idx="386">
                  <c:v>2.9199283627514209E-3</c:v>
                </c:pt>
                <c:pt idx="387">
                  <c:v>2.899455821051178E-3</c:v>
                </c:pt>
                <c:pt idx="388">
                  <c:v>2.8791604157399711E-3</c:v>
                </c:pt>
                <c:pt idx="389">
                  <c:v>2.8590403114376198E-3</c:v>
                </c:pt>
                <c:pt idx="390">
                  <c:v>2.839093694992423E-3</c:v>
                </c:pt>
                <c:pt idx="391">
                  <c:v>2.8193187751726755E-3</c:v>
                </c:pt>
                <c:pt idx="392">
                  <c:v>2.7997137823630473E-3</c:v>
                </c:pt>
                <c:pt idx="393">
                  <c:v>2.7802769682656503E-3</c:v>
                </c:pt>
                <c:pt idx="394">
                  <c:v>2.7610066056058024E-3</c:v>
                </c:pt>
                <c:pt idx="395">
                  <c:v>2.7419009878423485E-3</c:v>
                </c:pt>
                <c:pt idx="396">
                  <c:v>2.7229584288824922E-3</c:v>
                </c:pt>
                <c:pt idx="397">
                  <c:v>2.7041772628010391E-3</c:v>
                </c:pt>
                <c:pt idx="398">
                  <c:v>2.685555843563983E-3</c:v>
                </c:pt>
                <c:pt idx="399">
                  <c:v>2.6670925447563713E-3</c:v>
                </c:pt>
                <c:pt idx="400">
                  <c:v>2.6487857593143378E-3</c:v>
                </c:pt>
                <c:pt idx="401">
                  <c:v>2.6306338992613297E-3</c:v>
                </c:pt>
                <c:pt idx="402">
                  <c:v>2.6126353954482938E-3</c:v>
                </c:pt>
                <c:pt idx="403">
                  <c:v>2.5947886972979106E-3</c:v>
                </c:pt>
                <c:pt idx="404">
                  <c:v>2.5770922725527382E-3</c:v>
                </c:pt>
                <c:pt idx="405">
                  <c:v>2.5595446070271798E-3</c:v>
                </c:pt>
                <c:pt idx="406">
                  <c:v>2.5421442043632647E-3</c:v>
                </c:pt>
                <c:pt idx="407">
                  <c:v>2.524889585790141E-3</c:v>
                </c:pt>
                <c:pt idx="408">
                  <c:v>2.5077792898872088E-3</c:v>
                </c:pt>
                <c:pt idx="409">
                  <c:v>2.4908118723508668E-3</c:v>
                </c:pt>
                <c:pt idx="410">
                  <c:v>2.4739859057648006E-3</c:v>
                </c:pt>
                <c:pt idx="411">
                  <c:v>2.4572999793737254E-3</c:v>
                </c:pt>
                <c:pt idx="412">
                  <c:v>2.4407526988605571E-3</c:v>
                </c:pt>
                <c:pt idx="413">
                  <c:v>2.4243426861269499E-3</c:v>
                </c:pt>
                <c:pt idx="414">
                  <c:v>2.4080685790771159E-3</c:v>
                </c:pt>
                <c:pt idx="415">
                  <c:v>2.3919290314049087E-3</c:v>
                </c:pt>
                <c:pt idx="416">
                  <c:v>2.3759227123841108E-3</c:v>
                </c:pt>
                <c:pt idx="417">
                  <c:v>2.3600483066618431E-3</c:v>
                </c:pt>
                <c:pt idx="418">
                  <c:v>2.3443045140550548E-3</c:v>
                </c:pt>
                <c:pt idx="419">
                  <c:v>2.3286900493500826E-3</c:v>
                </c:pt>
                <c:pt idx="420">
                  <c:v>2.3132036421051596E-3</c:v>
                </c:pt>
                <c:pt idx="421">
                  <c:v>2.2978440364559019E-3</c:v>
                </c:pt>
                <c:pt idx="422">
                  <c:v>2.2826099909236449E-3</c:v>
                </c:pt>
                <c:pt idx="423">
                  <c:v>2.2675002782266331E-3</c:v>
                </c:pt>
                <c:pt idx="424">
                  <c:v>2.2525136850940165E-3</c:v>
                </c:pt>
                <c:pt idx="425">
                  <c:v>2.2376490120825923E-3</c:v>
                </c:pt>
                <c:pt idx="426">
                  <c:v>2.222905073396216E-3</c:v>
                </c:pt>
                <c:pt idx="427">
                  <c:v>2.2082806967079383E-3</c:v>
                </c:pt>
                <c:pt idx="428">
                  <c:v>2.1937747229846725E-3</c:v>
                </c:pt>
                <c:pt idx="429">
                  <c:v>2.1793860063145125E-3</c:v>
                </c:pt>
                <c:pt idx="430">
                  <c:v>2.1651134137365283E-3</c:v>
                </c:pt>
                <c:pt idx="431">
                  <c:v>2.1509558250730728E-3</c:v>
                </c:pt>
                <c:pt idx="432">
                  <c:v>2.1369121327645406E-3</c:v>
                </c:pt>
                <c:pt idx="433">
                  <c:v>2.1229812417065098E-3</c:v>
                </c:pt>
                <c:pt idx="434">
                  <c:v>2.1091620690893006E-3</c:v>
                </c:pt>
                <c:pt idx="435">
                  <c:v>2.0954535442398122E-3</c:v>
                </c:pt>
                <c:pt idx="436">
                  <c:v>2.0818546084656799E-3</c:v>
                </c:pt>
                <c:pt idx="437">
                  <c:v>2.0683642149016907E-3</c:v>
                </c:pt>
                <c:pt idx="438">
                  <c:v>2.0549813283584199E-3</c:v>
                </c:pt>
                <c:pt idx="439">
                  <c:v>2.0417049251730541E-3</c:v>
                </c:pt>
                <c:pt idx="440">
                  <c:v>2.0285339930623258E-3</c:v>
                </c:pt>
                <c:pt idx="441">
                  <c:v>2.015467530977626E-3</c:v>
                </c:pt>
                <c:pt idx="442">
                  <c:v>2.0025045489621518E-3</c:v>
                </c:pt>
                <c:pt idx="443">
                  <c:v>1.9896440680101267E-3</c:v>
                </c:pt>
                <c:pt idx="444">
                  <c:v>1.9768851199280014E-3</c:v>
                </c:pt>
                <c:pt idx="445">
                  <c:v>1.9642267471976947E-3</c:v>
                </c:pt>
                <c:pt idx="446">
                  <c:v>1.9516680028417329E-3</c:v>
                </c:pt>
                <c:pt idx="447">
                  <c:v>1.9392079502903259E-3</c:v>
                </c:pt>
                <c:pt idx="448">
                  <c:v>1.9268456632503608E-3</c:v>
                </c:pt>
                <c:pt idx="449">
                  <c:v>1.9145802255762161E-3</c:v>
                </c:pt>
                <c:pt idx="450">
                  <c:v>1.9024107311424179E-3</c:v>
                </c:pt>
                <c:pt idx="451">
                  <c:v>1.8903362837181287E-3</c:v>
                </c:pt>
                <c:pt idx="452">
                  <c:v>1.8783559968433535E-3</c:v>
                </c:pt>
                <c:pt idx="453">
                  <c:v>1.8664689937069568E-3</c:v>
                </c:pt>
                <c:pt idx="454">
                  <c:v>1.8546744070263267E-3</c:v>
                </c:pt>
                <c:pt idx="455">
                  <c:v>1.8429713789288049E-3</c:v>
                </c:pt>
                <c:pt idx="456">
                  <c:v>1.8313590608347284E-3</c:v>
                </c:pt>
                <c:pt idx="457">
                  <c:v>1.8198366133421093E-3</c:v>
                </c:pt>
                <c:pt idx="458">
                  <c:v>1.8084032061129853E-3</c:v>
                </c:pt>
                <c:pt idx="459">
                  <c:v>1.7970580177612782E-3</c:v>
                </c:pt>
                <c:pt idx="460">
                  <c:v>1.7858002357422796E-3</c:v>
                </c:pt>
                <c:pt idx="461">
                  <c:v>1.7746290562436562E-3</c:v>
                </c:pt>
                <c:pt idx="462">
                  <c:v>1.7635436840779427E-3</c:v>
                </c:pt>
                <c:pt idx="463">
                  <c:v>1.7525433325765699E-3</c:v>
                </c:pt>
                <c:pt idx="464">
                  <c:v>1.7416272234853467E-3</c:v>
                </c:pt>
                <c:pt idx="465">
                  <c:v>1.7307945868613702E-3</c:v>
                </c:pt>
                <c:pt idx="466">
                  <c:v>1.7200446609713736E-3</c:v>
                </c:pt>
                <c:pt idx="467">
                  <c:v>1.7093766921914874E-3</c:v>
                </c:pt>
                <c:pt idx="468">
                  <c:v>1.6987899349083717E-3</c:v>
                </c:pt>
                <c:pt idx="469">
                  <c:v>1.6882836514216862E-3</c:v>
                </c:pt>
                <c:pt idx="470">
                  <c:v>1.6778571118479435E-3</c:v>
                </c:pt>
                <c:pt idx="471">
                  <c:v>1.6675095940256455E-3</c:v>
                </c:pt>
                <c:pt idx="472">
                  <c:v>1.6572403834217149E-3</c:v>
                </c:pt>
                <c:pt idx="473">
                  <c:v>1.6470487730392467E-3</c:v>
                </c:pt>
                <c:pt idx="474">
                  <c:v>1.6369340633264706E-3</c:v>
                </c:pt>
                <c:pt idx="475">
                  <c:v>1.6268955620869748E-3</c:v>
                </c:pt>
                <c:pt idx="476">
                  <c:v>1.6169325843911522E-3</c:v>
                </c:pt>
                <c:pt idx="477">
                  <c:v>1.6070444524888432E-3</c:v>
                </c:pt>
                <c:pt idx="478">
                  <c:v>1.5972304957231715E-3</c:v>
                </c:pt>
                <c:pt idx="479">
                  <c:v>1.587490050445526E-3</c:v>
                </c:pt>
                <c:pt idx="480">
                  <c:v>1.5778224599317145E-3</c:v>
                </c:pt>
                <c:pt idx="481">
                  <c:v>1.568227074299249E-3</c:v>
                </c:pt>
                <c:pt idx="482">
                  <c:v>1.5587032504257182E-3</c:v>
                </c:pt>
                <c:pt idx="483">
                  <c:v>1.5492503518682755E-3</c:v>
                </c:pt>
                <c:pt idx="484">
                  <c:v>1.5398677487842294E-3</c:v>
                </c:pt>
                <c:pt idx="485">
                  <c:v>1.5305548178526595E-3</c:v>
                </c:pt>
                <c:pt idx="486">
                  <c:v>1.5213109421971054E-3</c:v>
                </c:pt>
                <c:pt idx="487">
                  <c:v>1.5121355113092865E-3</c:v>
                </c:pt>
                <c:pt idx="488">
                  <c:v>1.5030279209738329E-3</c:v>
                </c:pt>
                <c:pt idx="489">
                  <c:v>1.4939875731940352E-3</c:v>
                </c:pt>
                <c:pt idx="490">
                  <c:v>1.4850138761185547E-3</c:v>
                </c:pt>
                <c:pt idx="491">
                  <c:v>1.4761062439691461E-3</c:v>
                </c:pt>
                <c:pt idx="492">
                  <c:v>1.4672640969692892E-3</c:v>
                </c:pt>
                <c:pt idx="493">
                  <c:v>1.4584868612738243E-3</c:v>
                </c:pt>
                <c:pt idx="494">
                  <c:v>1.4497739688994699E-3</c:v>
                </c:pt>
                <c:pt idx="495">
                  <c:v>1.441124857656277E-3</c:v>
                </c:pt>
                <c:pt idx="496">
                  <c:v>1.4325389710799911E-3</c:v>
                </c:pt>
                <c:pt idx="497">
                  <c:v>1.4240157583652979E-3</c:v>
                </c:pt>
                <c:pt idx="498">
                  <c:v>1.4155546742999549E-3</c:v>
                </c:pt>
                <c:pt idx="499">
                  <c:v>1.40715517919977E-3</c:v>
                </c:pt>
                <c:pt idx="500">
                  <c:v>1.3988167388444474E-3</c:v>
                </c:pt>
                <c:pt idx="501">
                  <c:v>1.3905388244142883E-3</c:v>
                </c:pt>
                <c:pt idx="502">
                  <c:v>1.3823209124276595E-3</c:v>
                </c:pt>
                <c:pt idx="503">
                  <c:v>1.3741624846793647E-3</c:v>
                </c:pt>
                <c:pt idx="504">
                  <c:v>1.3660630281797379E-3</c:v>
                </c:pt>
                <c:pt idx="505">
                  <c:v>1.3580220350945763E-3</c:v>
                </c:pt>
                <c:pt idx="506">
                  <c:v>1.3500390026858476E-3</c:v>
                </c:pt>
                <c:pt idx="507">
                  <c:v>1.3421134332531448E-3</c:v>
                </c:pt>
                <c:pt idx="508">
                  <c:v>1.3342448340759228E-3</c:v>
                </c:pt>
                <c:pt idx="509">
                  <c:v>1.3264327173564735E-3</c:v>
                </c:pt>
                <c:pt idx="510">
                  <c:v>1.3186766001636327E-3</c:v>
                </c:pt>
                <c:pt idx="511">
                  <c:v>1.3109760043772184E-3</c:v>
                </c:pt>
                <c:pt idx="512">
                  <c:v>1.3033304566331821E-3</c:v>
                </c:pt>
                <c:pt idx="513">
                  <c:v>1.295739488269463E-3</c:v>
                </c:pt>
                <c:pt idx="514">
                  <c:v>1.2882026352725509E-3</c:v>
                </c:pt>
                <c:pt idx="515">
                  <c:v>1.2807194382247096E-3</c:v>
                </c:pt>
                <c:pt idx="516">
                  <c:v>1.2732894422518954E-3</c:v>
                </c:pt>
                <c:pt idx="517">
                  <c:v>1.2659121969723303E-3</c:v>
                </c:pt>
                <c:pt idx="518">
                  <c:v>1.258587256445747E-3</c:v>
                </c:pt>
                <c:pt idx="519">
                  <c:v>1.2513141791232567E-3</c:v>
                </c:pt>
                <c:pt idx="520">
                  <c:v>1.2440925277978712E-3</c:v>
                </c:pt>
                <c:pt idx="521">
                  <c:v>1.2369218695556566E-3</c:v>
                </c:pt>
                <c:pt idx="522">
                  <c:v>1.2298017757274924E-3</c:v>
                </c:pt>
                <c:pt idx="523">
                  <c:v>1.2227318218414574E-3</c:v>
                </c:pt>
                <c:pt idx="524">
                  <c:v>1.2157115875757912E-3</c:v>
                </c:pt>
                <c:pt idx="525">
                  <c:v>1.2087406567124952E-3</c:v>
                </c:pt>
                <c:pt idx="526">
                  <c:v>1.2018186170914672E-3</c:v>
                </c:pt>
                <c:pt idx="527">
                  <c:v>1.1949450605652574E-3</c:v>
                </c:pt>
                <c:pt idx="528">
                  <c:v>1.1881195829543552E-3</c:v>
                </c:pt>
                <c:pt idx="529">
                  <c:v>1.1813417840030773E-3</c:v>
                </c:pt>
                <c:pt idx="530">
                  <c:v>1.1746112673359707E-3</c:v>
                </c:pt>
                <c:pt idx="531">
                  <c:v>1.167927640414792E-3</c:v>
                </c:pt>
                <c:pt idx="532">
                  <c:v>1.1612905144959983E-3</c:v>
                </c:pt>
                <c:pt idx="533">
                  <c:v>1.1546995045887945E-3</c:v>
                </c:pt>
                <c:pt idx="534">
                  <c:v>1.148154229413684E-3</c:v>
                </c:pt>
                <c:pt idx="535">
                  <c:v>1.1416543113615442E-3</c:v>
                </c:pt>
                <c:pt idx="536">
                  <c:v>1.1351993764532118E-3</c:v>
                </c:pt>
                <c:pt idx="537">
                  <c:v>1.1287890542995601E-3</c:v>
                </c:pt>
                <c:pt idx="538">
                  <c:v>1.1224229780620871E-3</c:v>
                </c:pt>
                <c:pt idx="539">
                  <c:v>1.1161007844139781E-3</c:v>
                </c:pt>
                <c:pt idx="540">
                  <c:v>1.1098221135016515E-3</c:v>
                </c:pt>
                <c:pt idx="541">
                  <c:v>1.1035866089067886E-3</c:v>
                </c:pt>
                <c:pt idx="542">
                  <c:v>1.0973939176088165E-3</c:v>
                </c:pt>
                <c:pt idx="543">
                  <c:v>1.0912436899478668E-3</c:v>
                </c:pt>
                <c:pt idx="544">
                  <c:v>1.0851355795881822E-3</c:v>
                </c:pt>
                <c:pt idx="545">
                  <c:v>1.07906924348197E-3</c:v>
                </c:pt>
                <c:pt idx="546">
                  <c:v>1.0730443418337113E-3</c:v>
                </c:pt>
                <c:pt idx="547">
                  <c:v>1.0670605380648868E-3</c:v>
                </c:pt>
                <c:pt idx="548">
                  <c:v>1.0611174987791533E-3</c:v>
                </c:pt>
                <c:pt idx="549">
                  <c:v>1.0552148937279301E-3</c:v>
                </c:pt>
                <c:pt idx="550">
                  <c:v>1.0493523957764157E-3</c:v>
                </c:pt>
                <c:pt idx="551">
                  <c:v>1.0435296808700158E-3</c:v>
                </c:pt>
                <c:pt idx="552">
                  <c:v>1.0377464280011714E-3</c:v>
                </c:pt>
                <c:pt idx="553">
                  <c:v>1.0320023191766E-3</c:v>
                </c:pt>
                <c:pt idx="554">
                  <c:v>1.0262970393849274E-3</c:v>
                </c:pt>
                <c:pt idx="555">
                  <c:v>1.0206302765647115E-3</c:v>
                </c:pt>
                <c:pt idx="556">
                  <c:v>1.0150017215728618E-3</c:v>
                </c:pt>
                <c:pt idx="557">
                  <c:v>1.0094110681534152E-3</c:v>
                </c:pt>
                <c:pt idx="558">
                  <c:v>1.0038580129067322E-3</c:v>
                </c:pt>
                <c:pt idx="559">
                  <c:v>9.9834225525900332E-4</c:v>
                </c:pt>
                <c:pt idx="560">
                  <c:v>9.928634974321897E-4</c:v>
                </c:pt>
                <c:pt idx="561">
                  <c:v>9.8742144441426216E-4</c:v>
                </c:pt>
                <c:pt idx="562">
                  <c:v>9.8201580392984341E-4</c:v>
                </c:pt>
                <c:pt idx="563">
                  <c:v>9.7664628641117783E-4</c:v>
                </c:pt>
                <c:pt idx="564">
                  <c:v>9.7131260496944878E-4</c:v>
                </c:pt>
                <c:pt idx="565">
                  <c:v>9.6601447536644517E-4</c:v>
                </c:pt>
                <c:pt idx="566">
                  <c:v>9.6075161598657612E-4</c:v>
                </c:pt>
                <c:pt idx="567">
                  <c:v>9.5552374780919142E-4</c:v>
                </c:pt>
                <c:pt idx="568">
                  <c:v>9.5033059438124441E-4</c:v>
                </c:pt>
                <c:pt idx="569">
                  <c:v>9.4517188179029884E-4</c:v>
                </c:pt>
                <c:pt idx="570">
                  <c:v>9.4004733863782162E-4</c:v>
                </c:pt>
                <c:pt idx="571">
                  <c:v>9.3495669601281349E-4</c:v>
                </c:pt>
                <c:pt idx="572">
                  <c:v>9.2989968746574848E-4</c:v>
                </c:pt>
                <c:pt idx="573">
                  <c:v>9.2487604898281546E-4</c:v>
                </c:pt>
                <c:pt idx="574">
                  <c:v>9.1988551896046136E-4</c:v>
                </c:pt>
                <c:pt idx="575">
                  <c:v>9.1492783818025703E-4</c:v>
                </c:pt>
                <c:pt idx="576">
                  <c:v>9.1000274978401887E-4</c:v>
                </c:pt>
                <c:pt idx="577">
                  <c:v>9.051099992492597E-4</c:v>
                </c:pt>
                <c:pt idx="578">
                  <c:v>9.0024933436490761E-4</c:v>
                </c:pt>
                <c:pt idx="579">
                  <c:v>8.9542050520731279E-4</c:v>
                </c:pt>
                <c:pt idx="580">
                  <c:v>8.9062326411654407E-4</c:v>
                </c:pt>
                <c:pt idx="581">
                  <c:v>8.8585736567293408E-4</c:v>
                </c:pt>
                <c:pt idx="582">
                  <c:v>8.8112256667394824E-4</c:v>
                </c:pt>
                <c:pt idx="583">
                  <c:v>8.7641862611127265E-4</c:v>
                </c:pt>
                <c:pt idx="584">
                  <c:v>8.7174530514818737E-4</c:v>
                </c:pt>
                <c:pt idx="585">
                  <c:v>8.671023670972169E-4</c:v>
                </c:pt>
                <c:pt idx="586">
                  <c:v>8.6248957739802612E-4</c:v>
                </c:pt>
                <c:pt idx="587">
                  <c:v>8.5790670359556166E-4</c:v>
                </c:pt>
                <c:pt idx="588">
                  <c:v>8.5335351531847263E-4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5-4BB2-99B6-DC92ED8F5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5997680"/>
        <c:axId val="1546001840"/>
      </c:barChart>
      <c:catAx>
        <c:axId val="1545997680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546001840"/>
        <c:crosses val="autoZero"/>
        <c:auto val="1"/>
        <c:lblAlgn val="ctr"/>
        <c:lblOffset val="100"/>
        <c:noMultiLvlLbl val="0"/>
      </c:catAx>
      <c:valAx>
        <c:axId val="1546001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54599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Lognormal!$D$6</c:f>
              <c:strCache>
                <c:ptCount val="1"/>
                <c:pt idx="0">
                  <c:v>F(x)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numRef>
              <c:f>Lognormal!$B$7:$B$595</c:f>
              <c:numCache>
                <c:formatCode>0.0</c:formatCode>
                <c:ptCount val="589"/>
                <c:pt idx="0">
                  <c:v>0.01</c:v>
                </c:pt>
                <c:pt idx="1">
                  <c:v>1.0999999999999999E-2</c:v>
                </c:pt>
                <c:pt idx="2">
                  <c:v>1.2E-2</c:v>
                </c:pt>
                <c:pt idx="3">
                  <c:v>1.3000000000000001E-2</c:v>
                </c:pt>
                <c:pt idx="4">
                  <c:v>1.4000000000000002E-2</c:v>
                </c:pt>
                <c:pt idx="5">
                  <c:v>1.5000000000000003E-2</c:v>
                </c:pt>
                <c:pt idx="6">
                  <c:v>1.6000000000000004E-2</c:v>
                </c:pt>
                <c:pt idx="7">
                  <c:v>1.7000000000000005E-2</c:v>
                </c:pt>
                <c:pt idx="8">
                  <c:v>1.8000000000000006E-2</c:v>
                </c:pt>
                <c:pt idx="9">
                  <c:v>1.9000000000000006E-2</c:v>
                </c:pt>
                <c:pt idx="10">
                  <c:v>2.0000000000000007E-2</c:v>
                </c:pt>
                <c:pt idx="11">
                  <c:v>2.1000000000000008E-2</c:v>
                </c:pt>
                <c:pt idx="12">
                  <c:v>2.2000000000000009E-2</c:v>
                </c:pt>
                <c:pt idx="13">
                  <c:v>2.300000000000001E-2</c:v>
                </c:pt>
                <c:pt idx="14">
                  <c:v>2.4000000000000011E-2</c:v>
                </c:pt>
                <c:pt idx="15">
                  <c:v>2.5000000000000012E-2</c:v>
                </c:pt>
                <c:pt idx="16">
                  <c:v>0.12500000000000003</c:v>
                </c:pt>
                <c:pt idx="17">
                  <c:v>0.22500000000000003</c:v>
                </c:pt>
                <c:pt idx="18">
                  <c:v>0.32500000000000007</c:v>
                </c:pt>
                <c:pt idx="19">
                  <c:v>0.42500000000000004</c:v>
                </c:pt>
                <c:pt idx="20">
                  <c:v>0.52500000000000002</c:v>
                </c:pt>
                <c:pt idx="21">
                  <c:v>0.625</c:v>
                </c:pt>
                <c:pt idx="22">
                  <c:v>0.72499999999999998</c:v>
                </c:pt>
                <c:pt idx="23">
                  <c:v>0.82499999999999996</c:v>
                </c:pt>
                <c:pt idx="24">
                  <c:v>0.92499999999999993</c:v>
                </c:pt>
                <c:pt idx="25">
                  <c:v>1.0249999999999999</c:v>
                </c:pt>
                <c:pt idx="26">
                  <c:v>1.125</c:v>
                </c:pt>
                <c:pt idx="27">
                  <c:v>1.2250000000000001</c:v>
                </c:pt>
                <c:pt idx="28">
                  <c:v>1.3250000000000002</c:v>
                </c:pt>
                <c:pt idx="29">
                  <c:v>1.4250000000000003</c:v>
                </c:pt>
                <c:pt idx="30">
                  <c:v>1.5250000000000004</c:v>
                </c:pt>
                <c:pt idx="31">
                  <c:v>1.6250000000000004</c:v>
                </c:pt>
                <c:pt idx="32">
                  <c:v>1.7250000000000005</c:v>
                </c:pt>
                <c:pt idx="33">
                  <c:v>1.8250000000000006</c:v>
                </c:pt>
                <c:pt idx="34">
                  <c:v>1.9250000000000007</c:v>
                </c:pt>
                <c:pt idx="35">
                  <c:v>2.0250000000000008</c:v>
                </c:pt>
                <c:pt idx="36">
                  <c:v>2.1250000000000009</c:v>
                </c:pt>
                <c:pt idx="37">
                  <c:v>2.225000000000001</c:v>
                </c:pt>
                <c:pt idx="38">
                  <c:v>2.3250000000000011</c:v>
                </c:pt>
                <c:pt idx="39">
                  <c:v>2.4250000000000012</c:v>
                </c:pt>
                <c:pt idx="40">
                  <c:v>2.5250000000000012</c:v>
                </c:pt>
                <c:pt idx="41">
                  <c:v>2.6250000000000013</c:v>
                </c:pt>
                <c:pt idx="42">
                  <c:v>2.7250000000000014</c:v>
                </c:pt>
                <c:pt idx="43">
                  <c:v>2.8250000000000015</c:v>
                </c:pt>
                <c:pt idx="44">
                  <c:v>2.9250000000000016</c:v>
                </c:pt>
                <c:pt idx="45">
                  <c:v>3.0250000000000017</c:v>
                </c:pt>
                <c:pt idx="46">
                  <c:v>3.1250000000000018</c:v>
                </c:pt>
                <c:pt idx="47">
                  <c:v>3.2250000000000019</c:v>
                </c:pt>
                <c:pt idx="48">
                  <c:v>3.325000000000002</c:v>
                </c:pt>
                <c:pt idx="49">
                  <c:v>3.425000000000002</c:v>
                </c:pt>
                <c:pt idx="50">
                  <c:v>3.5250000000000021</c:v>
                </c:pt>
                <c:pt idx="51">
                  <c:v>3.6250000000000022</c:v>
                </c:pt>
                <c:pt idx="52">
                  <c:v>3.7250000000000023</c:v>
                </c:pt>
                <c:pt idx="53">
                  <c:v>3.8250000000000024</c:v>
                </c:pt>
                <c:pt idx="54">
                  <c:v>3.9250000000000025</c:v>
                </c:pt>
                <c:pt idx="55">
                  <c:v>4.0250000000000021</c:v>
                </c:pt>
                <c:pt idx="56">
                  <c:v>4.1250000000000018</c:v>
                </c:pt>
                <c:pt idx="57">
                  <c:v>4.2250000000000014</c:v>
                </c:pt>
                <c:pt idx="58">
                  <c:v>4.3250000000000011</c:v>
                </c:pt>
                <c:pt idx="59">
                  <c:v>4.4250000000000007</c:v>
                </c:pt>
                <c:pt idx="60">
                  <c:v>4.5250000000000004</c:v>
                </c:pt>
                <c:pt idx="61">
                  <c:v>4.625</c:v>
                </c:pt>
                <c:pt idx="62">
                  <c:v>4.7249999999999996</c:v>
                </c:pt>
                <c:pt idx="63">
                  <c:v>4.8249999999999993</c:v>
                </c:pt>
                <c:pt idx="64">
                  <c:v>4.9249999999999989</c:v>
                </c:pt>
                <c:pt idx="65">
                  <c:v>5.0249999999999986</c:v>
                </c:pt>
                <c:pt idx="66">
                  <c:v>5.1249999999999982</c:v>
                </c:pt>
                <c:pt idx="67">
                  <c:v>5.2249999999999979</c:v>
                </c:pt>
                <c:pt idx="68">
                  <c:v>5.3249999999999975</c:v>
                </c:pt>
                <c:pt idx="69">
                  <c:v>5.4249999999999972</c:v>
                </c:pt>
                <c:pt idx="70">
                  <c:v>5.5249999999999968</c:v>
                </c:pt>
                <c:pt idx="71">
                  <c:v>5.6249999999999964</c:v>
                </c:pt>
                <c:pt idx="72">
                  <c:v>5.7249999999999961</c:v>
                </c:pt>
                <c:pt idx="73">
                  <c:v>5.8249999999999957</c:v>
                </c:pt>
                <c:pt idx="74">
                  <c:v>5.9249999999999954</c:v>
                </c:pt>
                <c:pt idx="75">
                  <c:v>6.024999999999995</c:v>
                </c:pt>
                <c:pt idx="76">
                  <c:v>6.1249999999999947</c:v>
                </c:pt>
                <c:pt idx="77">
                  <c:v>6.2249999999999943</c:v>
                </c:pt>
                <c:pt idx="78">
                  <c:v>6.324999999999994</c:v>
                </c:pt>
                <c:pt idx="79">
                  <c:v>6.4249999999999936</c:v>
                </c:pt>
                <c:pt idx="80">
                  <c:v>6.5249999999999932</c:v>
                </c:pt>
                <c:pt idx="81">
                  <c:v>6.6249999999999929</c:v>
                </c:pt>
                <c:pt idx="82">
                  <c:v>6.7249999999999925</c:v>
                </c:pt>
                <c:pt idx="83">
                  <c:v>6.8249999999999922</c:v>
                </c:pt>
                <c:pt idx="84">
                  <c:v>6.9249999999999918</c:v>
                </c:pt>
                <c:pt idx="85">
                  <c:v>7.0249999999999915</c:v>
                </c:pt>
                <c:pt idx="86">
                  <c:v>7.1249999999999911</c:v>
                </c:pt>
                <c:pt idx="87">
                  <c:v>7.2249999999999908</c:v>
                </c:pt>
                <c:pt idx="88">
                  <c:v>7.3249999999999904</c:v>
                </c:pt>
                <c:pt idx="89">
                  <c:v>7.4249999999999901</c:v>
                </c:pt>
                <c:pt idx="90">
                  <c:v>7.5249999999999897</c:v>
                </c:pt>
                <c:pt idx="91">
                  <c:v>7.6249999999999893</c:v>
                </c:pt>
                <c:pt idx="92">
                  <c:v>7.724999999999989</c:v>
                </c:pt>
                <c:pt idx="93">
                  <c:v>7.8249999999999886</c:v>
                </c:pt>
                <c:pt idx="94">
                  <c:v>7.9249999999999883</c:v>
                </c:pt>
                <c:pt idx="95">
                  <c:v>8.0249999999999879</c:v>
                </c:pt>
                <c:pt idx="96">
                  <c:v>8.1249999999999876</c:v>
                </c:pt>
                <c:pt idx="97">
                  <c:v>8.2249999999999872</c:v>
                </c:pt>
                <c:pt idx="98">
                  <c:v>8.3249999999999869</c:v>
                </c:pt>
                <c:pt idx="99">
                  <c:v>8.4249999999999865</c:v>
                </c:pt>
                <c:pt idx="100">
                  <c:v>8.5249999999999861</c:v>
                </c:pt>
                <c:pt idx="101">
                  <c:v>8.6249999999999858</c:v>
                </c:pt>
                <c:pt idx="102">
                  <c:v>8.7249999999999854</c:v>
                </c:pt>
                <c:pt idx="103">
                  <c:v>8.8249999999999851</c:v>
                </c:pt>
                <c:pt idx="104">
                  <c:v>8.9249999999999847</c:v>
                </c:pt>
                <c:pt idx="105">
                  <c:v>9.0249999999999844</c:v>
                </c:pt>
                <c:pt idx="106">
                  <c:v>9.124999999999984</c:v>
                </c:pt>
                <c:pt idx="107">
                  <c:v>9.2249999999999837</c:v>
                </c:pt>
                <c:pt idx="108">
                  <c:v>9.3249999999999833</c:v>
                </c:pt>
                <c:pt idx="109">
                  <c:v>9.4249999999999829</c:v>
                </c:pt>
                <c:pt idx="110">
                  <c:v>9.5249999999999826</c:v>
                </c:pt>
                <c:pt idx="111">
                  <c:v>9.6249999999999822</c:v>
                </c:pt>
                <c:pt idx="112">
                  <c:v>9.7249999999999819</c:v>
                </c:pt>
                <c:pt idx="113">
                  <c:v>9.8249999999999815</c:v>
                </c:pt>
                <c:pt idx="114">
                  <c:v>9.9249999999999812</c:v>
                </c:pt>
                <c:pt idx="115">
                  <c:v>10.024999999999981</c:v>
                </c:pt>
                <c:pt idx="116">
                  <c:v>10.12499999999998</c:v>
                </c:pt>
                <c:pt idx="117">
                  <c:v>10.22499999999998</c:v>
                </c:pt>
                <c:pt idx="118">
                  <c:v>10.32499999999998</c:v>
                </c:pt>
                <c:pt idx="119">
                  <c:v>10.424999999999979</c:v>
                </c:pt>
                <c:pt idx="120">
                  <c:v>10.524999999999979</c:v>
                </c:pt>
                <c:pt idx="121">
                  <c:v>10.624999999999979</c:v>
                </c:pt>
                <c:pt idx="122">
                  <c:v>10.724999999999978</c:v>
                </c:pt>
                <c:pt idx="123">
                  <c:v>10.824999999999978</c:v>
                </c:pt>
                <c:pt idx="124">
                  <c:v>10.924999999999978</c:v>
                </c:pt>
                <c:pt idx="125">
                  <c:v>11.024999999999977</c:v>
                </c:pt>
                <c:pt idx="126">
                  <c:v>11.124999999999977</c:v>
                </c:pt>
                <c:pt idx="127">
                  <c:v>11.224999999999977</c:v>
                </c:pt>
                <c:pt idx="128">
                  <c:v>11.324999999999976</c:v>
                </c:pt>
                <c:pt idx="129">
                  <c:v>11.424999999999976</c:v>
                </c:pt>
                <c:pt idx="130">
                  <c:v>11.524999999999975</c:v>
                </c:pt>
                <c:pt idx="131">
                  <c:v>11.624999999999975</c:v>
                </c:pt>
                <c:pt idx="132">
                  <c:v>11.724999999999975</c:v>
                </c:pt>
                <c:pt idx="133">
                  <c:v>11.824999999999974</c:v>
                </c:pt>
                <c:pt idx="134">
                  <c:v>11.924999999999974</c:v>
                </c:pt>
                <c:pt idx="135">
                  <c:v>12.024999999999974</c:v>
                </c:pt>
                <c:pt idx="136">
                  <c:v>12.124999999999973</c:v>
                </c:pt>
                <c:pt idx="137">
                  <c:v>12.224999999999973</c:v>
                </c:pt>
                <c:pt idx="138">
                  <c:v>12.324999999999973</c:v>
                </c:pt>
                <c:pt idx="139">
                  <c:v>12.424999999999972</c:v>
                </c:pt>
                <c:pt idx="140">
                  <c:v>12.524999999999972</c:v>
                </c:pt>
                <c:pt idx="141">
                  <c:v>12.624999999999972</c:v>
                </c:pt>
                <c:pt idx="142">
                  <c:v>12.724999999999971</c:v>
                </c:pt>
                <c:pt idx="143">
                  <c:v>12.824999999999971</c:v>
                </c:pt>
                <c:pt idx="144">
                  <c:v>12.924999999999971</c:v>
                </c:pt>
                <c:pt idx="145">
                  <c:v>13.02499999999997</c:v>
                </c:pt>
                <c:pt idx="146">
                  <c:v>13.12499999999997</c:v>
                </c:pt>
                <c:pt idx="147">
                  <c:v>13.224999999999969</c:v>
                </c:pt>
                <c:pt idx="148">
                  <c:v>13.324999999999969</c:v>
                </c:pt>
                <c:pt idx="149">
                  <c:v>13.424999999999969</c:v>
                </c:pt>
                <c:pt idx="150">
                  <c:v>13.524999999999968</c:v>
                </c:pt>
                <c:pt idx="151">
                  <c:v>13.624999999999968</c:v>
                </c:pt>
                <c:pt idx="152">
                  <c:v>13.724999999999968</c:v>
                </c:pt>
                <c:pt idx="153">
                  <c:v>13.824999999999967</c:v>
                </c:pt>
                <c:pt idx="154">
                  <c:v>13.924999999999967</c:v>
                </c:pt>
                <c:pt idx="155">
                  <c:v>14.024999999999967</c:v>
                </c:pt>
                <c:pt idx="156">
                  <c:v>14.124999999999966</c:v>
                </c:pt>
                <c:pt idx="157">
                  <c:v>14.224999999999966</c:v>
                </c:pt>
                <c:pt idx="158">
                  <c:v>14.324999999999966</c:v>
                </c:pt>
                <c:pt idx="159">
                  <c:v>14.424999999999965</c:v>
                </c:pt>
                <c:pt idx="160">
                  <c:v>14.524999999999965</c:v>
                </c:pt>
                <c:pt idx="161">
                  <c:v>14.624999999999964</c:v>
                </c:pt>
                <c:pt idx="162">
                  <c:v>14.724999999999964</c:v>
                </c:pt>
                <c:pt idx="163">
                  <c:v>14.824999999999964</c:v>
                </c:pt>
                <c:pt idx="164">
                  <c:v>14.924999999999963</c:v>
                </c:pt>
                <c:pt idx="165">
                  <c:v>15.024999999999963</c:v>
                </c:pt>
                <c:pt idx="166">
                  <c:v>15.124999999999963</c:v>
                </c:pt>
                <c:pt idx="167">
                  <c:v>15.224999999999962</c:v>
                </c:pt>
                <c:pt idx="168">
                  <c:v>15.324999999999962</c:v>
                </c:pt>
                <c:pt idx="169">
                  <c:v>15.424999999999962</c:v>
                </c:pt>
                <c:pt idx="170">
                  <c:v>15.524999999999961</c:v>
                </c:pt>
                <c:pt idx="171">
                  <c:v>15.624999999999961</c:v>
                </c:pt>
                <c:pt idx="172">
                  <c:v>15.724999999999961</c:v>
                </c:pt>
                <c:pt idx="173">
                  <c:v>15.82499999999996</c:v>
                </c:pt>
                <c:pt idx="174">
                  <c:v>15.92499999999996</c:v>
                </c:pt>
                <c:pt idx="175">
                  <c:v>16.024999999999959</c:v>
                </c:pt>
                <c:pt idx="176">
                  <c:v>16.124999999999961</c:v>
                </c:pt>
                <c:pt idx="177">
                  <c:v>16.224999999999962</c:v>
                </c:pt>
                <c:pt idx="178">
                  <c:v>16.324999999999964</c:v>
                </c:pt>
                <c:pt idx="179">
                  <c:v>16.424999999999965</c:v>
                </c:pt>
                <c:pt idx="180">
                  <c:v>16.524999999999967</c:v>
                </c:pt>
                <c:pt idx="181">
                  <c:v>16.624999999999968</c:v>
                </c:pt>
                <c:pt idx="182">
                  <c:v>16.724999999999969</c:v>
                </c:pt>
                <c:pt idx="183">
                  <c:v>16.824999999999971</c:v>
                </c:pt>
                <c:pt idx="184">
                  <c:v>16.924999999999972</c:v>
                </c:pt>
                <c:pt idx="185">
                  <c:v>17.024999999999974</c:v>
                </c:pt>
                <c:pt idx="186">
                  <c:v>17.124999999999975</c:v>
                </c:pt>
                <c:pt idx="187">
                  <c:v>17.224999999999977</c:v>
                </c:pt>
                <c:pt idx="188">
                  <c:v>17.324999999999978</c:v>
                </c:pt>
                <c:pt idx="189">
                  <c:v>17.424999999999979</c:v>
                </c:pt>
                <c:pt idx="190">
                  <c:v>17.524999999999981</c:v>
                </c:pt>
                <c:pt idx="191">
                  <c:v>17.624999999999982</c:v>
                </c:pt>
                <c:pt idx="192">
                  <c:v>17.724999999999984</c:v>
                </c:pt>
                <c:pt idx="193">
                  <c:v>17.824999999999985</c:v>
                </c:pt>
                <c:pt idx="194">
                  <c:v>17.924999999999986</c:v>
                </c:pt>
                <c:pt idx="195">
                  <c:v>18.024999999999988</c:v>
                </c:pt>
                <c:pt idx="196">
                  <c:v>18.124999999999989</c:v>
                </c:pt>
                <c:pt idx="197">
                  <c:v>18.224999999999991</c:v>
                </c:pt>
                <c:pt idx="198">
                  <c:v>18.324999999999992</c:v>
                </c:pt>
                <c:pt idx="199">
                  <c:v>18.424999999999994</c:v>
                </c:pt>
                <c:pt idx="200">
                  <c:v>18.524999999999995</c:v>
                </c:pt>
                <c:pt idx="201">
                  <c:v>18.624999999999996</c:v>
                </c:pt>
                <c:pt idx="202">
                  <c:v>18.724999999999998</c:v>
                </c:pt>
                <c:pt idx="203">
                  <c:v>18.824999999999999</c:v>
                </c:pt>
                <c:pt idx="204">
                  <c:v>18.925000000000001</c:v>
                </c:pt>
                <c:pt idx="205">
                  <c:v>19.025000000000002</c:v>
                </c:pt>
                <c:pt idx="206">
                  <c:v>19.125000000000004</c:v>
                </c:pt>
                <c:pt idx="207">
                  <c:v>19.225000000000005</c:v>
                </c:pt>
                <c:pt idx="208">
                  <c:v>19.325000000000006</c:v>
                </c:pt>
                <c:pt idx="209">
                  <c:v>19.425000000000008</c:v>
                </c:pt>
                <c:pt idx="210">
                  <c:v>19.525000000000009</c:v>
                </c:pt>
                <c:pt idx="211">
                  <c:v>19.625000000000011</c:v>
                </c:pt>
                <c:pt idx="212">
                  <c:v>19.725000000000012</c:v>
                </c:pt>
                <c:pt idx="213">
                  <c:v>19.825000000000014</c:v>
                </c:pt>
                <c:pt idx="214">
                  <c:v>19.925000000000015</c:v>
                </c:pt>
                <c:pt idx="215">
                  <c:v>20.025000000000016</c:v>
                </c:pt>
                <c:pt idx="216">
                  <c:v>20.125000000000018</c:v>
                </c:pt>
                <c:pt idx="217">
                  <c:v>20.225000000000019</c:v>
                </c:pt>
                <c:pt idx="218">
                  <c:v>20.325000000000021</c:v>
                </c:pt>
                <c:pt idx="219">
                  <c:v>20.425000000000022</c:v>
                </c:pt>
                <c:pt idx="220">
                  <c:v>20.525000000000023</c:v>
                </c:pt>
                <c:pt idx="221">
                  <c:v>20.625000000000025</c:v>
                </c:pt>
                <c:pt idx="222">
                  <c:v>20.725000000000026</c:v>
                </c:pt>
                <c:pt idx="223">
                  <c:v>20.825000000000028</c:v>
                </c:pt>
                <c:pt idx="224">
                  <c:v>20.925000000000029</c:v>
                </c:pt>
                <c:pt idx="225">
                  <c:v>21.025000000000031</c:v>
                </c:pt>
                <c:pt idx="226">
                  <c:v>21.125000000000032</c:v>
                </c:pt>
                <c:pt idx="227">
                  <c:v>21.225000000000033</c:v>
                </c:pt>
                <c:pt idx="228">
                  <c:v>21.325000000000035</c:v>
                </c:pt>
                <c:pt idx="229">
                  <c:v>21.425000000000036</c:v>
                </c:pt>
                <c:pt idx="230">
                  <c:v>21.525000000000038</c:v>
                </c:pt>
                <c:pt idx="231">
                  <c:v>21.625000000000039</c:v>
                </c:pt>
                <c:pt idx="232">
                  <c:v>21.725000000000041</c:v>
                </c:pt>
                <c:pt idx="233">
                  <c:v>21.825000000000042</c:v>
                </c:pt>
                <c:pt idx="234">
                  <c:v>21.925000000000043</c:v>
                </c:pt>
                <c:pt idx="235">
                  <c:v>22.025000000000045</c:v>
                </c:pt>
                <c:pt idx="236">
                  <c:v>22.125000000000046</c:v>
                </c:pt>
                <c:pt idx="237">
                  <c:v>22.225000000000048</c:v>
                </c:pt>
                <c:pt idx="238">
                  <c:v>22.325000000000049</c:v>
                </c:pt>
                <c:pt idx="239">
                  <c:v>22.42500000000005</c:v>
                </c:pt>
                <c:pt idx="240">
                  <c:v>22.525000000000052</c:v>
                </c:pt>
                <c:pt idx="241">
                  <c:v>22.625000000000053</c:v>
                </c:pt>
                <c:pt idx="242">
                  <c:v>22.725000000000055</c:v>
                </c:pt>
                <c:pt idx="243">
                  <c:v>22.825000000000056</c:v>
                </c:pt>
                <c:pt idx="244">
                  <c:v>22.925000000000058</c:v>
                </c:pt>
                <c:pt idx="245">
                  <c:v>23.025000000000059</c:v>
                </c:pt>
                <c:pt idx="246">
                  <c:v>23.12500000000006</c:v>
                </c:pt>
                <c:pt idx="247">
                  <c:v>23.225000000000062</c:v>
                </c:pt>
                <c:pt idx="248">
                  <c:v>23.325000000000063</c:v>
                </c:pt>
                <c:pt idx="249">
                  <c:v>23.425000000000065</c:v>
                </c:pt>
                <c:pt idx="250">
                  <c:v>23.525000000000066</c:v>
                </c:pt>
                <c:pt idx="251">
                  <c:v>23.625000000000068</c:v>
                </c:pt>
                <c:pt idx="252">
                  <c:v>23.725000000000069</c:v>
                </c:pt>
                <c:pt idx="253">
                  <c:v>23.82500000000007</c:v>
                </c:pt>
                <c:pt idx="254">
                  <c:v>23.925000000000072</c:v>
                </c:pt>
                <c:pt idx="255">
                  <c:v>24.025000000000073</c:v>
                </c:pt>
                <c:pt idx="256">
                  <c:v>24.125000000000075</c:v>
                </c:pt>
                <c:pt idx="257">
                  <c:v>24.225000000000076</c:v>
                </c:pt>
                <c:pt idx="258">
                  <c:v>24.325000000000077</c:v>
                </c:pt>
                <c:pt idx="259">
                  <c:v>24.425000000000079</c:v>
                </c:pt>
                <c:pt idx="260">
                  <c:v>24.52500000000008</c:v>
                </c:pt>
                <c:pt idx="261">
                  <c:v>24.625000000000082</c:v>
                </c:pt>
                <c:pt idx="262">
                  <c:v>24.725000000000083</c:v>
                </c:pt>
                <c:pt idx="263">
                  <c:v>24.825000000000085</c:v>
                </c:pt>
                <c:pt idx="264">
                  <c:v>24.925000000000086</c:v>
                </c:pt>
                <c:pt idx="265">
                  <c:v>25.025000000000087</c:v>
                </c:pt>
                <c:pt idx="266">
                  <c:v>25.125000000000089</c:v>
                </c:pt>
                <c:pt idx="267">
                  <c:v>25.22500000000009</c:v>
                </c:pt>
                <c:pt idx="268">
                  <c:v>25.325000000000092</c:v>
                </c:pt>
                <c:pt idx="269">
                  <c:v>25.425000000000093</c:v>
                </c:pt>
                <c:pt idx="270">
                  <c:v>25.525000000000095</c:v>
                </c:pt>
                <c:pt idx="271">
                  <c:v>25.625000000000096</c:v>
                </c:pt>
                <c:pt idx="272">
                  <c:v>25.725000000000097</c:v>
                </c:pt>
                <c:pt idx="273">
                  <c:v>25.825000000000099</c:v>
                </c:pt>
                <c:pt idx="274">
                  <c:v>25.9250000000001</c:v>
                </c:pt>
                <c:pt idx="275">
                  <c:v>26.025000000000102</c:v>
                </c:pt>
                <c:pt idx="276">
                  <c:v>26.125000000000103</c:v>
                </c:pt>
                <c:pt idx="277">
                  <c:v>26.225000000000104</c:v>
                </c:pt>
                <c:pt idx="278">
                  <c:v>26.325000000000106</c:v>
                </c:pt>
                <c:pt idx="279">
                  <c:v>26.425000000000107</c:v>
                </c:pt>
                <c:pt idx="280">
                  <c:v>26.525000000000109</c:v>
                </c:pt>
                <c:pt idx="281">
                  <c:v>26.62500000000011</c:v>
                </c:pt>
                <c:pt idx="282">
                  <c:v>26.725000000000112</c:v>
                </c:pt>
                <c:pt idx="283">
                  <c:v>26.825000000000113</c:v>
                </c:pt>
                <c:pt idx="284">
                  <c:v>26.925000000000114</c:v>
                </c:pt>
                <c:pt idx="285">
                  <c:v>27.025000000000116</c:v>
                </c:pt>
                <c:pt idx="286">
                  <c:v>27.125000000000117</c:v>
                </c:pt>
                <c:pt idx="287">
                  <c:v>27.225000000000119</c:v>
                </c:pt>
                <c:pt idx="288">
                  <c:v>27.32500000000012</c:v>
                </c:pt>
                <c:pt idx="289">
                  <c:v>27.425000000000122</c:v>
                </c:pt>
                <c:pt idx="290">
                  <c:v>27.525000000000123</c:v>
                </c:pt>
                <c:pt idx="291">
                  <c:v>27.625000000000124</c:v>
                </c:pt>
                <c:pt idx="292">
                  <c:v>27.725000000000126</c:v>
                </c:pt>
                <c:pt idx="293">
                  <c:v>27.825000000000127</c:v>
                </c:pt>
                <c:pt idx="294">
                  <c:v>27.925000000000129</c:v>
                </c:pt>
                <c:pt idx="295">
                  <c:v>28.02500000000013</c:v>
                </c:pt>
                <c:pt idx="296">
                  <c:v>28.125000000000131</c:v>
                </c:pt>
                <c:pt idx="297">
                  <c:v>28.225000000000133</c:v>
                </c:pt>
                <c:pt idx="298">
                  <c:v>28.325000000000134</c:v>
                </c:pt>
                <c:pt idx="299">
                  <c:v>28.425000000000136</c:v>
                </c:pt>
                <c:pt idx="300">
                  <c:v>28.525000000000137</c:v>
                </c:pt>
                <c:pt idx="301">
                  <c:v>28.625000000000139</c:v>
                </c:pt>
                <c:pt idx="302">
                  <c:v>28.72500000000014</c:v>
                </c:pt>
                <c:pt idx="303">
                  <c:v>28.825000000000141</c:v>
                </c:pt>
                <c:pt idx="304">
                  <c:v>28.925000000000143</c:v>
                </c:pt>
                <c:pt idx="305">
                  <c:v>29.025000000000144</c:v>
                </c:pt>
                <c:pt idx="306">
                  <c:v>29.125000000000146</c:v>
                </c:pt>
                <c:pt idx="307">
                  <c:v>29.225000000000147</c:v>
                </c:pt>
                <c:pt idx="308">
                  <c:v>29.325000000000149</c:v>
                </c:pt>
                <c:pt idx="309">
                  <c:v>29.42500000000015</c:v>
                </c:pt>
                <c:pt idx="310">
                  <c:v>29.525000000000151</c:v>
                </c:pt>
                <c:pt idx="311">
                  <c:v>29.625000000000153</c:v>
                </c:pt>
                <c:pt idx="312">
                  <c:v>29.725000000000154</c:v>
                </c:pt>
                <c:pt idx="313">
                  <c:v>29.825000000000156</c:v>
                </c:pt>
                <c:pt idx="314">
                  <c:v>29.925000000000157</c:v>
                </c:pt>
                <c:pt idx="315">
                  <c:v>30.025000000000158</c:v>
                </c:pt>
                <c:pt idx="316">
                  <c:v>30.12500000000016</c:v>
                </c:pt>
                <c:pt idx="317">
                  <c:v>30.225000000000161</c:v>
                </c:pt>
                <c:pt idx="318">
                  <c:v>30.325000000000163</c:v>
                </c:pt>
                <c:pt idx="319">
                  <c:v>30.425000000000164</c:v>
                </c:pt>
                <c:pt idx="320">
                  <c:v>30.525000000000166</c:v>
                </c:pt>
                <c:pt idx="321">
                  <c:v>30.625000000000167</c:v>
                </c:pt>
                <c:pt idx="322">
                  <c:v>30.725000000000168</c:v>
                </c:pt>
                <c:pt idx="323">
                  <c:v>30.82500000000017</c:v>
                </c:pt>
                <c:pt idx="324">
                  <c:v>30.925000000000171</c:v>
                </c:pt>
                <c:pt idx="325">
                  <c:v>31.025000000000173</c:v>
                </c:pt>
                <c:pt idx="326">
                  <c:v>31.125000000000174</c:v>
                </c:pt>
                <c:pt idx="327">
                  <c:v>31.225000000000176</c:v>
                </c:pt>
                <c:pt idx="328">
                  <c:v>31.325000000000177</c:v>
                </c:pt>
                <c:pt idx="329">
                  <c:v>31.425000000000178</c:v>
                </c:pt>
                <c:pt idx="330">
                  <c:v>31.52500000000018</c:v>
                </c:pt>
                <c:pt idx="331">
                  <c:v>31.625000000000181</c:v>
                </c:pt>
                <c:pt idx="332">
                  <c:v>31.725000000000183</c:v>
                </c:pt>
                <c:pt idx="333">
                  <c:v>31.825000000000184</c:v>
                </c:pt>
                <c:pt idx="334">
                  <c:v>31.925000000000185</c:v>
                </c:pt>
                <c:pt idx="335">
                  <c:v>32.025000000000183</c:v>
                </c:pt>
                <c:pt idx="336">
                  <c:v>32.125000000000185</c:v>
                </c:pt>
                <c:pt idx="337">
                  <c:v>32.225000000000186</c:v>
                </c:pt>
                <c:pt idx="338">
                  <c:v>32.325000000000188</c:v>
                </c:pt>
                <c:pt idx="339">
                  <c:v>32.425000000000189</c:v>
                </c:pt>
                <c:pt idx="340">
                  <c:v>32.52500000000019</c:v>
                </c:pt>
                <c:pt idx="341">
                  <c:v>32.625000000000192</c:v>
                </c:pt>
                <c:pt idx="342">
                  <c:v>32.725000000000193</c:v>
                </c:pt>
                <c:pt idx="343">
                  <c:v>32.825000000000195</c:v>
                </c:pt>
                <c:pt idx="344">
                  <c:v>32.925000000000196</c:v>
                </c:pt>
                <c:pt idx="345">
                  <c:v>33.025000000000198</c:v>
                </c:pt>
                <c:pt idx="346">
                  <c:v>33.125000000000199</c:v>
                </c:pt>
                <c:pt idx="347">
                  <c:v>33.2250000000002</c:v>
                </c:pt>
                <c:pt idx="348">
                  <c:v>33.325000000000202</c:v>
                </c:pt>
                <c:pt idx="349">
                  <c:v>33.425000000000203</c:v>
                </c:pt>
                <c:pt idx="350">
                  <c:v>33.525000000000205</c:v>
                </c:pt>
                <c:pt idx="351">
                  <c:v>33.625000000000206</c:v>
                </c:pt>
                <c:pt idx="352">
                  <c:v>33.725000000000207</c:v>
                </c:pt>
                <c:pt idx="353">
                  <c:v>33.825000000000209</c:v>
                </c:pt>
                <c:pt idx="354">
                  <c:v>33.92500000000021</c:v>
                </c:pt>
                <c:pt idx="355">
                  <c:v>34.025000000000212</c:v>
                </c:pt>
                <c:pt idx="356">
                  <c:v>34.125000000000213</c:v>
                </c:pt>
                <c:pt idx="357">
                  <c:v>34.225000000000215</c:v>
                </c:pt>
                <c:pt idx="358">
                  <c:v>34.325000000000216</c:v>
                </c:pt>
                <c:pt idx="359">
                  <c:v>34.425000000000217</c:v>
                </c:pt>
                <c:pt idx="360">
                  <c:v>34.525000000000219</c:v>
                </c:pt>
                <c:pt idx="361">
                  <c:v>34.62500000000022</c:v>
                </c:pt>
                <c:pt idx="362">
                  <c:v>34.725000000000222</c:v>
                </c:pt>
                <c:pt idx="363">
                  <c:v>34.825000000000223</c:v>
                </c:pt>
                <c:pt idx="364">
                  <c:v>34.925000000000225</c:v>
                </c:pt>
                <c:pt idx="365">
                  <c:v>35.025000000000226</c:v>
                </c:pt>
                <c:pt idx="366">
                  <c:v>35.125000000000227</c:v>
                </c:pt>
                <c:pt idx="367">
                  <c:v>35.225000000000229</c:v>
                </c:pt>
                <c:pt idx="368">
                  <c:v>35.32500000000023</c:v>
                </c:pt>
                <c:pt idx="369">
                  <c:v>35.425000000000232</c:v>
                </c:pt>
                <c:pt idx="370">
                  <c:v>35.525000000000233</c:v>
                </c:pt>
                <c:pt idx="371">
                  <c:v>35.625000000000234</c:v>
                </c:pt>
                <c:pt idx="372">
                  <c:v>35.725000000000236</c:v>
                </c:pt>
                <c:pt idx="373">
                  <c:v>35.825000000000237</c:v>
                </c:pt>
                <c:pt idx="374">
                  <c:v>35.925000000000239</c:v>
                </c:pt>
                <c:pt idx="375">
                  <c:v>36.02500000000024</c:v>
                </c:pt>
                <c:pt idx="376">
                  <c:v>36.125000000000242</c:v>
                </c:pt>
                <c:pt idx="377">
                  <c:v>36.225000000000243</c:v>
                </c:pt>
                <c:pt idx="378">
                  <c:v>36.325000000000244</c:v>
                </c:pt>
                <c:pt idx="379">
                  <c:v>36.425000000000246</c:v>
                </c:pt>
                <c:pt idx="380">
                  <c:v>36.525000000000247</c:v>
                </c:pt>
                <c:pt idx="381">
                  <c:v>36.625000000000249</c:v>
                </c:pt>
                <c:pt idx="382">
                  <c:v>36.72500000000025</c:v>
                </c:pt>
                <c:pt idx="383">
                  <c:v>36.825000000000252</c:v>
                </c:pt>
                <c:pt idx="384">
                  <c:v>36.925000000000253</c:v>
                </c:pt>
                <c:pt idx="385">
                  <c:v>37.025000000000254</c:v>
                </c:pt>
                <c:pt idx="386">
                  <c:v>37.125000000000256</c:v>
                </c:pt>
                <c:pt idx="387">
                  <c:v>37.225000000000257</c:v>
                </c:pt>
                <c:pt idx="388">
                  <c:v>37.325000000000259</c:v>
                </c:pt>
                <c:pt idx="389">
                  <c:v>37.42500000000026</c:v>
                </c:pt>
                <c:pt idx="390">
                  <c:v>37.525000000000261</c:v>
                </c:pt>
                <c:pt idx="391">
                  <c:v>37.625000000000263</c:v>
                </c:pt>
                <c:pt idx="392">
                  <c:v>37.725000000000264</c:v>
                </c:pt>
                <c:pt idx="393">
                  <c:v>37.825000000000266</c:v>
                </c:pt>
                <c:pt idx="394">
                  <c:v>37.925000000000267</c:v>
                </c:pt>
                <c:pt idx="395">
                  <c:v>38.025000000000269</c:v>
                </c:pt>
                <c:pt idx="396">
                  <c:v>38.12500000000027</c:v>
                </c:pt>
                <c:pt idx="397">
                  <c:v>38.225000000000271</c:v>
                </c:pt>
                <c:pt idx="398">
                  <c:v>38.325000000000273</c:v>
                </c:pt>
                <c:pt idx="399">
                  <c:v>38.425000000000274</c:v>
                </c:pt>
                <c:pt idx="400">
                  <c:v>38.525000000000276</c:v>
                </c:pt>
                <c:pt idx="401">
                  <c:v>38.625000000000277</c:v>
                </c:pt>
                <c:pt idx="402">
                  <c:v>38.725000000000279</c:v>
                </c:pt>
                <c:pt idx="403">
                  <c:v>38.82500000000028</c:v>
                </c:pt>
                <c:pt idx="404">
                  <c:v>38.925000000000281</c:v>
                </c:pt>
                <c:pt idx="405">
                  <c:v>39.025000000000283</c:v>
                </c:pt>
                <c:pt idx="406">
                  <c:v>39.125000000000284</c:v>
                </c:pt>
                <c:pt idx="407">
                  <c:v>39.225000000000286</c:v>
                </c:pt>
                <c:pt idx="408">
                  <c:v>39.325000000000287</c:v>
                </c:pt>
                <c:pt idx="409">
                  <c:v>39.425000000000288</c:v>
                </c:pt>
                <c:pt idx="410">
                  <c:v>39.52500000000029</c:v>
                </c:pt>
                <c:pt idx="411">
                  <c:v>39.625000000000291</c:v>
                </c:pt>
                <c:pt idx="412">
                  <c:v>39.725000000000293</c:v>
                </c:pt>
                <c:pt idx="413">
                  <c:v>39.825000000000294</c:v>
                </c:pt>
                <c:pt idx="414">
                  <c:v>39.925000000000296</c:v>
                </c:pt>
                <c:pt idx="415">
                  <c:v>40.025000000000297</c:v>
                </c:pt>
                <c:pt idx="416">
                  <c:v>40.125000000000298</c:v>
                </c:pt>
                <c:pt idx="417">
                  <c:v>40.2250000000003</c:v>
                </c:pt>
                <c:pt idx="418">
                  <c:v>40.325000000000301</c:v>
                </c:pt>
                <c:pt idx="419">
                  <c:v>40.425000000000303</c:v>
                </c:pt>
                <c:pt idx="420">
                  <c:v>40.525000000000304</c:v>
                </c:pt>
                <c:pt idx="421">
                  <c:v>40.625000000000306</c:v>
                </c:pt>
                <c:pt idx="422">
                  <c:v>40.725000000000307</c:v>
                </c:pt>
                <c:pt idx="423">
                  <c:v>40.825000000000308</c:v>
                </c:pt>
                <c:pt idx="424">
                  <c:v>40.92500000000031</c:v>
                </c:pt>
                <c:pt idx="425">
                  <c:v>41.025000000000311</c:v>
                </c:pt>
                <c:pt idx="426">
                  <c:v>41.125000000000313</c:v>
                </c:pt>
                <c:pt idx="427">
                  <c:v>41.225000000000314</c:v>
                </c:pt>
                <c:pt idx="428">
                  <c:v>41.325000000000315</c:v>
                </c:pt>
                <c:pt idx="429">
                  <c:v>41.425000000000317</c:v>
                </c:pt>
                <c:pt idx="430">
                  <c:v>41.525000000000318</c:v>
                </c:pt>
                <c:pt idx="431">
                  <c:v>41.62500000000032</c:v>
                </c:pt>
                <c:pt idx="432">
                  <c:v>41.725000000000321</c:v>
                </c:pt>
                <c:pt idx="433">
                  <c:v>41.825000000000323</c:v>
                </c:pt>
                <c:pt idx="434">
                  <c:v>41.925000000000324</c:v>
                </c:pt>
                <c:pt idx="435">
                  <c:v>42.025000000000325</c:v>
                </c:pt>
                <c:pt idx="436">
                  <c:v>42.125000000000327</c:v>
                </c:pt>
                <c:pt idx="437">
                  <c:v>42.225000000000328</c:v>
                </c:pt>
                <c:pt idx="438">
                  <c:v>42.32500000000033</c:v>
                </c:pt>
                <c:pt idx="439">
                  <c:v>42.425000000000331</c:v>
                </c:pt>
                <c:pt idx="440">
                  <c:v>42.525000000000333</c:v>
                </c:pt>
                <c:pt idx="441">
                  <c:v>42.625000000000334</c:v>
                </c:pt>
                <c:pt idx="442">
                  <c:v>42.725000000000335</c:v>
                </c:pt>
                <c:pt idx="443">
                  <c:v>42.825000000000337</c:v>
                </c:pt>
                <c:pt idx="444">
                  <c:v>42.925000000000338</c:v>
                </c:pt>
                <c:pt idx="445">
                  <c:v>43.02500000000034</c:v>
                </c:pt>
                <c:pt idx="446">
                  <c:v>43.125000000000341</c:v>
                </c:pt>
                <c:pt idx="447">
                  <c:v>43.225000000000342</c:v>
                </c:pt>
                <c:pt idx="448">
                  <c:v>43.325000000000344</c:v>
                </c:pt>
                <c:pt idx="449">
                  <c:v>43.425000000000345</c:v>
                </c:pt>
                <c:pt idx="450">
                  <c:v>43.525000000000347</c:v>
                </c:pt>
                <c:pt idx="451">
                  <c:v>43.625000000000348</c:v>
                </c:pt>
                <c:pt idx="452">
                  <c:v>43.72500000000035</c:v>
                </c:pt>
                <c:pt idx="453">
                  <c:v>43.825000000000351</c:v>
                </c:pt>
                <c:pt idx="454">
                  <c:v>43.925000000000352</c:v>
                </c:pt>
                <c:pt idx="455">
                  <c:v>44.025000000000354</c:v>
                </c:pt>
                <c:pt idx="456">
                  <c:v>44.125000000000355</c:v>
                </c:pt>
                <c:pt idx="457">
                  <c:v>44.225000000000357</c:v>
                </c:pt>
                <c:pt idx="458">
                  <c:v>44.325000000000358</c:v>
                </c:pt>
                <c:pt idx="459">
                  <c:v>44.42500000000036</c:v>
                </c:pt>
                <c:pt idx="460">
                  <c:v>44.525000000000361</c:v>
                </c:pt>
                <c:pt idx="461">
                  <c:v>44.625000000000362</c:v>
                </c:pt>
                <c:pt idx="462">
                  <c:v>44.725000000000364</c:v>
                </c:pt>
                <c:pt idx="463">
                  <c:v>44.825000000000365</c:v>
                </c:pt>
                <c:pt idx="464">
                  <c:v>44.925000000000367</c:v>
                </c:pt>
                <c:pt idx="465">
                  <c:v>45.025000000000368</c:v>
                </c:pt>
                <c:pt idx="466">
                  <c:v>45.125000000000369</c:v>
                </c:pt>
                <c:pt idx="467">
                  <c:v>45.225000000000371</c:v>
                </c:pt>
                <c:pt idx="468">
                  <c:v>45.325000000000372</c:v>
                </c:pt>
                <c:pt idx="469">
                  <c:v>45.425000000000374</c:v>
                </c:pt>
                <c:pt idx="470">
                  <c:v>45.525000000000375</c:v>
                </c:pt>
                <c:pt idx="471">
                  <c:v>45.625000000000377</c:v>
                </c:pt>
                <c:pt idx="472">
                  <c:v>45.725000000000378</c:v>
                </c:pt>
                <c:pt idx="473">
                  <c:v>45.825000000000379</c:v>
                </c:pt>
                <c:pt idx="474">
                  <c:v>45.925000000000381</c:v>
                </c:pt>
                <c:pt idx="475">
                  <c:v>46.025000000000382</c:v>
                </c:pt>
                <c:pt idx="476">
                  <c:v>46.125000000000384</c:v>
                </c:pt>
                <c:pt idx="477">
                  <c:v>46.225000000000385</c:v>
                </c:pt>
                <c:pt idx="478">
                  <c:v>46.325000000000387</c:v>
                </c:pt>
                <c:pt idx="479">
                  <c:v>46.425000000000388</c:v>
                </c:pt>
                <c:pt idx="480">
                  <c:v>46.525000000000389</c:v>
                </c:pt>
                <c:pt idx="481">
                  <c:v>46.625000000000391</c:v>
                </c:pt>
                <c:pt idx="482">
                  <c:v>46.725000000000392</c:v>
                </c:pt>
                <c:pt idx="483">
                  <c:v>46.825000000000394</c:v>
                </c:pt>
                <c:pt idx="484">
                  <c:v>46.925000000000395</c:v>
                </c:pt>
                <c:pt idx="485">
                  <c:v>47.025000000000396</c:v>
                </c:pt>
                <c:pt idx="486">
                  <c:v>47.125000000000398</c:v>
                </c:pt>
                <c:pt idx="487">
                  <c:v>47.225000000000399</c:v>
                </c:pt>
                <c:pt idx="488">
                  <c:v>47.325000000000401</c:v>
                </c:pt>
                <c:pt idx="489">
                  <c:v>47.425000000000402</c:v>
                </c:pt>
                <c:pt idx="490">
                  <c:v>47.525000000000404</c:v>
                </c:pt>
                <c:pt idx="491">
                  <c:v>47.625000000000405</c:v>
                </c:pt>
                <c:pt idx="492">
                  <c:v>47.725000000000406</c:v>
                </c:pt>
                <c:pt idx="493">
                  <c:v>47.825000000000408</c:v>
                </c:pt>
                <c:pt idx="494">
                  <c:v>47.925000000000409</c:v>
                </c:pt>
                <c:pt idx="495">
                  <c:v>48.025000000000411</c:v>
                </c:pt>
                <c:pt idx="496">
                  <c:v>48.125000000000412</c:v>
                </c:pt>
                <c:pt idx="497">
                  <c:v>48.225000000000414</c:v>
                </c:pt>
                <c:pt idx="498">
                  <c:v>48.325000000000415</c:v>
                </c:pt>
                <c:pt idx="499">
                  <c:v>48.425000000000416</c:v>
                </c:pt>
                <c:pt idx="500">
                  <c:v>48.525000000000418</c:v>
                </c:pt>
                <c:pt idx="501">
                  <c:v>48.625000000000419</c:v>
                </c:pt>
                <c:pt idx="502">
                  <c:v>48.725000000000421</c:v>
                </c:pt>
                <c:pt idx="503">
                  <c:v>48.825000000000422</c:v>
                </c:pt>
                <c:pt idx="504">
                  <c:v>48.925000000000423</c:v>
                </c:pt>
                <c:pt idx="505">
                  <c:v>49.025000000000425</c:v>
                </c:pt>
                <c:pt idx="506">
                  <c:v>49.125000000000426</c:v>
                </c:pt>
                <c:pt idx="507">
                  <c:v>49.225000000000428</c:v>
                </c:pt>
                <c:pt idx="508">
                  <c:v>49.325000000000429</c:v>
                </c:pt>
                <c:pt idx="509">
                  <c:v>49.425000000000431</c:v>
                </c:pt>
                <c:pt idx="510">
                  <c:v>49.525000000000432</c:v>
                </c:pt>
                <c:pt idx="511">
                  <c:v>49.625000000000433</c:v>
                </c:pt>
                <c:pt idx="512">
                  <c:v>49.725000000000435</c:v>
                </c:pt>
                <c:pt idx="513">
                  <c:v>49.825000000000436</c:v>
                </c:pt>
                <c:pt idx="514">
                  <c:v>49.925000000000438</c:v>
                </c:pt>
                <c:pt idx="515">
                  <c:v>50.025000000000439</c:v>
                </c:pt>
                <c:pt idx="516">
                  <c:v>50.125000000000441</c:v>
                </c:pt>
                <c:pt idx="517">
                  <c:v>50.225000000000442</c:v>
                </c:pt>
                <c:pt idx="518">
                  <c:v>50.325000000000443</c:v>
                </c:pt>
                <c:pt idx="519">
                  <c:v>50.425000000000445</c:v>
                </c:pt>
                <c:pt idx="520">
                  <c:v>50.525000000000446</c:v>
                </c:pt>
                <c:pt idx="521">
                  <c:v>50.625000000000448</c:v>
                </c:pt>
                <c:pt idx="522">
                  <c:v>50.725000000000449</c:v>
                </c:pt>
                <c:pt idx="523">
                  <c:v>50.82500000000045</c:v>
                </c:pt>
                <c:pt idx="524">
                  <c:v>50.925000000000452</c:v>
                </c:pt>
                <c:pt idx="525">
                  <c:v>51.025000000000453</c:v>
                </c:pt>
                <c:pt idx="526">
                  <c:v>51.125000000000455</c:v>
                </c:pt>
                <c:pt idx="527">
                  <c:v>51.225000000000456</c:v>
                </c:pt>
                <c:pt idx="528">
                  <c:v>51.325000000000458</c:v>
                </c:pt>
                <c:pt idx="529">
                  <c:v>51.425000000000459</c:v>
                </c:pt>
                <c:pt idx="530">
                  <c:v>51.52500000000046</c:v>
                </c:pt>
                <c:pt idx="531">
                  <c:v>51.625000000000462</c:v>
                </c:pt>
                <c:pt idx="532">
                  <c:v>51.725000000000463</c:v>
                </c:pt>
                <c:pt idx="533">
                  <c:v>51.825000000000465</c:v>
                </c:pt>
                <c:pt idx="534">
                  <c:v>51.925000000000466</c:v>
                </c:pt>
                <c:pt idx="535">
                  <c:v>52.025000000000468</c:v>
                </c:pt>
                <c:pt idx="536">
                  <c:v>52.125000000000469</c:v>
                </c:pt>
                <c:pt idx="537">
                  <c:v>52.22500000000047</c:v>
                </c:pt>
                <c:pt idx="538">
                  <c:v>52.325000000000472</c:v>
                </c:pt>
                <c:pt idx="539">
                  <c:v>52.425000000000473</c:v>
                </c:pt>
                <c:pt idx="540">
                  <c:v>52.525000000000475</c:v>
                </c:pt>
                <c:pt idx="541">
                  <c:v>52.625000000000476</c:v>
                </c:pt>
                <c:pt idx="542">
                  <c:v>52.725000000000477</c:v>
                </c:pt>
                <c:pt idx="543">
                  <c:v>52.825000000000479</c:v>
                </c:pt>
                <c:pt idx="544">
                  <c:v>52.92500000000048</c:v>
                </c:pt>
                <c:pt idx="545">
                  <c:v>53.025000000000482</c:v>
                </c:pt>
                <c:pt idx="546">
                  <c:v>53.125000000000483</c:v>
                </c:pt>
                <c:pt idx="547">
                  <c:v>53.225000000000485</c:v>
                </c:pt>
                <c:pt idx="548">
                  <c:v>53.325000000000486</c:v>
                </c:pt>
                <c:pt idx="549">
                  <c:v>53.425000000000487</c:v>
                </c:pt>
                <c:pt idx="550">
                  <c:v>53.525000000000489</c:v>
                </c:pt>
                <c:pt idx="551">
                  <c:v>53.62500000000049</c:v>
                </c:pt>
                <c:pt idx="552">
                  <c:v>53.725000000000492</c:v>
                </c:pt>
                <c:pt idx="553">
                  <c:v>53.825000000000493</c:v>
                </c:pt>
                <c:pt idx="554">
                  <c:v>53.925000000000495</c:v>
                </c:pt>
                <c:pt idx="555">
                  <c:v>54.025000000000496</c:v>
                </c:pt>
                <c:pt idx="556">
                  <c:v>54.125000000000497</c:v>
                </c:pt>
                <c:pt idx="557">
                  <c:v>54.225000000000499</c:v>
                </c:pt>
                <c:pt idx="558">
                  <c:v>54.3250000000005</c:v>
                </c:pt>
                <c:pt idx="559">
                  <c:v>54.425000000000502</c:v>
                </c:pt>
                <c:pt idx="560">
                  <c:v>54.525000000000503</c:v>
                </c:pt>
                <c:pt idx="561">
                  <c:v>54.625000000000504</c:v>
                </c:pt>
                <c:pt idx="562">
                  <c:v>54.725000000000506</c:v>
                </c:pt>
                <c:pt idx="563">
                  <c:v>54.825000000000507</c:v>
                </c:pt>
                <c:pt idx="564">
                  <c:v>54.925000000000509</c:v>
                </c:pt>
                <c:pt idx="565">
                  <c:v>55.02500000000051</c:v>
                </c:pt>
                <c:pt idx="566">
                  <c:v>55.125000000000512</c:v>
                </c:pt>
                <c:pt idx="567">
                  <c:v>55.225000000000513</c:v>
                </c:pt>
                <c:pt idx="568">
                  <c:v>55.325000000000514</c:v>
                </c:pt>
                <c:pt idx="569">
                  <c:v>55.425000000000516</c:v>
                </c:pt>
                <c:pt idx="570">
                  <c:v>55.525000000000517</c:v>
                </c:pt>
                <c:pt idx="571">
                  <c:v>55.625000000000519</c:v>
                </c:pt>
                <c:pt idx="572">
                  <c:v>55.72500000000052</c:v>
                </c:pt>
                <c:pt idx="573">
                  <c:v>55.825000000000522</c:v>
                </c:pt>
                <c:pt idx="574">
                  <c:v>55.925000000000523</c:v>
                </c:pt>
                <c:pt idx="575">
                  <c:v>56.025000000000524</c:v>
                </c:pt>
                <c:pt idx="576">
                  <c:v>56.125000000000526</c:v>
                </c:pt>
                <c:pt idx="577">
                  <c:v>56.225000000000527</c:v>
                </c:pt>
                <c:pt idx="578">
                  <c:v>56.325000000000529</c:v>
                </c:pt>
                <c:pt idx="579">
                  <c:v>56.42500000000053</c:v>
                </c:pt>
                <c:pt idx="580">
                  <c:v>56.525000000000531</c:v>
                </c:pt>
                <c:pt idx="581">
                  <c:v>56.625000000000533</c:v>
                </c:pt>
                <c:pt idx="582">
                  <c:v>56.725000000000534</c:v>
                </c:pt>
                <c:pt idx="583">
                  <c:v>56.825000000000536</c:v>
                </c:pt>
                <c:pt idx="584">
                  <c:v>56.925000000000537</c:v>
                </c:pt>
                <c:pt idx="585">
                  <c:v>57.025000000000539</c:v>
                </c:pt>
                <c:pt idx="586">
                  <c:v>57.12500000000054</c:v>
                </c:pt>
                <c:pt idx="587">
                  <c:v>57.225000000000541</c:v>
                </c:pt>
                <c:pt idx="588">
                  <c:v>57.325000000000543</c:v>
                </c:pt>
              </c:numCache>
            </c:numRef>
          </c:cat>
          <c:val>
            <c:numRef>
              <c:f>Lognormal!$D$7:$D$595</c:f>
              <c:numCache>
                <c:formatCode>0%</c:formatCode>
                <c:ptCount val="589"/>
                <c:pt idx="0">
                  <c:v>1.9853047047540227E-11</c:v>
                </c:pt>
                <c:pt idx="1">
                  <c:v>3.761043696259795E-11</c:v>
                </c:pt>
                <c:pt idx="2">
                  <c:v>6.6873738232876297E-11</c:v>
                </c:pt>
                <c:pt idx="3">
                  <c:v>1.1280879411308696E-10</c:v>
                </c:pt>
                <c:pt idx="4">
                  <c:v>1.8203979029034817E-10</c:v>
                </c:pt>
                <c:pt idx="5">
                  <c:v>2.8284531421172973E-10</c:v>
                </c:pt>
                <c:pt idx="6">
                  <c:v>4.2535009524592736E-10</c:v>
                </c:pt>
                <c:pt idx="7">
                  <c:v>6.2171070106164747E-10</c:v>
                </c:pt>
                <c:pt idx="8">
                  <c:v>8.862938711590973E-10</c:v>
                </c:pt>
                <c:pt idx="9">
                  <c:v>1.2358465080953436E-9</c:v>
                </c:pt>
                <c:pt idx="10">
                  <c:v>1.6896566284994522E-9</c:v>
                </c:pt>
                <c:pt idx="11">
                  <c:v>2.2697048074383782E-9</c:v>
                </c:pt>
                <c:pt idx="12">
                  <c:v>3.0008058385063796E-9</c:v>
                </c:pt>
                <c:pt idx="13">
                  <c:v>3.9107404848361807E-9</c:v>
                </c:pt>
                <c:pt idx="14">
                  <c:v>5.0303773189010221E-9</c:v>
                </c:pt>
                <c:pt idx="15">
                  <c:v>6.3937847465049279E-9</c:v>
                </c:pt>
                <c:pt idx="16">
                  <c:v>2.257201003778653E-5</c:v>
                </c:pt>
                <c:pt idx="17">
                  <c:v>2.400190358303976E-4</c:v>
                </c:pt>
                <c:pt idx="18">
                  <c:v>8.922642340681913E-4</c:v>
                </c:pt>
                <c:pt idx="19">
                  <c:v>2.1473325472008658E-3</c:v>
                </c:pt>
                <c:pt idx="20">
                  <c:v>4.0923138973606651E-3</c:v>
                </c:pt>
                <c:pt idx="21">
                  <c:v>6.7555840692250816E-3</c:v>
                </c:pt>
                <c:pt idx="22">
                  <c:v>1.0127683253524557E-2</c:v>
                </c:pt>
                <c:pt idx="23">
                  <c:v>1.4176332229658866E-2</c:v>
                </c:pt>
                <c:pt idx="24">
                  <c:v>1.8856450742345692E-2</c:v>
                </c:pt>
                <c:pt idx="25">
                  <c:v>2.4116637703783556E-2</c:v>
                </c:pt>
                <c:pt idx="26">
                  <c:v>2.9903281617004299E-2</c:v>
                </c:pt>
                <c:pt idx="27">
                  <c:v>3.6163114486676057E-2</c:v>
                </c:pt>
                <c:pt idx="28">
                  <c:v>4.2844750984288971E-2</c:v>
                </c:pt>
                <c:pt idx="29">
                  <c:v>4.9899568733076223E-2</c:v>
                </c:pt>
                <c:pt idx="30">
                  <c:v>5.7282162805085884E-2</c:v>
                </c:pt>
                <c:pt idx="31">
                  <c:v>6.4950527315999373E-2</c:v>
                </c:pt>
                <c:pt idx="32">
                  <c:v>7.2866064636607747E-2</c:v>
                </c:pt>
                <c:pt idx="33">
                  <c:v>8.0993488424067353E-2</c:v>
                </c:pt>
                <c:pt idx="34">
                  <c:v>8.9300664071162231E-2</c:v>
                </c:pt>
                <c:pt idx="35">
                  <c:v>9.7758415200942236E-2</c:v>
                </c:pt>
                <c:pt idx="36">
                  <c:v>0.10634031487220606</c:v>
                </c:pt>
                <c:pt idx="37">
                  <c:v>0.11502247350904897</c:v>
                </c:pt>
                <c:pt idx="38">
                  <c:v>0.12378333111722549</c:v>
                </c:pt>
                <c:pt idx="39">
                  <c:v>0.13260345837346027</c:v>
                </c:pt>
                <c:pt idx="40">
                  <c:v>0.14146536918902594</c:v>
                </c:pt>
                <c:pt idx="41">
                  <c:v>0.15035334603430472</c:v>
                </c:pt>
                <c:pt idx="42">
                  <c:v>0.15925327845059911</c:v>
                </c:pt>
                <c:pt idx="43">
                  <c:v>0.16815251462313216</c:v>
                </c:pt>
                <c:pt idx="44">
                  <c:v>0.17703972554572686</c:v>
                </c:pt>
                <c:pt idx="45">
                  <c:v>0.18590478110535891</c:v>
                </c:pt>
                <c:pt idx="46">
                  <c:v>0.19473863730724322</c:v>
                </c:pt>
                <c:pt idx="47">
                  <c:v>0.20353323381653532</c:v>
                </c:pt>
                <c:pt idx="48">
                  <c:v>0.21228140098924031</c:v>
                </c:pt>
                <c:pt idx="49">
                  <c:v>0.22097677558755754</c:v>
                </c:pt>
                <c:pt idx="50">
                  <c:v>0.22961372441339808</c:v>
                </c:pt>
                <c:pt idx="51">
                  <c:v>0.23818727514124224</c:v>
                </c:pt>
                <c:pt idx="52">
                  <c:v>0.24669305368317607</c:v>
                </c:pt>
                <c:pt idx="53">
                  <c:v>0.25512722747175398</c:v>
                </c:pt>
                <c:pt idx="54">
                  <c:v>0.26348645409827409</c:v>
                </c:pt>
                <c:pt idx="55">
                  <c:v>0.27176783479387306</c:v>
                </c:pt>
                <c:pt idx="56">
                  <c:v>0.27996887228779915</c:v>
                </c:pt>
                <c:pt idx="57">
                  <c:v>0.28808743262094705</c:v>
                </c:pt>
                <c:pt idx="58">
                  <c:v>0.29612171053305758</c:v>
                </c:pt>
                <c:pt idx="59">
                  <c:v>0.3040701980789432</c:v>
                </c:pt>
                <c:pt idx="60">
                  <c:v>0.31193165616277363</c:v>
                </c:pt>
                <c:pt idx="61">
                  <c:v>0.31970508871003578</c:v>
                </c:pt>
                <c:pt idx="62">
                  <c:v>0.32738971922446158</c:v>
                </c:pt>
                <c:pt idx="63">
                  <c:v>0.33498496950221168</c:v>
                </c:pt>
                <c:pt idx="64">
                  <c:v>0.34249044029814474</c:v>
                </c:pt>
                <c:pt idx="65">
                  <c:v>0.34990589375929093</c:v>
                </c:pt>
                <c:pt idx="66">
                  <c:v>0.35723123745890811</c:v>
                </c:pt>
                <c:pt idx="67">
                  <c:v>0.36446650988091067</c:v>
                </c:pt>
                <c:pt idx="68">
                  <c:v>0.37161186721921241</c:v>
                </c:pt>
                <c:pt idx="69">
                  <c:v>0.37866757136977885</c:v>
                </c:pt>
                <c:pt idx="70">
                  <c:v>0.38563397900509205</c:v>
                </c:pt>
                <c:pt idx="71">
                  <c:v>0.39251153163143171</c:v>
                </c:pt>
                <c:pt idx="72">
                  <c:v>0.39930074653899178</c:v>
                </c:pt>
                <c:pt idx="73">
                  <c:v>0.406002208563497</c:v>
                </c:pt>
                <c:pt idx="74">
                  <c:v>0.41261656258575663</c:v>
                </c:pt>
                <c:pt idx="75">
                  <c:v>0.41914450670258668</c:v>
                </c:pt>
                <c:pt idx="76">
                  <c:v>0.42558678600882566</c:v>
                </c:pt>
                <c:pt idx="77">
                  <c:v>0.43194418693583597</c:v>
                </c:pt>
                <c:pt idx="78">
                  <c:v>0.43821753209698977</c:v>
                </c:pt>
                <c:pt idx="79">
                  <c:v>0.44440767559524047</c:v>
                </c:pt>
                <c:pt idx="80">
                  <c:v>0.45051549875203206</c:v>
                </c:pt>
                <c:pt idx="81">
                  <c:v>0.45654190622054486</c:v>
                </c:pt>
                <c:pt idx="82">
                  <c:v>0.46248782244965891</c:v>
                </c:pt>
                <c:pt idx="83">
                  <c:v>0.46835418846807331</c:v>
                </c:pt>
                <c:pt idx="84">
                  <c:v>0.47414195896078087</c:v>
                </c:pt>
                <c:pt idx="85">
                  <c:v>0.47985209961260095</c:v>
                </c:pt>
                <c:pt idx="86">
                  <c:v>0.48548558469573028</c:v>
                </c:pt>
                <c:pt idx="87">
                  <c:v>0.49104339488032711</c:v>
                </c:pt>
                <c:pt idx="88">
                  <c:v>0.4965265152489966</c:v>
                </c:pt>
                <c:pt idx="89">
                  <c:v>0.50193593349773002</c:v>
                </c:pt>
                <c:pt idx="90">
                  <c:v>0.50727263830738223</c:v>
                </c:pt>
                <c:pt idx="91">
                  <c:v>0.51253761787115137</c:v>
                </c:pt>
                <c:pt idx="92">
                  <c:v>0.51773185856479786</c:v>
                </c:pt>
                <c:pt idx="93">
                  <c:v>0.52285634374746692</c:v>
                </c:pt>
                <c:pt idx="94">
                  <c:v>0.52791205268204133</c:v>
                </c:pt>
                <c:pt idx="95">
                  <c:v>0.53289995956488212</c:v>
                </c:pt>
                <c:pt idx="96">
                  <c:v>0.53782103265568826</c:v>
                </c:pt>
                <c:pt idx="97">
                  <c:v>0.54267623349898819</c:v>
                </c:pt>
                <c:pt idx="98">
                  <c:v>0.5474665162294956</c:v>
                </c:pt>
                <c:pt idx="99">
                  <c:v>0.5521928269542109</c:v>
                </c:pt>
                <c:pt idx="100">
                  <c:v>0.55685610320475354</c:v>
                </c:pt>
                <c:pt idx="101">
                  <c:v>0.56145727345394736</c:v>
                </c:pt>
                <c:pt idx="102">
                  <c:v>0.5659972566911825</c:v>
                </c:pt>
                <c:pt idx="103">
                  <c:v>0.57047696205153164</c:v>
                </c:pt>
                <c:pt idx="104">
                  <c:v>0.57489728849401089</c:v>
                </c:pt>
                <c:pt idx="105">
                  <c:v>0.57925912452476136</c:v>
                </c:pt>
                <c:pt idx="106">
                  <c:v>0.58356334796126741</c:v>
                </c:pt>
                <c:pt idx="107">
                  <c:v>0.58781082573405186</c:v>
                </c:pt>
                <c:pt idx="108">
                  <c:v>0.59200241372257822</c:v>
                </c:pt>
                <c:pt idx="109">
                  <c:v>0.59613895662235572</c:v>
                </c:pt>
                <c:pt idx="110">
                  <c:v>0.60022128784048856</c:v>
                </c:pt>
                <c:pt idx="111">
                  <c:v>0.6042502294171378</c:v>
                </c:pt>
                <c:pt idx="112">
                  <c:v>0.60822659197056306</c:v>
                </c:pt>
                <c:pt idx="113">
                  <c:v>0.61215117466361058</c:v>
                </c:pt>
                <c:pt idx="114">
                  <c:v>0.6160247651896773</c:v>
                </c:pt>
                <c:pt idx="115">
                  <c:v>0.61984813977634678</c:v>
                </c:pt>
                <c:pt idx="116">
                  <c:v>0.62362206320503599</c:v>
                </c:pt>
                <c:pt idx="117">
                  <c:v>0.62734728884512858</c:v>
                </c:pt>
                <c:pt idx="118">
                  <c:v>0.63102455870118856</c:v>
                </c:pt>
                <c:pt idx="119">
                  <c:v>0.63465460347197244</c:v>
                </c:pt>
                <c:pt idx="120">
                  <c:v>0.63823814262004841</c:v>
                </c:pt>
                <c:pt idx="121">
                  <c:v>0.64177588445093969</c:v>
                </c:pt>
                <c:pt idx="122">
                  <c:v>0.64526852620079</c:v>
                </c:pt>
                <c:pt idx="123">
                  <c:v>0.64871675413163477</c:v>
                </c:pt>
                <c:pt idx="124">
                  <c:v>0.65212124363343271</c:v>
                </c:pt>
                <c:pt idx="125">
                  <c:v>0.65548265933208505</c:v>
                </c:pt>
                <c:pt idx="126">
                  <c:v>0.65880165520273248</c:v>
                </c:pt>
                <c:pt idx="127">
                  <c:v>0.66207887468767523</c:v>
                </c:pt>
                <c:pt idx="128">
                  <c:v>0.66531495081832026</c:v>
                </c:pt>
                <c:pt idx="129">
                  <c:v>0.6685105063406066</c:v>
                </c:pt>
                <c:pt idx="130">
                  <c:v>0.67166615384340633</c:v>
                </c:pt>
                <c:pt idx="131">
                  <c:v>0.67478249588943928</c:v>
                </c:pt>
                <c:pt idx="132">
                  <c:v>0.67786012514828264</c:v>
                </c:pt>
                <c:pt idx="133">
                  <c:v>0.68089962453108765</c:v>
                </c:pt>
                <c:pt idx="134">
                  <c:v>0.68390156732665108</c:v>
                </c:pt>
                <c:pt idx="135">
                  <c:v>0.68686651733852222</c:v>
                </c:pt>
                <c:pt idx="136">
                  <c:v>0.68979502902284584</c:v>
                </c:pt>
                <c:pt idx="137">
                  <c:v>0.69268764762667956</c:v>
                </c:pt>
                <c:pt idx="138">
                  <c:v>0.69554490932653745</c:v>
                </c:pt>
                <c:pt idx="139">
                  <c:v>0.69836734136693845</c:v>
                </c:pt>
                <c:pt idx="140">
                  <c:v>0.70115546219875968</c:v>
                </c:pt>
                <c:pt idx="141">
                  <c:v>0.70390978161720952</c:v>
                </c:pt>
                <c:pt idx="142">
                  <c:v>0.70663080089925612</c:v>
                </c:pt>
                <c:pt idx="143">
                  <c:v>0.70931901294036237</c:v>
                </c:pt>
                <c:pt idx="144">
                  <c:v>0.71197490239038919</c:v>
                </c:pt>
                <c:pt idx="145">
                  <c:v>0.71459894578854932</c:v>
                </c:pt>
                <c:pt idx="146">
                  <c:v>0.71719161169730095</c:v>
                </c:pt>
                <c:pt idx="147">
                  <c:v>0.71975336083508301</c:v>
                </c:pt>
                <c:pt idx="148">
                  <c:v>0.72228464620780564</c:v>
                </c:pt>
                <c:pt idx="149">
                  <c:v>0.72478591323901942</c:v>
                </c:pt>
                <c:pt idx="150">
                  <c:v>0.72725759989869421</c:v>
                </c:pt>
                <c:pt idx="151">
                  <c:v>0.72970013683054702</c:v>
                </c:pt>
                <c:pt idx="152">
                  <c:v>0.73211394747786829</c:v>
                </c:pt>
                <c:pt idx="153">
                  <c:v>0.73449944820779889</c:v>
                </c:pt>
                <c:pt idx="154">
                  <c:v>0.73685704843402022</c:v>
                </c:pt>
                <c:pt idx="155">
                  <c:v>0.73918715073782382</c:v>
                </c:pt>
                <c:pt idx="156">
                  <c:v>0.74149015098753213</c:v>
                </c:pt>
                <c:pt idx="157">
                  <c:v>0.74376643845624768</c:v>
                </c:pt>
                <c:pt idx="158">
                  <c:v>0.74601639593791413</c:v>
                </c:pt>
                <c:pt idx="159">
                  <c:v>0.74824039986167123</c:v>
                </c:pt>
                <c:pt idx="160">
                  <c:v>0.7504388204044965</c:v>
                </c:pt>
                <c:pt idx="161">
                  <c:v>0.75261202160212604</c:v>
                </c:pt>
                <c:pt idx="162">
                  <c:v>0.75476036145824876</c:v>
                </c:pt>
                <c:pt idx="163">
                  <c:v>0.75688419205197621</c:v>
                </c:pt>
                <c:pt idx="164">
                  <c:v>0.75898385964358628</c:v>
                </c:pt>
                <c:pt idx="165">
                  <c:v>0.76105970477854856</c:v>
                </c:pt>
                <c:pt idx="166">
                  <c:v>0.76311206238983398</c:v>
                </c:pt>
                <c:pt idx="167">
                  <c:v>0.76514126189851983</c:v>
                </c:pt>
                <c:pt idx="168">
                  <c:v>0.76714762731269759</c:v>
                </c:pt>
                <c:pt idx="169">
                  <c:v>0.76913147732469889</c:v>
                </c:pt>
                <c:pt idx="170">
                  <c:v>0.77109312540664754</c:v>
                </c:pt>
                <c:pt idx="171">
                  <c:v>0.7730328799043571</c:v>
                </c:pt>
                <c:pt idx="172">
                  <c:v>0.77495104412958482</c:v>
                </c:pt>
                <c:pt idx="173">
                  <c:v>0.77684791645066331</c:v>
                </c:pt>
                <c:pt idx="174">
                  <c:v>0.77872379038152173</c:v>
                </c:pt>
                <c:pt idx="175">
                  <c:v>0.78057895466912042</c:v>
                </c:pt>
                <c:pt idx="176">
                  <c:v>0.78241369337931366</c:v>
                </c:pt>
                <c:pt idx="177">
                  <c:v>0.78422828598116212</c:v>
                </c:pt>
                <c:pt idx="178">
                  <c:v>0.7860230074297142</c:v>
                </c:pt>
                <c:pt idx="179">
                  <c:v>0.78779812824727802</c:v>
                </c:pt>
                <c:pt idx="180">
                  <c:v>0.78955391460320257</c:v>
                </c:pt>
                <c:pt idx="181">
                  <c:v>0.79129062839219266</c:v>
                </c:pt>
                <c:pt idx="182">
                  <c:v>0.79300852731117566</c:v>
                </c:pt>
                <c:pt idx="183">
                  <c:v>0.79470786493474366</c:v>
                </c:pt>
                <c:pt idx="184">
                  <c:v>0.79638889078919339</c:v>
                </c:pt>
                <c:pt idx="185">
                  <c:v>0.79805185042518345</c:v>
                </c:pt>
                <c:pt idx="186">
                  <c:v>0.79969698548903345</c:v>
                </c:pt>
                <c:pt idx="187">
                  <c:v>0.80132453379268531</c:v>
                </c:pt>
                <c:pt idx="188">
                  <c:v>0.80293472938235011</c:v>
                </c:pt>
                <c:pt idx="189">
                  <c:v>0.80452780260586054</c:v>
                </c:pt>
                <c:pt idx="190">
                  <c:v>0.80610398017875307</c:v>
                </c:pt>
                <c:pt idx="191">
                  <c:v>0.80766348524910014</c:v>
                </c:pt>
                <c:pt idx="192">
                  <c:v>0.80920653746111437</c:v>
                </c:pt>
                <c:pt idx="193">
                  <c:v>0.81073335301754645</c:v>
                </c:pt>
                <c:pt idx="194">
                  <c:v>0.81224414474089901</c:v>
                </c:pt>
                <c:pt idx="195">
                  <c:v>0.81373912213347466</c:v>
                </c:pt>
                <c:pt idx="196">
                  <c:v>0.81521849143628367</c:v>
                </c:pt>
                <c:pt idx="197">
                  <c:v>0.81668245568682796</c:v>
                </c:pt>
                <c:pt idx="198">
                  <c:v>0.81813121477578421</c:v>
                </c:pt>
                <c:pt idx="199">
                  <c:v>0.8195649655026066</c:v>
                </c:pt>
                <c:pt idx="200">
                  <c:v>0.8209839016300664</c:v>
                </c:pt>
                <c:pt idx="201">
                  <c:v>0.82238821393775374</c:v>
                </c:pt>
                <c:pt idx="202">
                  <c:v>0.82377809027455451</c:v>
                </c:pt>
                <c:pt idx="203">
                  <c:v>0.8251537156101274</c:v>
                </c:pt>
                <c:pt idx="204">
                  <c:v>0.8265152720853961</c:v>
                </c:pt>
                <c:pt idx="205">
                  <c:v>0.82786293906207831</c:v>
                </c:pt>
                <c:pt idx="206">
                  <c:v>0.82919689317126832</c:v>
                </c:pt>
                <c:pt idx="207">
                  <c:v>0.83051730836109161</c:v>
                </c:pt>
                <c:pt idx="208">
                  <c:v>0.83182435594344972</c:v>
                </c:pt>
                <c:pt idx="209">
                  <c:v>0.83311820463987407</c:v>
                </c:pt>
                <c:pt idx="210">
                  <c:v>0.83439902062650328</c:v>
                </c:pt>
                <c:pt idx="211">
                  <c:v>0.83566696757820402</c:v>
                </c:pt>
                <c:pt idx="212">
                  <c:v>0.83692220671185069</c:v>
                </c:pt>
                <c:pt idx="213">
                  <c:v>0.83816489682878081</c:v>
                </c:pt>
                <c:pt idx="214">
                  <c:v>0.8393951943564415</c:v>
                </c:pt>
                <c:pt idx="215">
                  <c:v>0.84061325338924497</c:v>
                </c:pt>
                <c:pt idx="216">
                  <c:v>0.84181922572864609</c:v>
                </c:pt>
                <c:pt idx="217">
                  <c:v>0.84301326092246032</c:v>
                </c:pt>
                <c:pt idx="218">
                  <c:v>0.84419550630343365</c:v>
                </c:pt>
                <c:pt idx="219">
                  <c:v>0.84536610702708292</c:v>
                </c:pt>
                <c:pt idx="220">
                  <c:v>0.84652520610881832</c:v>
                </c:pt>
                <c:pt idx="221">
                  <c:v>0.84767294446036412</c:v>
                </c:pt>
                <c:pt idx="222">
                  <c:v>0.84880946092549014</c:v>
                </c:pt>
                <c:pt idx="223">
                  <c:v>0.84993489231506947</c:v>
                </c:pt>
                <c:pt idx="224">
                  <c:v>0.85104937344147369</c:v>
                </c:pt>
                <c:pt idx="225">
                  <c:v>0.85215303715232171</c:v>
                </c:pt>
                <c:pt idx="226">
                  <c:v>0.8532460143635916</c:v>
                </c:pt>
                <c:pt idx="227">
                  <c:v>0.8543284340921119</c:v>
                </c:pt>
                <c:pt idx="228">
                  <c:v>0.85540042348744116</c:v>
                </c:pt>
                <c:pt idx="229">
                  <c:v>0.85646210786315191</c:v>
                </c:pt>
                <c:pt idx="230">
                  <c:v>0.85751361072752696</c:v>
                </c:pt>
                <c:pt idx="231">
                  <c:v>0.85855505381368302</c:v>
                </c:pt>
                <c:pt idx="232">
                  <c:v>0.85958655710913079</c:v>
                </c:pt>
                <c:pt idx="233">
                  <c:v>0.8606082388847851</c:v>
                </c:pt>
                <c:pt idx="234">
                  <c:v>0.86162021572343395</c:v>
                </c:pt>
                <c:pt idx="235">
                  <c:v>0.86262260254767875</c:v>
                </c:pt>
                <c:pt idx="236">
                  <c:v>0.86361551264735492</c:v>
                </c:pt>
                <c:pt idx="237">
                  <c:v>0.86459905770644585</c:v>
                </c:pt>
                <c:pt idx="238">
                  <c:v>0.86557334782949646</c:v>
                </c:pt>
                <c:pt idx="239">
                  <c:v>0.86653849156754137</c:v>
                </c:pt>
                <c:pt idx="240">
                  <c:v>0.86749459594355161</c:v>
                </c:pt>
                <c:pt idx="241">
                  <c:v>0.86844176647741478</c:v>
                </c:pt>
                <c:pt idx="242">
                  <c:v>0.869380107210455</c:v>
                </c:pt>
                <c:pt idx="243">
                  <c:v>0.87030972072950197</c:v>
                </c:pt>
                <c:pt idx="244">
                  <c:v>0.87123070819051995</c:v>
                </c:pt>
                <c:pt idx="245">
                  <c:v>0.87214316934180292</c:v>
                </c:pt>
                <c:pt idx="246">
                  <c:v>0.87304720254674684</c:v>
                </c:pt>
                <c:pt idx="247">
                  <c:v>0.87394290480620629</c:v>
                </c:pt>
                <c:pt idx="248">
                  <c:v>0.87483037178044309</c:v>
                </c:pt>
                <c:pt idx="249">
                  <c:v>0.87570969781067731</c:v>
                </c:pt>
                <c:pt idx="250">
                  <c:v>0.87658097594024631</c:v>
                </c:pt>
                <c:pt idx="251">
                  <c:v>0.87744429793538004</c:v>
                </c:pt>
                <c:pt idx="252">
                  <c:v>0.87829975430560081</c:v>
                </c:pt>
                <c:pt idx="253">
                  <c:v>0.87914743432375597</c:v>
                </c:pt>
                <c:pt idx="254">
                  <c:v>0.87998742604568747</c:v>
                </c:pt>
                <c:pt idx="255">
                  <c:v>0.88081981632954942</c:v>
                </c:pt>
                <c:pt idx="256">
                  <c:v>0.88164469085477648</c:v>
                </c:pt>
                <c:pt idx="257">
                  <c:v>0.88246213414071561</c:v>
                </c:pt>
                <c:pt idx="258">
                  <c:v>0.88327222956492024</c:v>
                </c:pt>
                <c:pt idx="259">
                  <c:v>0.88407505938112163</c:v>
                </c:pt>
                <c:pt idx="260">
                  <c:v>0.88487070473687679</c:v>
                </c:pt>
                <c:pt idx="261">
                  <c:v>0.88565924569090415</c:v>
                </c:pt>
                <c:pt idx="262">
                  <c:v>0.88644076123011051</c:v>
                </c:pt>
                <c:pt idx="263">
                  <c:v>0.88721532928631575</c:v>
                </c:pt>
                <c:pt idx="264">
                  <c:v>0.88798302675268337</c:v>
                </c:pt>
                <c:pt idx="265">
                  <c:v>0.88874392949985781</c:v>
                </c:pt>
                <c:pt idx="266">
                  <c:v>0.88949811239181997</c:v>
                </c:pt>
                <c:pt idx="267">
                  <c:v>0.89024564930146211</c:v>
                </c:pt>
                <c:pt idx="268">
                  <c:v>0.89098661312589</c:v>
                </c:pt>
                <c:pt idx="269">
                  <c:v>0.8917210758014561</c:v>
                </c:pt>
                <c:pt idx="270">
                  <c:v>0.89244910831852997</c:v>
                </c:pt>
                <c:pt idx="271">
                  <c:v>0.89317078073601075</c:v>
                </c:pt>
                <c:pt idx="272">
                  <c:v>0.89388616219558736</c:v>
                </c:pt>
                <c:pt idx="273">
                  <c:v>0.89459532093574823</c:v>
                </c:pt>
                <c:pt idx="274">
                  <c:v>0.8952983243055509</c:v>
                </c:pt>
                <c:pt idx="275">
                  <c:v>0.89599523877815079</c:v>
                </c:pt>
                <c:pt idx="276">
                  <c:v>0.89668612996409591</c:v>
                </c:pt>
                <c:pt idx="277">
                  <c:v>0.8973710626243937</c:v>
                </c:pt>
                <c:pt idx="278">
                  <c:v>0.89805010068335078</c:v>
                </c:pt>
                <c:pt idx="279">
                  <c:v>0.89872330724119309</c:v>
                </c:pt>
                <c:pt idx="280">
                  <c:v>0.89939074458646884</c:v>
                </c:pt>
                <c:pt idx="281">
                  <c:v>0.90005247420823908</c:v>
                </c:pt>
                <c:pt idx="282">
                  <c:v>0.90070855680805983</c:v>
                </c:pt>
                <c:pt idx="283">
                  <c:v>0.90135905231175995</c:v>
                </c:pt>
                <c:pt idx="284">
                  <c:v>0.90200401988101753</c:v>
                </c:pt>
                <c:pt idx="285">
                  <c:v>0.90264351792474096</c:v>
                </c:pt>
                <c:pt idx="286">
                  <c:v>0.90327760411025493</c:v>
                </c:pt>
                <c:pt idx="287">
                  <c:v>0.90390633537429932</c:v>
                </c:pt>
                <c:pt idx="288">
                  <c:v>0.9045297679338401</c:v>
                </c:pt>
                <c:pt idx="289">
                  <c:v>0.90514795729669895</c:v>
                </c:pt>
                <c:pt idx="290">
                  <c:v>0.90576095827200387</c:v>
                </c:pt>
                <c:pt idx="291">
                  <c:v>0.90636882498046434</c:v>
                </c:pt>
                <c:pt idx="292">
                  <c:v>0.90697161086447287</c:v>
                </c:pt>
                <c:pt idx="293">
                  <c:v>0.90756936869803961</c:v>
                </c:pt>
                <c:pt idx="294">
                  <c:v>0.90816215059655947</c:v>
                </c:pt>
                <c:pt idx="295">
                  <c:v>0.90875000802641692</c:v>
                </c:pt>
                <c:pt idx="296">
                  <c:v>0.90933299181443072</c:v>
                </c:pt>
                <c:pt idx="297">
                  <c:v>0.90991115215714236</c:v>
                </c:pt>
                <c:pt idx="298">
                  <c:v>0.91048453862995005</c:v>
                </c:pt>
                <c:pt idx="299">
                  <c:v>0.91105320019609193</c:v>
                </c:pt>
                <c:pt idx="300">
                  <c:v>0.91161718521548074</c:v>
                </c:pt>
                <c:pt idx="301">
                  <c:v>0.91217654145339322</c:v>
                </c:pt>
                <c:pt idx="302">
                  <c:v>0.91273131608901648</c:v>
                </c:pt>
                <c:pt idx="303">
                  <c:v>0.91328155572385383</c:v>
                </c:pt>
                <c:pt idx="304">
                  <c:v>0.91382730638999399</c:v>
                </c:pt>
                <c:pt idx="305">
                  <c:v>0.91436861355824361</c:v>
                </c:pt>
                <c:pt idx="306">
                  <c:v>0.91490552214612808</c:v>
                </c:pt>
                <c:pt idx="307">
                  <c:v>0.91543807652576226</c:v>
                </c:pt>
                <c:pt idx="308">
                  <c:v>0.91596632053159255</c:v>
                </c:pt>
                <c:pt idx="309">
                  <c:v>0.91649029746801414</c:v>
                </c:pt>
                <c:pt idx="310">
                  <c:v>0.91701005011686409</c:v>
                </c:pt>
                <c:pt idx="311">
                  <c:v>0.91752562074479427</c:v>
                </c:pt>
                <c:pt idx="312">
                  <c:v>0.91803705111052547</c:v>
                </c:pt>
                <c:pt idx="313">
                  <c:v>0.91854438247198311</c:v>
                </c:pt>
                <c:pt idx="314">
                  <c:v>0.91904765559332091</c:v>
                </c:pt>
                <c:pt idx="315">
                  <c:v>0.91954691075183037</c:v>
                </c:pt>
                <c:pt idx="316">
                  <c:v>0.92004218774473912</c:v>
                </c:pt>
                <c:pt idx="317">
                  <c:v>0.92053352589590309</c:v>
                </c:pt>
                <c:pt idx="318">
                  <c:v>0.92102096406238942</c:v>
                </c:pt>
                <c:pt idx="319">
                  <c:v>0.92150454064095655</c:v>
                </c:pt>
                <c:pt idx="320">
                  <c:v>0.92198429357443057</c:v>
                </c:pt>
                <c:pt idx="321">
                  <c:v>0.92246026035798079</c:v>
                </c:pt>
                <c:pt idx="322">
                  <c:v>0.92293247804529599</c:v>
                </c:pt>
                <c:pt idx="323">
                  <c:v>0.92340098325466324</c:v>
                </c:pt>
                <c:pt idx="324">
                  <c:v>0.92386581217495145</c:v>
                </c:pt>
                <c:pt idx="325">
                  <c:v>0.92432700057149997</c:v>
                </c:pt>
                <c:pt idx="326">
                  <c:v>0.92478458379191553</c:v>
                </c:pt>
                <c:pt idx="327">
                  <c:v>0.92523859677177844</c:v>
                </c:pt>
                <c:pt idx="328">
                  <c:v>0.9256890740402588</c:v>
                </c:pt>
                <c:pt idx="329">
                  <c:v>0.92613604972564623</c:v>
                </c:pt>
                <c:pt idx="330">
                  <c:v>0.9265795575607928</c:v>
                </c:pt>
                <c:pt idx="331">
                  <c:v>0.92701963088847139</c:v>
                </c:pt>
                <c:pt idx="332">
                  <c:v>0.92745630266665169</c:v>
                </c:pt>
                <c:pt idx="333">
                  <c:v>0.92788960547369359</c:v>
                </c:pt>
                <c:pt idx="334">
                  <c:v>0.92831957151346089</c:v>
                </c:pt>
                <c:pt idx="335">
                  <c:v>0.92874623262035583</c:v>
                </c:pt>
                <c:pt idx="336">
                  <c:v>0.9291696202642773</c:v>
                </c:pt>
                <c:pt idx="337">
                  <c:v>0.92958976555550077</c:v>
                </c:pt>
                <c:pt idx="338">
                  <c:v>0.93000669924948565</c:v>
                </c:pt>
                <c:pt idx="339">
                  <c:v>0.93042045175160759</c:v>
                </c:pt>
                <c:pt idx="340">
                  <c:v>0.93083105312181935</c:v>
                </c:pt>
                <c:pt idx="341">
                  <c:v>0.9312385330792402</c:v>
                </c:pt>
                <c:pt idx="342">
                  <c:v>0.93164292100667545</c:v>
                </c:pt>
                <c:pt idx="343">
                  <c:v>0.93204424595506807</c:v>
                </c:pt>
                <c:pt idx="344">
                  <c:v>0.93244253664788213</c:v>
                </c:pt>
                <c:pt idx="345">
                  <c:v>0.93283782148541994</c:v>
                </c:pt>
                <c:pt idx="346">
                  <c:v>0.93323012854907483</c:v>
                </c:pt>
                <c:pt idx="347">
                  <c:v>0.93361948560551855</c:v>
                </c:pt>
                <c:pt idx="348">
                  <c:v>0.93400592011082717</c:v>
                </c:pt>
                <c:pt idx="349">
                  <c:v>0.93438945921454408</c:v>
                </c:pt>
                <c:pt idx="350">
                  <c:v>0.93477012976368234</c:v>
                </c:pt>
                <c:pt idx="351">
                  <c:v>0.93514795830666708</c:v>
                </c:pt>
                <c:pt idx="352">
                  <c:v>0.9355229710972196</c:v>
                </c:pt>
                <c:pt idx="353">
                  <c:v>0.93589519409818278</c:v>
                </c:pt>
                <c:pt idx="354">
                  <c:v>0.9362646529852906</c:v>
                </c:pt>
                <c:pt idx="355">
                  <c:v>0.93663137315088085</c:v>
                </c:pt>
                <c:pt idx="356">
                  <c:v>0.9369953797075532</c:v>
                </c:pt>
                <c:pt idx="357">
                  <c:v>0.93735669749177319</c:v>
                </c:pt>
                <c:pt idx="358">
                  <c:v>0.93771535106742321</c:v>
                </c:pt>
                <c:pt idx="359">
                  <c:v>0.93807136472930097</c:v>
                </c:pt>
                <c:pt idx="360">
                  <c:v>0.93842476250656615</c:v>
                </c:pt>
                <c:pt idx="361">
                  <c:v>0.93877556816613783</c:v>
                </c:pt>
                <c:pt idx="362">
                  <c:v>0.93912380521604011</c:v>
                </c:pt>
                <c:pt idx="363">
                  <c:v>0.93946949690870074</c:v>
                </c:pt>
                <c:pt idx="364">
                  <c:v>0.93981266624420079</c:v>
                </c:pt>
                <c:pt idx="365">
                  <c:v>0.94015333597347639</c:v>
                </c:pt>
                <c:pt idx="366">
                  <c:v>0.94049152860147556</c:v>
                </c:pt>
                <c:pt idx="367">
                  <c:v>0.94082726639026704</c:v>
                </c:pt>
                <c:pt idx="368">
                  <c:v>0.94116057136210651</c:v>
                </c:pt>
                <c:pt idx="369">
                  <c:v>0.94149146530245631</c:v>
                </c:pt>
                <c:pt idx="370">
                  <c:v>0.94181996976296323</c:v>
                </c:pt>
                <c:pt idx="371">
                  <c:v>0.94214610606439231</c:v>
                </c:pt>
                <c:pt idx="372">
                  <c:v>0.94246989529951886</c:v>
                </c:pt>
                <c:pt idx="373">
                  <c:v>0.94279135833597916</c:v>
                </c:pt>
                <c:pt idx="374">
                  <c:v>0.94311051581908034</c:v>
                </c:pt>
                <c:pt idx="375">
                  <c:v>0.94342738817456939</c:v>
                </c:pt>
                <c:pt idx="376">
                  <c:v>0.94374199561136363</c:v>
                </c:pt>
                <c:pt idx="377">
                  <c:v>0.94405435812424154</c:v>
                </c:pt>
                <c:pt idx="378">
                  <c:v>0.9443644954964957</c:v>
                </c:pt>
                <c:pt idx="379">
                  <c:v>0.94467242730254797</c:v>
                </c:pt>
                <c:pt idx="380">
                  <c:v>0.94497817291052799</c:v>
                </c:pt>
                <c:pt idx="381">
                  <c:v>0.94528175148481375</c:v>
                </c:pt>
                <c:pt idx="382">
                  <c:v>0.94558318198853897</c:v>
                </c:pt>
                <c:pt idx="383">
                  <c:v>0.94588248318606216</c:v>
                </c:pt>
                <c:pt idx="384">
                  <c:v>0.94617967364540334</c:v>
                </c:pt>
                <c:pt idx="385">
                  <c:v>0.94647477174064487</c:v>
                </c:pt>
                <c:pt idx="386">
                  <c:v>0.94676779565429992</c:v>
                </c:pt>
                <c:pt idx="387">
                  <c:v>0.94705876337964678</c:v>
                </c:pt>
                <c:pt idx="388">
                  <c:v>0.94734769272303143</c:v>
                </c:pt>
                <c:pt idx="389">
                  <c:v>0.94763460130613708</c:v>
                </c:pt>
                <c:pt idx="390">
                  <c:v>0.94791950656822321</c:v>
                </c:pt>
                <c:pt idx="391">
                  <c:v>0.94820242576833247</c:v>
                </c:pt>
                <c:pt idx="392">
                  <c:v>0.94848337598746768</c:v>
                </c:pt>
                <c:pt idx="393">
                  <c:v>0.94876237413073872</c:v>
                </c:pt>
                <c:pt idx="394">
                  <c:v>0.94903943692947912</c:v>
                </c:pt>
                <c:pt idx="395">
                  <c:v>0.94931458094333376</c:v>
                </c:pt>
                <c:pt idx="396">
                  <c:v>0.94958782256231866</c:v>
                </c:pt>
                <c:pt idx="397">
                  <c:v>0.94985917800885078</c:v>
                </c:pt>
                <c:pt idx="398">
                  <c:v>0.95012866333975177</c:v>
                </c:pt>
                <c:pt idx="399">
                  <c:v>0.95039629444822304</c:v>
                </c:pt>
                <c:pt idx="400">
                  <c:v>0.95066208706579414</c:v>
                </c:pt>
                <c:pt idx="401">
                  <c:v>0.95092605676424469</c:v>
                </c:pt>
                <c:pt idx="402">
                  <c:v>0.95118821895750039</c:v>
                </c:pt>
                <c:pt idx="403">
                  <c:v>0.9514485889035027</c:v>
                </c:pt>
                <c:pt idx="404">
                  <c:v>0.9517071817060534</c:v>
                </c:pt>
                <c:pt idx="405">
                  <c:v>0.95196401231663408</c:v>
                </c:pt>
                <c:pt idx="406">
                  <c:v>0.95221909553620132</c:v>
                </c:pt>
                <c:pt idx="407">
                  <c:v>0.95247244601695724</c:v>
                </c:pt>
                <c:pt idx="408">
                  <c:v>0.95272407826409611</c:v>
                </c:pt>
                <c:pt idx="409">
                  <c:v>0.95297400663752807</c:v>
                </c:pt>
                <c:pt idx="410">
                  <c:v>0.95322224535357936</c:v>
                </c:pt>
                <c:pt idx="411">
                  <c:v>0.95346880848666937</c:v>
                </c:pt>
                <c:pt idx="412">
                  <c:v>0.95371370997096538</c:v>
                </c:pt>
                <c:pt idx="413">
                  <c:v>0.95395696360201632</c:v>
                </c:pt>
                <c:pt idx="414">
                  <c:v>0.95419858303836269</c:v>
                </c:pt>
                <c:pt idx="415">
                  <c:v>0.95443858180312702</c:v>
                </c:pt>
                <c:pt idx="416">
                  <c:v>0.95467697328558165</c:v>
                </c:pt>
                <c:pt idx="417">
                  <c:v>0.9549137707426969</c:v>
                </c:pt>
                <c:pt idx="418">
                  <c:v>0.95514898730066788</c:v>
                </c:pt>
                <c:pt idx="419">
                  <c:v>0.95538263595642159</c:v>
                </c:pt>
                <c:pt idx="420">
                  <c:v>0.95561472957910376</c:v>
                </c:pt>
                <c:pt idx="421">
                  <c:v>0.95584528091154652</c:v>
                </c:pt>
                <c:pt idx="422">
                  <c:v>0.95607430257171644</c:v>
                </c:pt>
                <c:pt idx="423">
                  <c:v>0.95630180705414347</c:v>
                </c:pt>
                <c:pt idx="424">
                  <c:v>0.95652780673133186</c:v>
                </c:pt>
                <c:pt idx="425">
                  <c:v>0.95675231385515114</c:v>
                </c:pt>
                <c:pt idx="426">
                  <c:v>0.95697534055821087</c:v>
                </c:pt>
                <c:pt idx="427">
                  <c:v>0.95719689885521564</c:v>
                </c:pt>
                <c:pt idx="428">
                  <c:v>0.95741700064430346</c:v>
                </c:pt>
                <c:pt idx="429">
                  <c:v>0.95763565770836656</c:v>
                </c:pt>
                <c:pt idx="430">
                  <c:v>0.95785288171635519</c:v>
                </c:pt>
                <c:pt idx="431">
                  <c:v>0.9580686842245637</c:v>
                </c:pt>
                <c:pt idx="432">
                  <c:v>0.95828307667790114</c:v>
                </c:pt>
                <c:pt idx="433">
                  <c:v>0.9584960704111446</c:v>
                </c:pt>
                <c:pt idx="434">
                  <c:v>0.95870767665017698</c:v>
                </c:pt>
                <c:pt idx="435">
                  <c:v>0.95891790651320818</c:v>
                </c:pt>
                <c:pt idx="436">
                  <c:v>0.95912677101198096</c:v>
                </c:pt>
                <c:pt idx="437">
                  <c:v>0.95933428105296192</c:v>
                </c:pt>
                <c:pt idx="438">
                  <c:v>0.95954044743851585</c:v>
                </c:pt>
                <c:pt idx="439">
                  <c:v>0.95974528086806621</c:v>
                </c:pt>
                <c:pt idx="440">
                  <c:v>0.95994879193924054</c:v>
                </c:pt>
                <c:pt idx="441">
                  <c:v>0.9601509911490006</c:v>
                </c:pt>
                <c:pt idx="442">
                  <c:v>0.96035188889475953</c:v>
                </c:pt>
                <c:pt idx="443">
                  <c:v>0.96055149547548313</c:v>
                </c:pt>
                <c:pt idx="444">
                  <c:v>0.96074982109277862</c:v>
                </c:pt>
                <c:pt idx="445">
                  <c:v>0.96094687585196881</c:v>
                </c:pt>
                <c:pt idx="446">
                  <c:v>0.96114266976315244</c:v>
                </c:pt>
                <c:pt idx="447">
                  <c:v>0.96133721274225248</c:v>
                </c:pt>
                <c:pt idx="448">
                  <c:v>0.96153051461204964</c:v>
                </c:pt>
                <c:pt idx="449">
                  <c:v>0.96172258510320363</c:v>
                </c:pt>
                <c:pt idx="450">
                  <c:v>0.96191343385526196</c:v>
                </c:pt>
                <c:pt idx="451">
                  <c:v>0.96210307041765497</c:v>
                </c:pt>
                <c:pt idx="452">
                  <c:v>0.96229150425067977</c:v>
                </c:pt>
                <c:pt idx="453">
                  <c:v>0.96247874472647099</c:v>
                </c:pt>
                <c:pt idx="454">
                  <c:v>0.96266480112995934</c:v>
                </c:pt>
                <c:pt idx="455">
                  <c:v>0.96284968265981874</c:v>
                </c:pt>
                <c:pt idx="456">
                  <c:v>0.96303339842940161</c:v>
                </c:pt>
                <c:pt idx="457">
                  <c:v>0.96321595746766231</c:v>
                </c:pt>
                <c:pt idx="458">
                  <c:v>0.96339736872006887</c:v>
                </c:pt>
                <c:pt idx="459">
                  <c:v>0.96357764104950427</c:v>
                </c:pt>
                <c:pt idx="460">
                  <c:v>0.96375678323715586</c:v>
                </c:pt>
                <c:pt idx="461">
                  <c:v>0.96393480398339393</c:v>
                </c:pt>
                <c:pt idx="462">
                  <c:v>0.96411171190863953</c:v>
                </c:pt>
                <c:pt idx="463">
                  <c:v>0.96428751555422232</c:v>
                </c:pt>
                <c:pt idx="464">
                  <c:v>0.96446222338322596</c:v>
                </c:pt>
                <c:pt idx="465">
                  <c:v>0.96463584378132583</c:v>
                </c:pt>
                <c:pt idx="466">
                  <c:v>0.96480838505761379</c:v>
                </c:pt>
                <c:pt idx="467">
                  <c:v>0.96497985544541487</c:v>
                </c:pt>
                <c:pt idx="468">
                  <c:v>0.96515026310309315</c:v>
                </c:pt>
                <c:pt idx="469">
                  <c:v>0.96531961611484773</c:v>
                </c:pt>
                <c:pt idx="470">
                  <c:v>0.9654879224914994</c:v>
                </c:pt>
                <c:pt idx="471">
                  <c:v>0.96565519017126722</c:v>
                </c:pt>
                <c:pt idx="472">
                  <c:v>0.96582142702053675</c:v>
                </c:pt>
                <c:pt idx="473">
                  <c:v>0.96598664083461738</c:v>
                </c:pt>
                <c:pt idx="474">
                  <c:v>0.966150839338492</c:v>
                </c:pt>
                <c:pt idx="475">
                  <c:v>0.96631403018755702</c:v>
                </c:pt>
                <c:pt idx="476">
                  <c:v>0.96647622096835295</c:v>
                </c:pt>
                <c:pt idx="477">
                  <c:v>0.96663741919928714</c:v>
                </c:pt>
                <c:pt idx="478">
                  <c:v>0.96679763233134741</c:v>
                </c:pt>
                <c:pt idx="479">
                  <c:v>0.96695686774880707</c:v>
                </c:pt>
                <c:pt idx="480">
                  <c:v>0.96711513276992112</c:v>
                </c:pt>
                <c:pt idx="481">
                  <c:v>0.96727243464761525</c:v>
                </c:pt>
                <c:pt idx="482">
                  <c:v>0.96742878057016546</c:v>
                </c:pt>
                <c:pt idx="483">
                  <c:v>0.96758417766187033</c:v>
                </c:pt>
                <c:pt idx="484">
                  <c:v>0.96773863298371432</c:v>
                </c:pt>
                <c:pt idx="485">
                  <c:v>0.96789215353402502</c:v>
                </c:pt>
                <c:pt idx="486">
                  <c:v>0.96804474624912029</c:v>
                </c:pt>
                <c:pt idx="487">
                  <c:v>0.96819641800394973</c:v>
                </c:pt>
                <c:pt idx="488">
                  <c:v>0.9683471756127271</c:v>
                </c:pt>
                <c:pt idx="489">
                  <c:v>0.96849702582955621</c:v>
                </c:pt>
                <c:pt idx="490">
                  <c:v>0.96864597534904928</c:v>
                </c:pt>
                <c:pt idx="491">
                  <c:v>0.96879403080693738</c:v>
                </c:pt>
                <c:pt idx="492">
                  <c:v>0.96894119878067486</c:v>
                </c:pt>
                <c:pt idx="493">
                  <c:v>0.9690874857900349</c:v>
                </c:pt>
                <c:pt idx="494">
                  <c:v>0.96923289829770054</c:v>
                </c:pt>
                <c:pt idx="495">
                  <c:v>0.96937744270984616</c:v>
                </c:pt>
                <c:pt idx="496">
                  <c:v>0.96952112537671442</c:v>
                </c:pt>
                <c:pt idx="497">
                  <c:v>0.96966395259318472</c:v>
                </c:pt>
                <c:pt idx="498">
                  <c:v>0.96980593059933629</c:v>
                </c:pt>
                <c:pt idx="499">
                  <c:v>0.96994706558100408</c:v>
                </c:pt>
                <c:pt idx="500">
                  <c:v>0.97008736367032844</c:v>
                </c:pt>
                <c:pt idx="501">
                  <c:v>0.97022683094629791</c:v>
                </c:pt>
                <c:pt idx="502">
                  <c:v>0.9703654734352869</c:v>
                </c:pt>
                <c:pt idx="503">
                  <c:v>0.97050329711158556</c:v>
                </c:pt>
                <c:pt idx="504">
                  <c:v>0.97064030789792533</c:v>
                </c:pt>
                <c:pt idx="505">
                  <c:v>0.97077651166599632</c:v>
                </c:pt>
                <c:pt idx="506">
                  <c:v>0.9709119142369611</c:v>
                </c:pt>
                <c:pt idx="507">
                  <c:v>0.97104652138196057</c:v>
                </c:pt>
                <c:pt idx="508">
                  <c:v>0.97118033882261479</c:v>
                </c:pt>
                <c:pt idx="509">
                  <c:v>0.97131337223151892</c:v>
                </c:pt>
                <c:pt idx="510">
                  <c:v>0.97144562723273165</c:v>
                </c:pt>
                <c:pt idx="511">
                  <c:v>0.97157710940225994</c:v>
                </c:pt>
                <c:pt idx="512">
                  <c:v>0.97170782426853664</c:v>
                </c:pt>
                <c:pt idx="513">
                  <c:v>0.97183777731289411</c:v>
                </c:pt>
                <c:pt idx="514">
                  <c:v>0.97196697397003096</c:v>
                </c:pt>
                <c:pt idx="515">
                  <c:v>0.97209541962847512</c:v>
                </c:pt>
                <c:pt idx="516">
                  <c:v>0.97222311963104013</c:v>
                </c:pt>
                <c:pt idx="517">
                  <c:v>0.97235007927527706</c:v>
                </c:pt>
                <c:pt idx="518">
                  <c:v>0.97247630381392147</c:v>
                </c:pt>
                <c:pt idx="519">
                  <c:v>0.97260179845533479</c:v>
                </c:pt>
                <c:pt idx="520">
                  <c:v>0.97272656836394122</c:v>
                </c:pt>
                <c:pt idx="521">
                  <c:v>0.97285061866065914</c:v>
                </c:pt>
                <c:pt idx="522">
                  <c:v>0.97297395442332824</c:v>
                </c:pt>
                <c:pt idx="523">
                  <c:v>0.97309658068713145</c:v>
                </c:pt>
                <c:pt idx="524">
                  <c:v>0.97321850244501262</c:v>
                </c:pt>
                <c:pt idx="525">
                  <c:v>0.97333972464808882</c:v>
                </c:pt>
                <c:pt idx="526">
                  <c:v>0.97346025220605881</c:v>
                </c:pt>
                <c:pt idx="527">
                  <c:v>0.97358008998760592</c:v>
                </c:pt>
                <c:pt idx="528">
                  <c:v>0.97369924282079789</c:v>
                </c:pt>
                <c:pt idx="529">
                  <c:v>0.97381771549348106</c:v>
                </c:pt>
                <c:pt idx="530">
                  <c:v>0.97393551275367041</c:v>
                </c:pt>
                <c:pt idx="531">
                  <c:v>0.97405263930993558</c:v>
                </c:pt>
                <c:pt idx="532">
                  <c:v>0.97416909983178268</c:v>
                </c:pt>
                <c:pt idx="533">
                  <c:v>0.97428489895003112</c:v>
                </c:pt>
                <c:pt idx="534">
                  <c:v>0.97440004125718738</c:v>
                </c:pt>
                <c:pt idx="535">
                  <c:v>0.97451453130781385</c:v>
                </c:pt>
                <c:pt idx="536">
                  <c:v>0.97462837361889387</c:v>
                </c:pt>
                <c:pt idx="537">
                  <c:v>0.97474157267019246</c:v>
                </c:pt>
                <c:pt idx="538">
                  <c:v>0.97485413290461376</c:v>
                </c:pt>
                <c:pt idx="539">
                  <c:v>0.97496605872855391</c:v>
                </c:pt>
                <c:pt idx="540">
                  <c:v>0.97507735451225064</c:v>
                </c:pt>
                <c:pt idx="541">
                  <c:v>0.97518802459012777</c:v>
                </c:pt>
                <c:pt idx="542">
                  <c:v>0.97529807326113804</c:v>
                </c:pt>
                <c:pt idx="543">
                  <c:v>0.97540750478910043</c:v>
                </c:pt>
                <c:pt idx="544">
                  <c:v>0.97551632340303407</c:v>
                </c:pt>
                <c:pt idx="545">
                  <c:v>0.97562453329748955</c:v>
                </c:pt>
                <c:pt idx="546">
                  <c:v>0.97573213863287545</c:v>
                </c:pt>
                <c:pt idx="547">
                  <c:v>0.97583914353578205</c:v>
                </c:pt>
                <c:pt idx="548">
                  <c:v>0.97594555209930112</c:v>
                </c:pt>
                <c:pt idx="549">
                  <c:v>0.97605136838334228</c:v>
                </c:pt>
                <c:pt idx="550">
                  <c:v>0.97615659641494656</c:v>
                </c:pt>
                <c:pt idx="551">
                  <c:v>0.97626124018859572</c:v>
                </c:pt>
                <c:pt idx="552">
                  <c:v>0.97636530366651852</c:v>
                </c:pt>
                <c:pt idx="553">
                  <c:v>0.97646879077899407</c:v>
                </c:pt>
                <c:pt idx="554">
                  <c:v>0.97657170542465166</c:v>
                </c:pt>
                <c:pt idx="555">
                  <c:v>0.97667405147076691</c:v>
                </c:pt>
                <c:pt idx="556">
                  <c:v>0.97677583275355562</c:v>
                </c:pt>
                <c:pt idx="557">
                  <c:v>0.97687705307846395</c:v>
                </c:pt>
                <c:pt idx="558">
                  <c:v>0.97697771622045559</c:v>
                </c:pt>
                <c:pt idx="559">
                  <c:v>0.9770778259242956</c:v>
                </c:pt>
                <c:pt idx="560">
                  <c:v>0.97717738590483172</c:v>
                </c:pt>
                <c:pt idx="561">
                  <c:v>0.97727639984727255</c:v>
                </c:pt>
                <c:pt idx="562">
                  <c:v>0.97737487140746271</c:v>
                </c:pt>
                <c:pt idx="563">
                  <c:v>0.97747280421215443</c:v>
                </c:pt>
                <c:pt idx="564">
                  <c:v>0.97757020185927779</c:v>
                </c:pt>
                <c:pt idx="565">
                  <c:v>0.97766706791820668</c:v>
                </c:pt>
                <c:pt idx="566">
                  <c:v>0.97776340593002242</c:v>
                </c:pt>
                <c:pt idx="567">
                  <c:v>0.97785921940777454</c:v>
                </c:pt>
                <c:pt idx="568">
                  <c:v>0.97795451183673976</c:v>
                </c:pt>
                <c:pt idx="569">
                  <c:v>0.97804928667467594</c:v>
                </c:pt>
                <c:pt idx="570">
                  <c:v>0.97814354735207631</c:v>
                </c:pt>
                <c:pt idx="571">
                  <c:v>0.97823729727241837</c:v>
                </c:pt>
                <c:pt idx="572">
                  <c:v>0.97833053981241203</c:v>
                </c:pt>
                <c:pt idx="573">
                  <c:v>0.97842327832224429</c:v>
                </c:pt>
                <c:pt idx="574">
                  <c:v>0.97851551612582133</c:v>
                </c:pt>
                <c:pt idx="575">
                  <c:v>0.97860725652100855</c:v>
                </c:pt>
                <c:pt idx="576">
                  <c:v>0.97869850277986759</c:v>
                </c:pt>
                <c:pt idx="577">
                  <c:v>0.97878925814889151</c:v>
                </c:pt>
                <c:pt idx="578">
                  <c:v>0.97887952584923654</c:v>
                </c:pt>
                <c:pt idx="579">
                  <c:v>0.9789693090769529</c:v>
                </c:pt>
                <c:pt idx="580">
                  <c:v>0.97905861100321112</c:v>
                </c:pt>
                <c:pt idx="581">
                  <c:v>0.97914743477452859</c:v>
                </c:pt>
                <c:pt idx="582">
                  <c:v>0.97923578351299145</c:v>
                </c:pt>
                <c:pt idx="583">
                  <c:v>0.97932366031647544</c:v>
                </c:pt>
                <c:pt idx="584">
                  <c:v>0.97941106825886459</c:v>
                </c:pt>
                <c:pt idx="585">
                  <c:v>0.97949801039026652</c:v>
                </c:pt>
                <c:pt idx="586">
                  <c:v>0.97958448973722678</c:v>
                </c:pt>
                <c:pt idx="587">
                  <c:v>0.97967050930294042</c:v>
                </c:pt>
                <c:pt idx="588">
                  <c:v>0.97975607206746107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0-46D0-8BBF-EE96DA168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997680"/>
        <c:axId val="1546001840"/>
      </c:lineChart>
      <c:catAx>
        <c:axId val="1545997680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546001840"/>
        <c:crosses val="autoZero"/>
        <c:auto val="1"/>
        <c:lblAlgn val="ctr"/>
        <c:lblOffset val="100"/>
        <c:noMultiLvlLbl val="0"/>
      </c:catAx>
      <c:valAx>
        <c:axId val="1546001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54599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effectLst/>
              </a:rPr>
              <a:t>Función de densidad de probabilidad</a:t>
            </a:r>
            <a:endParaRPr lang="es-CO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Binomial!$B$9</c:f>
              <c:strCache>
                <c:ptCount val="1"/>
                <c:pt idx="0">
                  <c:v>Prob. de compra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Binomial!$A$10:$A$30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Binomial!$B$10:$B$30</c:f>
              <c:numCache>
                <c:formatCode>0%</c:formatCode>
                <c:ptCount val="21"/>
                <c:pt idx="0">
                  <c:v>3.1712119389339963E-3</c:v>
                </c:pt>
                <c:pt idx="1">
                  <c:v>2.1141412926226615E-2</c:v>
                </c:pt>
                <c:pt idx="2">
                  <c:v>6.6947807599717662E-2</c:v>
                </c:pt>
                <c:pt idx="3">
                  <c:v>0.13389561519943524</c:v>
                </c:pt>
                <c:pt idx="4">
                  <c:v>0.18968545486586663</c:v>
                </c:pt>
                <c:pt idx="5">
                  <c:v>0.20233115185692441</c:v>
                </c:pt>
                <c:pt idx="6">
                  <c:v>0.1686092932141037</c:v>
                </c:pt>
                <c:pt idx="7">
                  <c:v>0.11240619547606913</c:v>
                </c:pt>
                <c:pt idx="8">
                  <c:v>6.0886689216204062E-2</c:v>
                </c:pt>
                <c:pt idx="9">
                  <c:v>2.7060750762757369E-2</c:v>
                </c:pt>
                <c:pt idx="10">
                  <c:v>9.9222752796777041E-3</c:v>
                </c:pt>
                <c:pt idx="11">
                  <c:v>3.0067500847508173E-3</c:v>
                </c:pt>
                <c:pt idx="12">
                  <c:v>7.5168752118770586E-4</c:v>
                </c:pt>
                <c:pt idx="13">
                  <c:v>1.541923120385034E-4</c:v>
                </c:pt>
                <c:pt idx="14">
                  <c:v>2.5698718673083962E-5</c:v>
                </c:pt>
                <c:pt idx="15">
                  <c:v>3.42649582307786E-6</c:v>
                </c:pt>
                <c:pt idx="16">
                  <c:v>3.5692664823727645E-7</c:v>
                </c:pt>
                <c:pt idx="17">
                  <c:v>2.7994246920570738E-8</c:v>
                </c:pt>
                <c:pt idx="18">
                  <c:v>1.5552359400317114E-9</c:v>
                </c:pt>
                <c:pt idx="19">
                  <c:v>5.4569682106375856E-11</c:v>
                </c:pt>
                <c:pt idx="20">
                  <c:v>9.0949470177292824E-13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D-4B13-B4A0-A626DCFB5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791297023"/>
        <c:axId val="791293695"/>
      </c:barChart>
      <c:catAx>
        <c:axId val="791297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s-CO" sz="9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auto val="1"/>
        <c:lblAlgn val="ctr"/>
        <c:lblOffset val="100"/>
        <c:noMultiLvlLbl val="0"/>
      </c:catAx>
      <c:valAx>
        <c:axId val="791293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solidFill>
                  <a:schemeClr val="tx1"/>
                </a:solidFill>
                <a:effectLst/>
              </a:rPr>
              <a:t>Función de distribución acumulada</a:t>
            </a:r>
            <a:endParaRPr lang="es-CO" sz="1200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Binomial!$C$9</c:f>
              <c:strCache>
                <c:ptCount val="1"/>
                <c:pt idx="0">
                  <c:v>Prob. de compra acumulada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87-46D4-A5E1-8BE296C790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Binomial!$A$10:$A$30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Binomial!$C$10:$C$30</c:f>
              <c:numCache>
                <c:formatCode>0%</c:formatCode>
                <c:ptCount val="21"/>
                <c:pt idx="0">
                  <c:v>3.1712119389339963E-3</c:v>
                </c:pt>
                <c:pt idx="1">
                  <c:v>2.4312624865160629E-2</c:v>
                </c:pt>
                <c:pt idx="2">
                  <c:v>9.1260432464878291E-2</c:v>
                </c:pt>
                <c:pt idx="3">
                  <c:v>0.2251560476643136</c:v>
                </c:pt>
                <c:pt idx="4">
                  <c:v>0.41484150253018032</c:v>
                </c:pt>
                <c:pt idx="5">
                  <c:v>0.61717265438710467</c:v>
                </c:pt>
                <c:pt idx="6">
                  <c:v>0.78578194760120801</c:v>
                </c:pt>
                <c:pt idx="7">
                  <c:v>0.89818814307727735</c:v>
                </c:pt>
                <c:pt idx="8">
                  <c:v>0.95907483229348145</c:v>
                </c:pt>
                <c:pt idx="9">
                  <c:v>0.98613558305623883</c:v>
                </c:pt>
                <c:pt idx="10">
                  <c:v>0.99605785833591653</c:v>
                </c:pt>
                <c:pt idx="11">
                  <c:v>0.99906460842066735</c:v>
                </c:pt>
                <c:pt idx="12">
                  <c:v>0.99981629594185506</c:v>
                </c:pt>
                <c:pt idx="13">
                  <c:v>0.99997048825389356</c:v>
                </c:pt>
                <c:pt idx="14">
                  <c:v>0.99999618697256665</c:v>
                </c:pt>
                <c:pt idx="15">
                  <c:v>0.99999961346838973</c:v>
                </c:pt>
                <c:pt idx="16">
                  <c:v>0.99999997039503796</c:v>
                </c:pt>
                <c:pt idx="17">
                  <c:v>0.99999999838928488</c:v>
                </c:pt>
                <c:pt idx="18">
                  <c:v>0.99999999994452082</c:v>
                </c:pt>
                <c:pt idx="19">
                  <c:v>0.99999999999909051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7-46D4-A5E1-8BE296C7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297023"/>
        <c:axId val="791293695"/>
      </c:scatterChart>
      <c:valAx>
        <c:axId val="791297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s-CO" sz="9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crossBetween val="midCat"/>
      </c:valAx>
      <c:valAx>
        <c:axId val="791293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Binomial!$D$38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tx1"/>
            </a:solidFill>
            <a:ln w="12700" cap="flat" cmpd="sng" algn="ctr">
              <a:solidFill>
                <a:schemeClr val="tx1"/>
              </a:solidFill>
              <a:prstDash val="solid"/>
              <a:miter lim="800000"/>
            </a:ln>
            <a:effectLst/>
          </c:spPr>
          <c:invertIfNegative val="0"/>
          <c:cat>
            <c:numRef>
              <c:f>Binomial!$D$39:$D$59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Binomial!$E$39:$E$59</c:f>
              <c:numCache>
                <c:formatCode>0.0%</c:formatCode>
                <c:ptCount val="21"/>
                <c:pt idx="0">
                  <c:v>3.0000000000000001E-3</c:v>
                </c:pt>
                <c:pt idx="1">
                  <c:v>1.9E-2</c:v>
                </c:pt>
                <c:pt idx="2">
                  <c:v>6.7000000000000004E-2</c:v>
                </c:pt>
                <c:pt idx="3">
                  <c:v>0.125</c:v>
                </c:pt>
                <c:pt idx="4">
                  <c:v>0.17899999999999999</c:v>
                </c:pt>
                <c:pt idx="5">
                  <c:v>0.20699999999999999</c:v>
                </c:pt>
                <c:pt idx="6">
                  <c:v>0.16400000000000001</c:v>
                </c:pt>
                <c:pt idx="7">
                  <c:v>0.126</c:v>
                </c:pt>
                <c:pt idx="8">
                  <c:v>6.3E-2</c:v>
                </c:pt>
                <c:pt idx="9">
                  <c:v>2.9000000000000001E-2</c:v>
                </c:pt>
                <c:pt idx="10">
                  <c:v>8.0000000000000002E-3</c:v>
                </c:pt>
                <c:pt idx="11">
                  <c:v>4.0000000000000001E-3</c:v>
                </c:pt>
                <c:pt idx="12">
                  <c:v>0</c:v>
                </c:pt>
                <c:pt idx="13">
                  <c:v>1E-3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6-447D-B25E-9E99FF947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788632911"/>
        <c:axId val="788639151"/>
      </c:barChart>
      <c:catAx>
        <c:axId val="78863291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88639151"/>
        <c:crosses val="autoZero"/>
        <c:auto val="1"/>
        <c:lblAlgn val="ctr"/>
        <c:lblOffset val="100"/>
        <c:noMultiLvlLbl val="0"/>
      </c:catAx>
      <c:valAx>
        <c:axId val="78863915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8863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effectLst/>
              </a:rPr>
              <a:t>Función de densidad de probabilidad</a:t>
            </a:r>
            <a:endParaRPr lang="es-CO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Discreta!$C$1</c:f>
              <c:strCache>
                <c:ptCount val="1"/>
                <c:pt idx="0">
                  <c:v>Probabilidad de ocurrencia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Discreta!$B$2:$B$6</c:f>
              <c:numCache>
                <c:formatCode>#,##0</c:formatCode>
                <c:ptCount val="5"/>
                <c:pt idx="0">
                  <c:v>20000</c:v>
                </c:pt>
                <c:pt idx="1">
                  <c:v>35000</c:v>
                </c:pt>
                <c:pt idx="2">
                  <c:v>50000</c:v>
                </c:pt>
                <c:pt idx="3">
                  <c:v>65000</c:v>
                </c:pt>
                <c:pt idx="4">
                  <c:v>80000</c:v>
                </c:pt>
              </c:numCache>
            </c:numRef>
          </c:cat>
          <c:val>
            <c:numRef>
              <c:f>Discreta!$C$2:$C$6</c:f>
              <c:numCache>
                <c:formatCode>0%</c:formatCode>
                <c:ptCount val="5"/>
                <c:pt idx="0">
                  <c:v>0.2</c:v>
                </c:pt>
                <c:pt idx="1">
                  <c:v>0.3</c:v>
                </c:pt>
                <c:pt idx="2">
                  <c:v>0.25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F8-48C2-B5D4-AC5390D85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791297023"/>
        <c:axId val="791293695"/>
      </c:barChart>
      <c:catAx>
        <c:axId val="791297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s-CO" sz="9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auto val="1"/>
        <c:lblAlgn val="ctr"/>
        <c:lblOffset val="100"/>
        <c:noMultiLvlLbl val="0"/>
      </c:catAx>
      <c:valAx>
        <c:axId val="791293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effectLst/>
              </a:rPr>
              <a:t>Función de distribución acumulada</a:t>
            </a:r>
            <a:endParaRPr lang="es-CO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Discreta!$D$1</c:f>
              <c:strCache>
                <c:ptCount val="1"/>
                <c:pt idx="0">
                  <c:v>Probabilidad de ocurrencia acumulada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Discreta!$B$2:$B$6</c:f>
              <c:numCache>
                <c:formatCode>#,##0</c:formatCode>
                <c:ptCount val="5"/>
                <c:pt idx="0">
                  <c:v>20000</c:v>
                </c:pt>
                <c:pt idx="1">
                  <c:v>35000</c:v>
                </c:pt>
                <c:pt idx="2">
                  <c:v>50000</c:v>
                </c:pt>
                <c:pt idx="3">
                  <c:v>65000</c:v>
                </c:pt>
                <c:pt idx="4">
                  <c:v>80000</c:v>
                </c:pt>
              </c:numCache>
            </c:numRef>
          </c:xVal>
          <c:yVal>
            <c:numRef>
              <c:f>Discreta!$D$2:$D$6</c:f>
              <c:numCache>
                <c:formatCode>0%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0.75</c:v>
                </c:pt>
                <c:pt idx="3">
                  <c:v>0.9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87-425E-B136-280FBB3FC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297023"/>
        <c:axId val="791293695"/>
      </c:scatterChart>
      <c:valAx>
        <c:axId val="791297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s-CO" sz="9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crossBetween val="midCat"/>
      </c:valAx>
      <c:valAx>
        <c:axId val="791293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effectLst/>
              </a:rPr>
              <a:t>Función de densidad de probabilidad</a:t>
            </a:r>
            <a:endParaRPr lang="es-CO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'Uniforme discreta'!$C$1</c:f>
              <c:strCache>
                <c:ptCount val="1"/>
                <c:pt idx="0">
                  <c:v>Probabilidad de ocurrencia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'Uniforme discreta'!$B$2:$B$5</c:f>
              <c:numCache>
                <c:formatCode>"$"#,##0_);[Red]\("$"#,##0\)</c:formatCode>
                <c:ptCount val="4"/>
                <c:pt idx="0">
                  <c:v>4000</c:v>
                </c:pt>
                <c:pt idx="1">
                  <c:v>5000</c:v>
                </c:pt>
                <c:pt idx="2">
                  <c:v>6000</c:v>
                </c:pt>
                <c:pt idx="3">
                  <c:v>7000</c:v>
                </c:pt>
              </c:numCache>
            </c:numRef>
          </c:cat>
          <c:val>
            <c:numRef>
              <c:f>'Uniforme discreta'!$C$2:$C$5</c:f>
              <c:numCache>
                <c:formatCode>0%</c:formatCode>
                <c:ptCount val="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7C-4E3E-B47B-DC7409E50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791297023"/>
        <c:axId val="791293695"/>
      </c:barChart>
      <c:catAx>
        <c:axId val="791297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s-CO" sz="9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Precio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auto val="1"/>
        <c:lblAlgn val="ctr"/>
        <c:lblOffset val="100"/>
        <c:noMultiLvlLbl val="0"/>
      </c:catAx>
      <c:valAx>
        <c:axId val="791293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 b="0" i="0" baseline="0">
                <a:solidFill>
                  <a:schemeClr val="tx1"/>
                </a:solidFill>
                <a:effectLst/>
              </a:rPr>
              <a:t>Función de distribución acumulada</a:t>
            </a:r>
            <a:endParaRPr lang="es-CO" sz="1200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'Uniforme discreta'!$D$1</c:f>
              <c:strCache>
                <c:ptCount val="1"/>
                <c:pt idx="0">
                  <c:v>Probabilidad de ocurrencia acumulada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'Uniforme discreta'!$B$2:$B$5</c:f>
              <c:numCache>
                <c:formatCode>"$"#,##0_);[Red]\("$"#,##0\)</c:formatCode>
                <c:ptCount val="4"/>
                <c:pt idx="0">
                  <c:v>4000</c:v>
                </c:pt>
                <c:pt idx="1">
                  <c:v>5000</c:v>
                </c:pt>
                <c:pt idx="2">
                  <c:v>6000</c:v>
                </c:pt>
                <c:pt idx="3">
                  <c:v>7000</c:v>
                </c:pt>
              </c:numCache>
            </c:numRef>
          </c:xVal>
          <c:yVal>
            <c:numRef>
              <c:f>'Uniforme discreta'!$D$2:$D$5</c:f>
              <c:numCache>
                <c:formatCode>0%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25-41E5-919F-518BD0015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297023"/>
        <c:axId val="791293695"/>
      </c:scatterChart>
      <c:valAx>
        <c:axId val="791297023"/>
        <c:scaling>
          <c:orientation val="minMax"/>
          <c:max val="7000"/>
          <c:min val="4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s-CO" sz="9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Precio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3695"/>
        <c:crosses val="autoZero"/>
        <c:crossBetween val="midCat"/>
        <c:majorUnit val="1000"/>
      </c:valAx>
      <c:valAx>
        <c:axId val="791293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79129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58747</xdr:colOff>
      <xdr:row>11</xdr:row>
      <xdr:rowOff>447675</xdr:rowOff>
    </xdr:from>
    <xdr:to>
      <xdr:col>13</xdr:col>
      <xdr:colOff>668347</xdr:colOff>
      <xdr:row>24</xdr:row>
      <xdr:rowOff>142993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DBAD8F-9D21-4ED2-8D7C-B73952B43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138259</xdr:colOff>
      <xdr:row>25</xdr:row>
      <xdr:rowOff>140921</xdr:rowOff>
    </xdr:from>
    <xdr:to>
      <xdr:col>14</xdr:col>
      <xdr:colOff>29402</xdr:colOff>
      <xdr:row>39</xdr:row>
      <xdr:rowOff>59277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88B9AF2-61D3-4F5B-8EB4-36ABD6B31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182633</xdr:colOff>
      <xdr:row>40</xdr:row>
      <xdr:rowOff>68568</xdr:rowOff>
    </xdr:from>
    <xdr:to>
      <xdr:col>14</xdr:col>
      <xdr:colOff>397979</xdr:colOff>
      <xdr:row>59</xdr:row>
      <xdr:rowOff>159854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359635E-F7EA-4866-AA13-2880B7364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209549</xdr:colOff>
      <xdr:row>8</xdr:row>
      <xdr:rowOff>165652</xdr:rowOff>
    </xdr:from>
    <xdr:to>
      <xdr:col>20</xdr:col>
      <xdr:colOff>623680</xdr:colOff>
      <xdr:row>29</xdr:row>
      <xdr:rowOff>49695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C32F5C3-7BB3-4C16-A2C2-24CE22018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21114</xdr:colOff>
      <xdr:row>9</xdr:row>
      <xdr:rowOff>49267</xdr:rowOff>
    </xdr:from>
    <xdr:to>
      <xdr:col>27</xdr:col>
      <xdr:colOff>479535</xdr:colOff>
      <xdr:row>27</xdr:row>
      <xdr:rowOff>52756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6677076-CDF3-4726-B6B2-D701B34CB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483577</xdr:colOff>
      <xdr:row>3</xdr:row>
      <xdr:rowOff>29307</xdr:rowOff>
    </xdr:from>
    <xdr:to>
      <xdr:col>9</xdr:col>
      <xdr:colOff>164023</xdr:colOff>
      <xdr:row>4</xdr:row>
      <xdr:rowOff>65396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3">
              <a:extLst>
                <a:ext uri="{FF2B5EF4-FFF2-40B4-BE49-F238E27FC236}">
                  <a16:creationId xmlns:a16="http://schemas.microsoft.com/office/drawing/2014/main" id="{268780E5-EBAA-4D96-9708-C3A0B4E5425E}"/>
                </a:ext>
              </a:extLst>
            </xdr:cNvPr>
            <xdr:cNvSpPr txBox="1"/>
          </xdr:nvSpPr>
          <xdr:spPr>
            <a:xfrm>
              <a:off x="6748096" y="586153"/>
              <a:ext cx="2098331" cy="39510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2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</m:e>
                        </m:rad>
                      </m:den>
                    </m:f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sSup>
                          <m:sSup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𝜇</m:t>
                                    </m:r>
                                  </m:num>
                                  <m:den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𝜎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10" name="CuadroTexto 3">
              <a:extLst>
                <a:ext uri="{FF2B5EF4-FFF2-40B4-BE49-F238E27FC236}">
                  <a16:creationId xmlns:a16="http://schemas.microsoft.com/office/drawing/2014/main" id="{268780E5-EBAA-4D96-9708-C3A0B4E5425E}"/>
                </a:ext>
              </a:extLst>
            </xdr:cNvPr>
            <xdr:cNvSpPr txBox="1"/>
          </xdr:nvSpPr>
          <xdr:spPr>
            <a:xfrm>
              <a:off x="6748096" y="586153"/>
              <a:ext cx="2098331" cy="39510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</a:rPr>
                <a:t>𝑓(𝑥)=1/(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𝜎√2𝜋) </a:t>
              </a:r>
              <a:r>
                <a:rPr lang="es-MX" sz="1200" b="0" i="0">
                  <a:latin typeface="Cambria Math" panose="02040503050406030204" pitchFamily="18" charset="0"/>
                </a:rPr>
                <a:t>𝑒^(−1/2 ((𝑥−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𝜇)/𝜎)^</a:t>
              </a:r>
              <a:r>
                <a:rPr lang="es-MX" sz="1200" b="0" i="0">
                  <a:latin typeface="Cambria Math" panose="02040503050406030204" pitchFamily="18" charset="0"/>
                </a:rPr>
                <a:t>2 )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14</xdr:col>
      <xdr:colOff>752475</xdr:colOff>
      <xdr:row>30</xdr:row>
      <xdr:rowOff>76200</xdr:rowOff>
    </xdr:from>
    <xdr:to>
      <xdr:col>20</xdr:col>
      <xdr:colOff>733425</xdr:colOff>
      <xdr:row>43</xdr:row>
      <xdr:rowOff>171568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6C27DAE-B10D-44FF-AAB2-831599C28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907677</xdr:colOff>
      <xdr:row>4</xdr:row>
      <xdr:rowOff>190500</xdr:rowOff>
    </xdr:from>
    <xdr:to>
      <xdr:col>21</xdr:col>
      <xdr:colOff>414618</xdr:colOff>
      <xdr:row>33</xdr:row>
      <xdr:rowOff>67236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600FD3-285C-4B64-863D-CF64A294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625928</xdr:colOff>
      <xdr:row>0</xdr:row>
      <xdr:rowOff>152399</xdr:rowOff>
    </xdr:from>
    <xdr:to>
      <xdr:col>8</xdr:col>
      <xdr:colOff>370703</xdr:colOff>
      <xdr:row>4</xdr:row>
      <xdr:rowOff>103414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32">
              <a:extLst>
                <a:ext uri="{FF2B5EF4-FFF2-40B4-BE49-F238E27FC236}">
                  <a16:creationId xmlns:a16="http://schemas.microsoft.com/office/drawing/2014/main" id="{DC1880D2-7147-4B35-8C41-5D5C8397681A}"/>
                </a:ext>
              </a:extLst>
            </xdr:cNvPr>
            <xdr:cNvSpPr txBox="1"/>
          </xdr:nvSpPr>
          <xdr:spPr>
            <a:xfrm>
              <a:off x="3047999" y="152399"/>
              <a:ext cx="2792775" cy="71301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MX" sz="9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CO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CO" sz="9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s-CO" sz="9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CO" sz="9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s-CO" sz="9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900" b="0" i="1">
                                    <a:latin typeface="Cambria Math" panose="02040503050406030204" pitchFamily="18" charset="0"/>
                                  </a:rPr>
                                  <m:t>2(</m:t>
                                </m:r>
                                <m:r>
                                  <a:rPr lang="es-MX" sz="9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s-MX" sz="9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s-MX" sz="9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  <m:r>
                                  <a:rPr lang="es-MX" sz="9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)(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den>
                            </m:f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,    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𝑝𝑎𝑟𝑎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e>
                          <m:e>
                            <m:f>
                              <m:fPr>
                                <m:ctrlPr>
                                  <a:rPr lang="es-CO" sz="9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9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d>
                                  <m:dPr>
                                    <m:ctrlPr>
                                      <a:rPr lang="es-MX" sz="9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s-MX" sz="9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  <m:r>
                                      <a:rPr lang="es-MX" sz="9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s-MX" sz="9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</m:d>
                              </m:num>
                              <m:den>
                                <m:d>
                                  <m:dPr>
                                    <m:ctrlP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s-CO" sz="9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s-CO" sz="900" b="0" i="1">
                                        <a:latin typeface="Cambria Math" panose="02040503050406030204" pitchFamily="18" charset="0"/>
                                      </a:rPr>
                                      <m:t>𝑏</m:t>
                                    </m:r>
                                  </m:e>
                                </m:d>
                                <m:d>
                                  <m:dPr>
                                    <m:ctrlP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𝑎</m:t>
                                    </m:r>
                                  </m:e>
                                </m:d>
                              </m:den>
                            </m:f>
                            <m:r>
                              <a:rPr lang="es-CO" sz="9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9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𝑝𝑎𝑟𝑎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s-MX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&lt;</m:t>
                            </m:r>
                            <m:r>
                              <a:rPr lang="es-CO" sz="9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9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es-CO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" name="CuadroTexto 32">
              <a:extLst>
                <a:ext uri="{FF2B5EF4-FFF2-40B4-BE49-F238E27FC236}">
                  <a16:creationId xmlns:a16="http://schemas.microsoft.com/office/drawing/2014/main" id="{DC1880D2-7147-4B35-8C41-5D5C8397681A}"/>
                </a:ext>
              </a:extLst>
            </xdr:cNvPr>
            <xdr:cNvSpPr txBox="1"/>
          </xdr:nvSpPr>
          <xdr:spPr>
            <a:xfrm>
              <a:off x="3047999" y="152399"/>
              <a:ext cx="2792775" cy="71301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900" b="0" i="0">
                  <a:latin typeface="Cambria Math" panose="02040503050406030204" pitchFamily="18" charset="0"/>
                </a:rPr>
                <a:t>𝑓</a:t>
              </a:r>
              <a:r>
                <a:rPr lang="es-CO" sz="900" b="0" i="0">
                  <a:latin typeface="Cambria Math" panose="02040503050406030204" pitchFamily="18" charset="0"/>
                </a:rPr>
                <a:t>(𝑥)=</a:t>
              </a:r>
              <a:r>
                <a:rPr lang="es-CO" sz="900" i="0">
                  <a:latin typeface="Cambria Math" panose="02040503050406030204" pitchFamily="18" charset="0"/>
                </a:rPr>
                <a:t>{█((</a:t>
              </a:r>
              <a:r>
                <a:rPr lang="es-MX" sz="900" b="0" i="0">
                  <a:latin typeface="Cambria Math" panose="02040503050406030204" pitchFamily="18" charset="0"/>
                </a:rPr>
                <a:t>2(𝑥−𝑎)</a:t>
              </a:r>
              <a:r>
                <a:rPr lang="es-CO" sz="900" b="0" i="0">
                  <a:latin typeface="Cambria Math" panose="02040503050406030204" pitchFamily="18" charset="0"/>
                </a:rPr>
                <a:t>)/((𝑏−𝑎)(𝑐−𝑎)),    𝑝𝑎𝑟𝑎 𝑎</a:t>
              </a:r>
              <a:r>
                <a:rPr lang="es-CO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≤𝑥≤𝑏@</a:t>
              </a:r>
              <a:r>
                <a:rPr lang="es-MX" sz="900" b="0" i="0">
                  <a:latin typeface="Cambria Math" panose="02040503050406030204" pitchFamily="18" charset="0"/>
                </a:rPr>
                <a:t>2(𝑐−𝑥)</a:t>
              </a:r>
              <a:r>
                <a:rPr lang="es-CO" sz="900" b="0" i="0">
                  <a:latin typeface="Cambria Math" panose="02040503050406030204" pitchFamily="18" charset="0"/>
                </a:rPr>
                <a:t>/(𝑐</a:t>
              </a:r>
              <a:r>
                <a:rPr lang="es-CO" sz="900" i="0">
                  <a:latin typeface="Cambria Math" panose="02040503050406030204" pitchFamily="18" charset="0"/>
                </a:rPr>
                <a:t>−</a:t>
              </a:r>
              <a:r>
                <a:rPr lang="es-CO" sz="900" b="0" i="0">
                  <a:latin typeface="Cambria Math" panose="02040503050406030204" pitchFamily="18" charset="0"/>
                </a:rPr>
                <a:t>𝑏)(</a:t>
              </a:r>
              <a:r>
                <a:rPr lang="es-CO" sz="900" i="0">
                  <a:latin typeface="Cambria Math" panose="02040503050406030204" pitchFamily="18" charset="0"/>
                </a:rPr>
                <a:t>𝑐−𝑎) ,</a:t>
              </a:r>
              <a:r>
                <a:rPr lang="es-CO" sz="900" b="0" i="0">
                  <a:latin typeface="Cambria Math" panose="02040503050406030204" pitchFamily="18" charset="0"/>
                </a:rPr>
                <a:t> </a:t>
              </a:r>
              <a:r>
                <a:rPr lang="es-MX" sz="900" b="0" i="0">
                  <a:latin typeface="Cambria Math" panose="02040503050406030204" pitchFamily="18" charset="0"/>
                </a:rPr>
                <a:t> </a:t>
              </a:r>
              <a:r>
                <a:rPr lang="es-CO" sz="900" b="0" i="0">
                  <a:latin typeface="Cambria Math" panose="02040503050406030204" pitchFamily="18" charset="0"/>
                </a:rPr>
                <a:t>𝑝𝑎𝑟𝑎 𝑏</a:t>
              </a:r>
              <a:r>
                <a:rPr lang="es-MX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&lt;</a:t>
              </a:r>
              <a:r>
                <a:rPr lang="es-CO" sz="9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𝑥≤</a:t>
              </a:r>
              <a:r>
                <a:rPr lang="es-CO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𝑐)┤</a:t>
              </a:r>
              <a:endParaRPr lang="es-CO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>
    <xdr:from>
      <xdr:col>5</xdr:col>
      <xdr:colOff>48984</xdr:colOff>
      <xdr:row>5</xdr:row>
      <xdr:rowOff>10884</xdr:rowOff>
    </xdr:from>
    <xdr:to>
      <xdr:col>9</xdr:col>
      <xdr:colOff>549727</xdr:colOff>
      <xdr:row>19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4F1000-86FE-4A3A-9DD9-3C75D584A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734786</xdr:colOff>
      <xdr:row>0</xdr:row>
      <xdr:rowOff>125186</xdr:rowOff>
    </xdr:from>
    <xdr:to>
      <xdr:col>12</xdr:col>
      <xdr:colOff>173245</xdr:colOff>
      <xdr:row>4</xdr:row>
      <xdr:rowOff>19007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28">
              <a:extLst>
                <a:ext uri="{FF2B5EF4-FFF2-40B4-BE49-F238E27FC236}">
                  <a16:creationId xmlns:a16="http://schemas.microsoft.com/office/drawing/2014/main" id="{576F112B-E2BE-4F9A-B827-151909D70D9B}"/>
                </a:ext>
              </a:extLst>
            </xdr:cNvPr>
            <xdr:cNvSpPr txBox="1"/>
          </xdr:nvSpPr>
          <xdr:spPr>
            <a:xfrm>
              <a:off x="6204857" y="125186"/>
              <a:ext cx="2486459" cy="6558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CO" sz="900" b="0" i="1">
                        <a:latin typeface="Cambria Math" panose="02040503050406030204" pitchFamily="18" charset="0"/>
                      </a:rPr>
                      <m:t>𝐹</m:t>
                    </m:r>
                    <m:d>
                      <m:dPr>
                        <m:ctrlPr>
                          <a:rPr lang="es-CO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CO" sz="9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s-CO" sz="9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CO" sz="9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s-CO" sz="9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 </m:t>
                                </m:r>
                                <m:sSup>
                                  <m:sSupPr>
                                    <m:ctrlPr>
                                      <a:rPr lang="es-CO" sz="9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(</m:t>
                                    </m:r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𝑎</m:t>
                                    </m:r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)</m:t>
                                    </m:r>
                                  </m:e>
                                  <m:sup>
                                    <m:r>
                                      <a:rPr lang="es-MX" sz="9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)(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  <m:r>
                                  <a:rPr lang="es-CO" sz="9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den>
                            </m:f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,    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𝑝𝑎𝑟𝑎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e>
                          <m:e>
                            <m:r>
                              <a:rPr lang="es-MX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s-CO" sz="9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s-CO" sz="9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s-CO" sz="900" b="0" i="1">
                                            <a:latin typeface="Cambria Math" panose="02040503050406030204" pitchFamily="18" charset="0"/>
                                          </a:rPr>
                                          <m:t>𝑐</m:t>
                                        </m:r>
                                        <m:r>
                                          <a:rPr lang="es-CO" sz="9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s-CO" sz="9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es-MX" sz="9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d>
                                  <m:dPr>
                                    <m:ctrlP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s-CO" sz="9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s-CO" sz="900" b="0" i="1">
                                        <a:latin typeface="Cambria Math" panose="02040503050406030204" pitchFamily="18" charset="0"/>
                                      </a:rPr>
                                      <m:t>𝑏</m:t>
                                    </m:r>
                                  </m:e>
                                </m:d>
                                <m:d>
                                  <m:dPr>
                                    <m:ctrlP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s-CO" sz="900" i="1">
                                        <a:latin typeface="Cambria Math" panose="02040503050406030204" pitchFamily="18" charset="0"/>
                                      </a:rPr>
                                      <m:t>𝑎</m:t>
                                    </m:r>
                                  </m:e>
                                </m:d>
                              </m:den>
                            </m:f>
                            <m:r>
                              <a:rPr lang="es-CO" sz="9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9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𝑝𝑎𝑟𝑎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s-MX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&lt;</m:t>
                            </m:r>
                            <m:r>
                              <a:rPr lang="es-CO" sz="9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9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s-CO" sz="9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es-CO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4" name="CuadroTexto 28">
              <a:extLst>
                <a:ext uri="{FF2B5EF4-FFF2-40B4-BE49-F238E27FC236}">
                  <a16:creationId xmlns:a16="http://schemas.microsoft.com/office/drawing/2014/main" id="{576F112B-E2BE-4F9A-B827-151909D70D9B}"/>
                </a:ext>
              </a:extLst>
            </xdr:cNvPr>
            <xdr:cNvSpPr txBox="1"/>
          </xdr:nvSpPr>
          <xdr:spPr>
            <a:xfrm>
              <a:off x="6204857" y="125186"/>
              <a:ext cx="2486459" cy="6558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900" b="0" i="0">
                  <a:latin typeface="Cambria Math" panose="02040503050406030204" pitchFamily="18" charset="0"/>
                </a:rPr>
                <a:t>𝐹(𝑥)=</a:t>
              </a:r>
              <a:r>
                <a:rPr lang="es-CO" sz="900" i="0">
                  <a:latin typeface="Cambria Math" panose="02040503050406030204" pitchFamily="18" charset="0"/>
                </a:rPr>
                <a:t>{█((</a:t>
              </a:r>
              <a:r>
                <a:rPr lang="es-CO" sz="900" b="0" i="0">
                  <a:latin typeface="Cambria Math" panose="02040503050406030204" pitchFamily="18" charset="0"/>
                </a:rPr>
                <a:t> 〖</a:t>
              </a:r>
              <a:r>
                <a:rPr lang="es-CO" sz="900" i="0">
                  <a:latin typeface="Cambria Math" panose="02040503050406030204" pitchFamily="18" charset="0"/>
                </a:rPr>
                <a:t>(𝑥−𝑎)</a:t>
              </a:r>
              <a:r>
                <a:rPr lang="es-CO" sz="900" b="0" i="0">
                  <a:latin typeface="Cambria Math" panose="02040503050406030204" pitchFamily="18" charset="0"/>
                </a:rPr>
                <a:t>〗^</a:t>
              </a:r>
              <a:r>
                <a:rPr lang="es-MX" sz="900" b="0" i="0">
                  <a:latin typeface="Cambria Math" panose="02040503050406030204" pitchFamily="18" charset="0"/>
                </a:rPr>
                <a:t>2</a:t>
              </a:r>
              <a:r>
                <a:rPr lang="es-CO" sz="900" b="0" i="0">
                  <a:latin typeface="Cambria Math" panose="02040503050406030204" pitchFamily="18" charset="0"/>
                </a:rPr>
                <a:t>)/((𝑏−𝑎)(𝑐−𝑎)),    𝑝𝑎𝑟𝑎 𝑎</a:t>
              </a:r>
              <a:r>
                <a:rPr lang="es-CO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≤𝑥≤𝑏@</a:t>
              </a:r>
              <a:r>
                <a:rPr lang="es-MX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1−</a:t>
              </a:r>
              <a:r>
                <a:rPr lang="es-CO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s-CO" sz="900" b="0" i="0">
                  <a:latin typeface="Cambria Math" panose="02040503050406030204" pitchFamily="18" charset="0"/>
                </a:rPr>
                <a:t>𝑐</a:t>
              </a:r>
              <a:r>
                <a:rPr lang="es-CO" sz="900" i="0">
                  <a:latin typeface="Cambria Math" panose="02040503050406030204" pitchFamily="18" charset="0"/>
                </a:rPr>
                <a:t>−</a:t>
              </a:r>
              <a:r>
                <a:rPr lang="es-CO" sz="900" b="0" i="0">
                  <a:latin typeface="Cambria Math" panose="02040503050406030204" pitchFamily="18" charset="0"/>
                </a:rPr>
                <a:t>𝑥)^</a:t>
              </a:r>
              <a:r>
                <a:rPr lang="es-MX" sz="900" b="0" i="0">
                  <a:latin typeface="Cambria Math" panose="02040503050406030204" pitchFamily="18" charset="0"/>
                </a:rPr>
                <a:t>2</a:t>
              </a:r>
              <a:r>
                <a:rPr lang="es-CO" sz="900" b="0" i="0">
                  <a:latin typeface="Cambria Math" panose="02040503050406030204" pitchFamily="18" charset="0"/>
                </a:rPr>
                <a:t>/(𝑐</a:t>
              </a:r>
              <a:r>
                <a:rPr lang="es-CO" sz="900" i="0">
                  <a:latin typeface="Cambria Math" panose="02040503050406030204" pitchFamily="18" charset="0"/>
                </a:rPr>
                <a:t>−</a:t>
              </a:r>
              <a:r>
                <a:rPr lang="es-CO" sz="900" b="0" i="0">
                  <a:latin typeface="Cambria Math" panose="02040503050406030204" pitchFamily="18" charset="0"/>
                </a:rPr>
                <a:t>𝑏)(</a:t>
              </a:r>
              <a:r>
                <a:rPr lang="es-CO" sz="900" i="0">
                  <a:latin typeface="Cambria Math" panose="02040503050406030204" pitchFamily="18" charset="0"/>
                </a:rPr>
                <a:t>𝑐−𝑎) ,</a:t>
              </a:r>
              <a:r>
                <a:rPr lang="es-CO" sz="900" b="0" i="0">
                  <a:latin typeface="Cambria Math" panose="02040503050406030204" pitchFamily="18" charset="0"/>
                </a:rPr>
                <a:t> </a:t>
              </a:r>
              <a:r>
                <a:rPr lang="es-MX" sz="900" b="0" i="0">
                  <a:latin typeface="Cambria Math" panose="02040503050406030204" pitchFamily="18" charset="0"/>
                </a:rPr>
                <a:t> </a:t>
              </a:r>
              <a:r>
                <a:rPr lang="es-CO" sz="900" b="0" i="0">
                  <a:latin typeface="Cambria Math" panose="02040503050406030204" pitchFamily="18" charset="0"/>
                </a:rPr>
                <a:t>𝑝𝑎𝑟𝑎 𝑏</a:t>
              </a:r>
              <a:r>
                <a:rPr lang="es-MX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&lt;</a:t>
              </a:r>
              <a:r>
                <a:rPr lang="es-CO" sz="9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𝑥≤</a:t>
              </a:r>
              <a:r>
                <a:rPr lang="es-CO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𝑐)┤</a:t>
              </a:r>
              <a:endParaRPr lang="es-CO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>
    <xdr:from>
      <xdr:col>4</xdr:col>
      <xdr:colOff>762000</xdr:colOff>
      <xdr:row>20</xdr:row>
      <xdr:rowOff>0</xdr:rowOff>
    </xdr:from>
    <xdr:to>
      <xdr:col>9</xdr:col>
      <xdr:colOff>500743</xdr:colOff>
      <xdr:row>34</xdr:row>
      <xdr:rowOff>27216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6CC424-FE2C-4365-BEE1-6861532E4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15</xdr:col>
      <xdr:colOff>511968</xdr:colOff>
      <xdr:row>19</xdr:row>
      <xdr:rowOff>27216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B9A8656-8762-4839-A1B2-4416F468D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745672</xdr:colOff>
      <xdr:row>0</xdr:row>
      <xdr:rowOff>114300</xdr:rowOff>
    </xdr:from>
    <xdr:to>
      <xdr:col>6</xdr:col>
      <xdr:colOff>321716</xdr:colOff>
      <xdr:row>2</xdr:row>
      <xdr:rowOff>51336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3">
              <a:extLst>
                <a:ext uri="{FF2B5EF4-FFF2-40B4-BE49-F238E27FC236}">
                  <a16:creationId xmlns:a16="http://schemas.microsoft.com/office/drawing/2014/main" id="{86D8D517-2A14-4E31-86CC-22AF35A49F34}"/>
                </a:ext>
              </a:extLst>
            </xdr:cNvPr>
            <xdr:cNvSpPr txBox="1"/>
          </xdr:nvSpPr>
          <xdr:spPr>
            <a:xfrm>
              <a:off x="3167743" y="114300"/>
              <a:ext cx="1862044" cy="31803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í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𝑛𝑖𝑚𝑜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3">
              <a:extLst>
                <a:ext uri="{FF2B5EF4-FFF2-40B4-BE49-F238E27FC236}">
                  <a16:creationId xmlns:a16="http://schemas.microsoft.com/office/drawing/2014/main" id="{86D8D517-2A14-4E31-86CC-22AF35A49F34}"/>
                </a:ext>
              </a:extLst>
            </xdr:cNvPr>
            <xdr:cNvSpPr txBox="1"/>
          </xdr:nvSpPr>
          <xdr:spPr>
            <a:xfrm>
              <a:off x="3167743" y="114300"/>
              <a:ext cx="1862044" cy="31803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𝑓(𝑥)=1/(𝑚á𝑥𝑖𝑚𝑜−𝑚í𝑛𝑖𝑚𝑜)</a:t>
              </a:r>
              <a:endParaRPr lang="es-CO" sz="1100"/>
            </a:p>
          </xdr:txBody>
        </xdr:sp>
      </mc:Fallback>
    </mc:AlternateContent>
    <xdr:clientData/>
  </xdr:twoCellAnchor>
  <xdr:twoCellAnchor>
    <xdr:from>
      <xdr:col>6</xdr:col>
      <xdr:colOff>544285</xdr:colOff>
      <xdr:row>0</xdr:row>
      <xdr:rowOff>119743</xdr:rowOff>
    </xdr:from>
    <xdr:to>
      <xdr:col>9</xdr:col>
      <xdr:colOff>245978</xdr:colOff>
      <xdr:row>2</xdr:row>
      <xdr:rowOff>61011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11">
              <a:extLst>
                <a:ext uri="{FF2B5EF4-FFF2-40B4-BE49-F238E27FC236}">
                  <a16:creationId xmlns:a16="http://schemas.microsoft.com/office/drawing/2014/main" id="{299E14C5-06E7-4A57-91A0-57A5E712BDA9}"/>
                </a:ext>
              </a:extLst>
            </xdr:cNvPr>
            <xdr:cNvSpPr txBox="1"/>
          </xdr:nvSpPr>
          <xdr:spPr>
            <a:xfrm>
              <a:off x="5252356" y="119743"/>
              <a:ext cx="1987693" cy="32226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𝐹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í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𝑛𝑖𝑚𝑜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í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𝑛𝑖𝑚𝑜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11">
              <a:extLst>
                <a:ext uri="{FF2B5EF4-FFF2-40B4-BE49-F238E27FC236}">
                  <a16:creationId xmlns:a16="http://schemas.microsoft.com/office/drawing/2014/main" id="{299E14C5-06E7-4A57-91A0-57A5E712BDA9}"/>
                </a:ext>
              </a:extLst>
            </xdr:cNvPr>
            <xdr:cNvSpPr txBox="1"/>
          </xdr:nvSpPr>
          <xdr:spPr>
            <a:xfrm>
              <a:off x="5252356" y="119743"/>
              <a:ext cx="1987693" cy="32226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𝐹(𝑥)=(𝑥−𝑚í𝑛𝑖𝑚𝑜)/(𝑚á𝑥𝑖𝑚𝑜−𝑚í𝑛𝑖𝑚𝑜)</a:t>
              </a:r>
              <a:endParaRPr lang="es-CO" sz="1100"/>
            </a:p>
          </xdr:txBody>
        </xdr:sp>
      </mc:Fallback>
    </mc:AlternateContent>
    <xdr:clientData/>
  </xdr:twoCellAnchor>
  <xdr:twoCellAnchor>
    <xdr:from>
      <xdr:col>4</xdr:col>
      <xdr:colOff>5443</xdr:colOff>
      <xdr:row>3</xdr:row>
      <xdr:rowOff>111579</xdr:rowOff>
    </xdr:from>
    <xdr:to>
      <xdr:col>10</xdr:col>
      <xdr:colOff>5443</xdr:colOff>
      <xdr:row>17</xdr:row>
      <xdr:rowOff>187779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429B17-FCB8-4891-BF70-F561B972E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762000</xdr:colOff>
      <xdr:row>18</xdr:row>
      <xdr:rowOff>0</xdr:rowOff>
    </xdr:from>
    <xdr:to>
      <xdr:col>9</xdr:col>
      <xdr:colOff>762000</xdr:colOff>
      <xdr:row>32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AFFAA1-555C-4ADD-935A-AE6062D00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590549</xdr:colOff>
      <xdr:row>4</xdr:row>
      <xdr:rowOff>142875</xdr:rowOff>
    </xdr:from>
    <xdr:to>
      <xdr:col>13</xdr:col>
      <xdr:colOff>85724</xdr:colOff>
      <xdr:row>27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41B762-C7EE-40F0-A289-7CAD97C18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638175</xdr:colOff>
      <xdr:row>27</xdr:row>
      <xdr:rowOff>142875</xdr:rowOff>
    </xdr:from>
    <xdr:to>
      <xdr:col>13</xdr:col>
      <xdr:colOff>133350</xdr:colOff>
      <xdr:row>50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8C4BAE-A697-42F0-B045-8B28F6A48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27216</xdr:colOff>
      <xdr:row>0</xdr:row>
      <xdr:rowOff>141513</xdr:rowOff>
    </xdr:from>
    <xdr:to>
      <xdr:col>8</xdr:col>
      <xdr:colOff>114302</xdr:colOff>
      <xdr:row>3</xdr:row>
      <xdr:rowOff>149615</xdr:rowOff>
    </xdr:to>
    <xdr:sp macro="" textlink="">
      <xdr:nvSpPr>
        <xdr:cNvPr id="2" name="Marcador de contenido 2">
          <a:extLst>
            <a:ext uri="{FF2B5EF4-FFF2-40B4-BE49-F238E27FC236}">
              <a16:creationId xmlns:a16="http://schemas.microsoft.com/office/drawing/2014/main" id="{86BFB7E5-FACC-407B-9518-9AAA54BAC0CF}"/>
            </a:ext>
          </a:extLst>
        </xdr:cNvPr>
        <xdr:cNvSpPr txBox="1">
          <a:spLocks/>
        </xdr:cNvSpPr>
      </xdr:nvSpPr>
      <xdr:spPr>
        <a:xfrm>
          <a:off x="3075216" y="141513"/>
          <a:ext cx="3135086" cy="546945"/>
        </a:xfrm>
        <a:prstGeom prst="rect">
          <a:avLst/>
        </a:prstGeom>
      </xdr:spPr>
      <xdr:txBody>
        <a:bodyPr vert="horz" wrap="square" lIns="91440" tIns="45720" rIns="91440" bIns="45720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just">
            <a:lnSpc>
              <a:spcPct val="150000"/>
            </a:lnSpc>
            <a:buFont typeface="Arial" panose="020B0604020202020204" pitchFamily="34" charset="0"/>
            <a:buNone/>
          </a:pPr>
          <a:r>
            <a:rPr lang="es-CO" sz="1050">
              <a:solidFill>
                <a:srgbClr val="14085C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Uniforme continua:</a:t>
          </a:r>
        </a:p>
        <a:p>
          <a:pPr marL="0" indent="0" algn="just">
            <a:lnSpc>
              <a:spcPct val="150000"/>
            </a:lnSpc>
            <a:buNone/>
          </a:pPr>
          <a:r>
            <a:rPr lang="es-CO" sz="105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x = mínimo + </a:t>
          </a:r>
          <a:r>
            <a:rPr lang="es-CO" sz="1050">
              <a:solidFill>
                <a:srgbClr val="14085C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ALEATORIO()</a:t>
          </a:r>
          <a:r>
            <a:rPr lang="es-CO" sz="105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*(máximo – mínimo)</a:t>
          </a:r>
        </a:p>
      </xdr:txBody>
    </xdr:sp>
    <xdr:clientData/>
  </xdr:twoCellAnchor>
  <xdr:twoCellAnchor>
    <xdr:from>
      <xdr:col>4</xdr:col>
      <xdr:colOff>21771</xdr:colOff>
      <xdr:row>8</xdr:row>
      <xdr:rowOff>87087</xdr:rowOff>
    </xdr:from>
    <xdr:to>
      <xdr:col>11</xdr:col>
      <xdr:colOff>71105</xdr:colOff>
      <xdr:row>13</xdr:row>
      <xdr:rowOff>155113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Marcador de contenido 2">
              <a:extLst>
                <a:ext uri="{FF2B5EF4-FFF2-40B4-BE49-F238E27FC236}">
                  <a16:creationId xmlns:a16="http://schemas.microsoft.com/office/drawing/2014/main" id="{0A52C124-EE4B-4091-B124-FACC20E7CC93}"/>
                </a:ext>
              </a:extLst>
            </xdr:cNvPr>
            <xdr:cNvSpPr txBox="1">
              <a:spLocks/>
            </xdr:cNvSpPr>
          </xdr:nvSpPr>
          <xdr:spPr>
            <a:xfrm>
              <a:off x="3249385" y="1524001"/>
              <a:ext cx="5383334" cy="966098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just">
                <a:lnSpc>
                  <a:spcPct val="150000"/>
                </a:lnSpc>
                <a:buFont typeface="Arial" panose="020B0604020202020204" pitchFamily="34" charset="0"/>
                <a:buNone/>
              </a:pPr>
              <a:r>
                <a:rPr lang="es-CO" sz="105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Triangular:</a:t>
              </a:r>
            </a:p>
            <a:p>
              <a:pPr marL="0" indent="0">
                <a:buNone/>
              </a:pPr>
              <a:r>
                <a:rPr lang="es-MX" sz="1050"/>
                <a:t>x = a +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s-MX" sz="105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m:rPr>
                          <m:nor/>
                        </m:rPr>
                        <a:rPr lang="es-CO" sz="1050">
                          <a:solidFill>
                            <a:srgbClr val="14085C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ALEATORIO</m:t>
                      </m:r>
                      <m:r>
                        <m:rPr>
                          <m:nor/>
                        </m:rPr>
                        <a:rPr lang="es-CO" sz="1050">
                          <a:solidFill>
                            <a:srgbClr val="14085C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()</m:t>
                      </m:r>
                      <m:r>
                        <a:rPr lang="es-MX" sz="1050" b="0" i="1">
                          <a:solidFill>
                            <a:srgbClr val="14085C"/>
                          </a:solidFill>
                          <a:latin typeface="Cambria Math" panose="02040503050406030204" pitchFamily="18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∗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</m:rad>
                </m:oMath>
              </a14:m>
              <a:r>
                <a:rPr lang="es-CO" sz="1050"/>
                <a:t>, 		si </a:t>
              </a:r>
              <a14:m>
                <m:oMath xmlns:m="http://schemas.openxmlformats.org/officeDocument/2006/math">
                  <m:r>
                    <a:rPr lang="es-MX" sz="1050" b="0" i="1">
                      <a:latin typeface="Cambria Math" panose="02040503050406030204" pitchFamily="18" charset="0"/>
                    </a:rPr>
                    <m:t>𝑃</m:t>
                  </m:r>
                  <m:d>
                    <m:dPr>
                      <m:ctrlPr>
                        <a:rPr lang="es-MX" sz="105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1050" b="0" i="1">
                          <a:latin typeface="Cambria Math" panose="02040503050406030204" pitchFamily="18" charset="0"/>
                        </a:rPr>
                        <m:t>&lt;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MX" sz="1050" b="0" i="1">
                      <a:latin typeface="Cambria Math" panose="02040503050406030204" pitchFamily="18" charset="0"/>
                    </a:rPr>
                    <m:t>≤</m:t>
                  </m:r>
                  <m:f>
                    <m:fPr>
                      <m:ctrlP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𝑏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num>
                    <m:den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𝑐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den>
                  </m:f>
                </m:oMath>
              </a14:m>
              <a:endParaRPr lang="es-MX" sz="1050" b="0">
                <a:ea typeface="Cambria Math" panose="02040503050406030204" pitchFamily="18" charset="0"/>
              </a:endParaRPr>
            </a:p>
            <a:p>
              <a:pPr marL="0" indent="0">
                <a:buNone/>
              </a:pPr>
              <a:endParaRPr lang="es-CO" sz="1050"/>
            </a:p>
            <a:p>
              <a:pPr marL="0" indent="0">
                <a:buNone/>
              </a:pPr>
              <a:r>
                <a:rPr lang="es-MX" sz="1050"/>
                <a:t>x = c +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s-MX" sz="105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s-MX" sz="1050" b="0" i="1">
                          <a:latin typeface="Cambria Math" panose="02040503050406030204" pitchFamily="18" charset="0"/>
                        </a:rPr>
                        <m:t>[1−</m:t>
                      </m:r>
                      <m:r>
                        <m:rPr>
                          <m:nor/>
                        </m:rPr>
                        <a:rPr lang="es-CO" sz="1050">
                          <a:solidFill>
                            <a:srgbClr val="14085C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ALEATORIO</m:t>
                      </m:r>
                      <m:r>
                        <m:rPr>
                          <m:nor/>
                        </m:rPr>
                        <a:rPr lang="es-CO" sz="1050">
                          <a:solidFill>
                            <a:srgbClr val="14085C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()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](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)(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</m:rad>
                </m:oMath>
              </a14:m>
              <a:r>
                <a:rPr lang="es-CO" sz="1050"/>
                <a:t>, 		si </a:t>
              </a:r>
              <a14:m>
                <m:oMath xmlns:m="http://schemas.openxmlformats.org/officeDocument/2006/math">
                  <m:r>
                    <a:rPr lang="es-MX" sz="1050" b="0" i="1">
                      <a:latin typeface="Cambria Math" panose="02040503050406030204" pitchFamily="18" charset="0"/>
                    </a:rPr>
                    <m:t>𝑃</m:t>
                  </m:r>
                  <m:r>
                    <a:rPr lang="es-MX" sz="1050" b="0" i="1">
                      <a:latin typeface="Cambria Math" panose="02040503050406030204" pitchFamily="18" charset="0"/>
                    </a:rPr>
                    <m:t>(&lt;</m:t>
                  </m:r>
                  <m:r>
                    <a:rPr lang="es-MX" sz="105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s-MX" sz="1050" b="0" i="1">
                      <a:latin typeface="Cambria Math" panose="02040503050406030204" pitchFamily="18" charset="0"/>
                    </a:rPr>
                    <m:t>)&gt;</m:t>
                  </m:r>
                  <m:f>
                    <m:fPr>
                      <m:ctrlP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𝑏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num>
                    <m:den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𝑐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den>
                  </m:f>
                </m:oMath>
              </a14:m>
              <a:endParaRPr lang="es-CO" sz="1050"/>
            </a:p>
          </xdr:txBody>
        </xdr:sp>
      </mc:Choice>
      <mc:Fallback xmlns="">
        <xdr:sp macro="" textlink="">
          <xdr:nvSpPr>
            <xdr:cNvPr id="3" name="Marcador de contenido 2">
              <a:extLst>
                <a:ext uri="{FF2B5EF4-FFF2-40B4-BE49-F238E27FC236}">
                  <a16:creationId xmlns:a16="http://schemas.microsoft.com/office/drawing/2014/main" id="{0A52C124-EE4B-4091-B124-FACC20E7CC93}"/>
                </a:ext>
              </a:extLst>
            </xdr:cNvPr>
            <xdr:cNvSpPr txBox="1">
              <a:spLocks/>
            </xdr:cNvSpPr>
          </xdr:nvSpPr>
          <xdr:spPr>
            <a:xfrm>
              <a:off x="3249385" y="1524001"/>
              <a:ext cx="5383334" cy="966098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just">
                <a:lnSpc>
                  <a:spcPct val="150000"/>
                </a:lnSpc>
                <a:buFont typeface="Arial" panose="020B0604020202020204" pitchFamily="34" charset="0"/>
                <a:buNone/>
              </a:pPr>
              <a:r>
                <a:rPr lang="es-CO" sz="105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Triangular:</a:t>
              </a:r>
            </a:p>
            <a:p>
              <a:pPr marL="0" indent="0">
                <a:buNone/>
              </a:pPr>
              <a:r>
                <a:rPr lang="es-MX" sz="1050"/>
                <a:t>x = a + </a:t>
              </a:r>
              <a:r>
                <a:rPr lang="es-MX" sz="1050" i="0">
                  <a:latin typeface="Cambria Math" panose="02040503050406030204" pitchFamily="18" charset="0"/>
                </a:rPr>
                <a:t>√(</a:t>
              </a:r>
              <a:r>
                <a:rPr lang="es-CO" sz="1050" i="0">
                  <a:solidFill>
                    <a:srgbClr val="14085C"/>
                  </a:solidFill>
                  <a:latin typeface="Cambria Math" panose="02040503050406030204" pitchFamily="18" charset="0"/>
                </a:rPr>
                <a:t>"</a:t>
              </a:r>
              <a:r>
                <a:rPr lang="es-CO" sz="1050" i="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ALEATORIO()</a:t>
              </a:r>
              <a:r>
                <a:rPr lang="es-MX" sz="1050" b="0" i="0">
                  <a:solidFill>
                    <a:srgbClr val="14085C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∗</a:t>
              </a:r>
              <a:r>
                <a:rPr lang="es-MX" sz="1050" b="0" i="0">
                  <a:latin typeface="Cambria Math" panose="02040503050406030204" pitchFamily="18" charset="0"/>
                </a:rPr>
                <a:t>𝑏(𝑐−𝑎))</a:t>
              </a:r>
              <a:r>
                <a:rPr lang="es-CO" sz="1050"/>
                <a:t>, 		si </a:t>
              </a:r>
              <a:r>
                <a:rPr lang="es-MX" sz="1050" b="0" i="0">
                  <a:latin typeface="Cambria Math" panose="02040503050406030204" pitchFamily="18" charset="0"/>
                </a:rPr>
                <a:t>𝑃(&lt;𝑥)≤</a:t>
              </a:r>
              <a:r>
                <a:rPr lang="es-MX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(𝑏−𝑎)/(𝑐−𝑎)</a:t>
              </a:r>
              <a:endParaRPr lang="es-MX" sz="1050" b="0">
                <a:ea typeface="Cambria Math" panose="02040503050406030204" pitchFamily="18" charset="0"/>
              </a:endParaRPr>
            </a:p>
            <a:p>
              <a:pPr marL="0" indent="0">
                <a:buNone/>
              </a:pPr>
              <a:endParaRPr lang="es-CO" sz="1050"/>
            </a:p>
            <a:p>
              <a:pPr marL="0" indent="0">
                <a:buNone/>
              </a:pPr>
              <a:r>
                <a:rPr lang="es-MX" sz="1050"/>
                <a:t>x = c + </a:t>
              </a:r>
              <a:r>
                <a:rPr lang="es-MX" sz="1050" i="0">
                  <a:latin typeface="Cambria Math" panose="02040503050406030204" pitchFamily="18" charset="0"/>
                </a:rPr>
                <a:t>√(</a:t>
              </a:r>
              <a:r>
                <a:rPr lang="es-MX" sz="1050" b="0" i="0">
                  <a:latin typeface="Cambria Math" panose="02040503050406030204" pitchFamily="18" charset="0"/>
                </a:rPr>
                <a:t>[1−</a:t>
              </a:r>
              <a:r>
                <a:rPr lang="es-CO" sz="1050" b="0" i="0">
                  <a:solidFill>
                    <a:srgbClr val="14085C"/>
                  </a:solidFill>
                  <a:latin typeface="Cambria Math" panose="02040503050406030204" pitchFamily="18" charset="0"/>
                </a:rPr>
                <a:t>"</a:t>
              </a:r>
              <a:r>
                <a:rPr lang="es-CO" sz="1050" i="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ALEATORIO()</a:t>
              </a:r>
              <a:r>
                <a:rPr lang="es-MX" sz="1050" b="0" i="0">
                  <a:solidFill>
                    <a:srgbClr val="14085C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050" b="0" i="0">
                  <a:latin typeface="Cambria Math" panose="02040503050406030204" pitchFamily="18" charset="0"/>
                </a:rPr>
                <a:t>](𝑏−𝑎)(𝑐−𝑎))</a:t>
              </a:r>
              <a:r>
                <a:rPr lang="es-CO" sz="1050"/>
                <a:t>, 		si </a:t>
              </a:r>
              <a:r>
                <a:rPr lang="es-MX" sz="1050" b="0" i="0">
                  <a:latin typeface="Cambria Math" panose="02040503050406030204" pitchFamily="18" charset="0"/>
                </a:rPr>
                <a:t>𝑃(&lt;𝑥)&gt;</a:t>
              </a:r>
              <a:r>
                <a:rPr lang="es-MX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(𝑏−𝑎)/(𝑐−𝑎)</a:t>
              </a:r>
              <a:endParaRPr lang="es-CO" sz="1050"/>
            </a:p>
          </xdr:txBody>
        </xdr:sp>
      </mc:Fallback>
    </mc:AlternateContent>
    <xdr:clientData/>
  </xdr:twoCellAnchor>
  <xdr:twoCellAnchor>
    <xdr:from>
      <xdr:col>4</xdr:col>
      <xdr:colOff>32658</xdr:colOff>
      <xdr:row>17</xdr:row>
      <xdr:rowOff>81643</xdr:rowOff>
    </xdr:from>
    <xdr:to>
      <xdr:col>8</xdr:col>
      <xdr:colOff>38102</xdr:colOff>
      <xdr:row>20</xdr:row>
      <xdr:rowOff>24086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Marcador de contenido 2">
              <a:extLst>
                <a:ext uri="{FF2B5EF4-FFF2-40B4-BE49-F238E27FC236}">
                  <a16:creationId xmlns:a16="http://schemas.microsoft.com/office/drawing/2014/main" id="{210FF2C7-3090-4365-AB82-DC2174857750}"/>
                </a:ext>
              </a:extLst>
            </xdr:cNvPr>
            <xdr:cNvSpPr txBox="1">
              <a:spLocks/>
            </xdr:cNvSpPr>
          </xdr:nvSpPr>
          <xdr:spPr>
            <a:xfrm>
              <a:off x="3663044" y="3135086"/>
              <a:ext cx="3053444" cy="481286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just">
                <a:lnSpc>
                  <a:spcPct val="150000"/>
                </a:lnSpc>
                <a:buFont typeface="Arial" panose="020B0604020202020204" pitchFamily="34" charset="0"/>
                <a:buNone/>
              </a:pPr>
              <a:r>
                <a:rPr lang="es-CO" sz="100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Normal:</a:t>
              </a:r>
            </a:p>
            <a:p>
              <a:pPr marL="0" indent="0">
                <a:buNone/>
              </a:pPr>
              <a:r>
                <a:rPr lang="es-CO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x = </a:t>
              </a:r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DISTR.NORM.INV(</a:t>
              </a:r>
              <a14:m>
                <m:oMath xmlns:m="http://schemas.openxmlformats.org/officeDocument/2006/math">
                  <m:r>
                    <m:rPr>
                      <m:nor/>
                    </m:rPr>
                    <a:rPr lang="es-CO" sz="1000">
                      <a:solidFill>
                        <a:srgbClr val="14085C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m:t>ALEATORIO</m:t>
                  </m:r>
                  <m:r>
                    <m:rPr>
                      <m:nor/>
                    </m:rPr>
                    <a:rPr lang="es-CO" sz="1000">
                      <a:solidFill>
                        <a:srgbClr val="14085C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m:t>()</m:t>
                  </m:r>
                </m:oMath>
              </a14:m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; µ; </a:t>
              </a:r>
              <a:r>
                <a:rPr lang="el-G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σ</a:t>
              </a:r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)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4" name="Marcador de contenido 2">
              <a:extLst>
                <a:ext uri="{FF2B5EF4-FFF2-40B4-BE49-F238E27FC236}">
                  <a16:creationId xmlns:a16="http://schemas.microsoft.com/office/drawing/2014/main" id="{210FF2C7-3090-4365-AB82-DC2174857750}"/>
                </a:ext>
              </a:extLst>
            </xdr:cNvPr>
            <xdr:cNvSpPr txBox="1">
              <a:spLocks/>
            </xdr:cNvSpPr>
          </xdr:nvSpPr>
          <xdr:spPr>
            <a:xfrm>
              <a:off x="3663044" y="3135086"/>
              <a:ext cx="3053444" cy="481286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just">
                <a:lnSpc>
                  <a:spcPct val="150000"/>
                </a:lnSpc>
                <a:buFont typeface="Arial" panose="020B0604020202020204" pitchFamily="34" charset="0"/>
                <a:buNone/>
              </a:pPr>
              <a:r>
                <a:rPr lang="es-CO" sz="100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Normal:</a:t>
              </a:r>
            </a:p>
            <a:p>
              <a:pPr marL="0" indent="0">
                <a:buNone/>
              </a:pPr>
              <a:r>
                <a:rPr lang="es-CO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x = </a:t>
              </a:r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DISTR.NORM.INV(</a:t>
              </a:r>
              <a:r>
                <a:rPr lang="es-CO" sz="1000" i="0">
                  <a:solidFill>
                    <a:srgbClr val="14085C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"ALEATORIO()</a:t>
              </a:r>
              <a:r>
                <a:rPr lang="es-CO" sz="1000" i="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; µ; </a:t>
              </a:r>
              <a:r>
                <a:rPr lang="el-G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σ</a:t>
              </a:r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)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4</xdr:col>
      <xdr:colOff>81643</xdr:colOff>
      <xdr:row>22</xdr:row>
      <xdr:rowOff>97972</xdr:rowOff>
    </xdr:from>
    <xdr:to>
      <xdr:col>8</xdr:col>
      <xdr:colOff>152400</xdr:colOff>
      <xdr:row>25</xdr:row>
      <xdr:rowOff>40415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Marcador de contenido 2">
              <a:extLst>
                <a:ext uri="{FF2B5EF4-FFF2-40B4-BE49-F238E27FC236}">
                  <a16:creationId xmlns:a16="http://schemas.microsoft.com/office/drawing/2014/main" id="{7BD1DBC3-A625-4CEA-AA9E-5D95811214BE}"/>
                </a:ext>
              </a:extLst>
            </xdr:cNvPr>
            <xdr:cNvSpPr txBox="1">
              <a:spLocks/>
            </xdr:cNvSpPr>
          </xdr:nvSpPr>
          <xdr:spPr>
            <a:xfrm>
              <a:off x="3712029" y="4049486"/>
              <a:ext cx="3118757" cy="481286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just">
                <a:lnSpc>
                  <a:spcPct val="150000"/>
                </a:lnSpc>
                <a:buFont typeface="Arial" panose="020B0604020202020204" pitchFamily="34" charset="0"/>
                <a:buNone/>
              </a:pPr>
              <a:r>
                <a:rPr lang="es-CO" sz="100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Normal Estándar:</a:t>
              </a:r>
            </a:p>
            <a:p>
              <a:pPr marL="0" indent="0">
                <a:buNone/>
              </a:pPr>
              <a:r>
                <a:rPr lang="es-CO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z = INV.NORM.ESTAND(</a:t>
              </a:r>
              <a14:m>
                <m:oMath xmlns:m="http://schemas.openxmlformats.org/officeDocument/2006/math">
                  <m:r>
                    <m:rPr>
                      <m:nor/>
                    </m:rPr>
                    <a:rPr lang="es-CO" sz="1000">
                      <a:solidFill>
                        <a:srgbClr val="14085C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m:t>ALEATORIO</m:t>
                  </m:r>
                  <m:r>
                    <m:rPr>
                      <m:nor/>
                    </m:rPr>
                    <a:rPr lang="es-CO" sz="1000">
                      <a:solidFill>
                        <a:srgbClr val="14085C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m:t>()</m:t>
                  </m:r>
                </m:oMath>
              </a14:m>
              <a:r>
                <a:rPr lang="es-CO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)</a:t>
              </a:r>
            </a:p>
          </xdr:txBody>
        </xdr:sp>
      </mc:Choice>
      <mc:Fallback xmlns="">
        <xdr:sp macro="" textlink="">
          <xdr:nvSpPr>
            <xdr:cNvPr id="5" name="Marcador de contenido 2">
              <a:extLst>
                <a:ext uri="{FF2B5EF4-FFF2-40B4-BE49-F238E27FC236}">
                  <a16:creationId xmlns:a16="http://schemas.microsoft.com/office/drawing/2014/main" id="{7BD1DBC3-A625-4CEA-AA9E-5D95811214BE}"/>
                </a:ext>
              </a:extLst>
            </xdr:cNvPr>
            <xdr:cNvSpPr txBox="1">
              <a:spLocks/>
            </xdr:cNvSpPr>
          </xdr:nvSpPr>
          <xdr:spPr>
            <a:xfrm>
              <a:off x="3712029" y="4049486"/>
              <a:ext cx="3118757" cy="481286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just">
                <a:lnSpc>
                  <a:spcPct val="150000"/>
                </a:lnSpc>
                <a:buFont typeface="Arial" panose="020B0604020202020204" pitchFamily="34" charset="0"/>
                <a:buNone/>
              </a:pPr>
              <a:r>
                <a:rPr lang="es-CO" sz="100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Normal Estándar:</a:t>
              </a:r>
            </a:p>
            <a:p>
              <a:pPr marL="0" indent="0">
                <a:buNone/>
              </a:pPr>
              <a:r>
                <a:rPr lang="es-CO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z = INV.NORM.ESTAND(</a:t>
              </a:r>
              <a:r>
                <a:rPr lang="es-CO" sz="1000" i="0">
                  <a:solidFill>
                    <a:srgbClr val="14085C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"ALEATORIO()</a:t>
              </a:r>
              <a:r>
                <a:rPr lang="es-CO" sz="1000" i="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CO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)</a:t>
              </a:r>
            </a:p>
          </xdr:txBody>
        </xdr:sp>
      </mc:Fallback>
    </mc:AlternateContent>
    <xdr:clientData/>
  </xdr:twoCellAnchor>
  <xdr:twoCellAnchor>
    <xdr:from>
      <xdr:col>4</xdr:col>
      <xdr:colOff>48986</xdr:colOff>
      <xdr:row>29</xdr:row>
      <xdr:rowOff>81643</xdr:rowOff>
    </xdr:from>
    <xdr:to>
      <xdr:col>10</xdr:col>
      <xdr:colOff>365371</xdr:colOff>
      <xdr:row>32</xdr:row>
      <xdr:rowOff>24086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Marcador de contenido 2">
              <a:extLst>
                <a:ext uri="{FF2B5EF4-FFF2-40B4-BE49-F238E27FC236}">
                  <a16:creationId xmlns:a16="http://schemas.microsoft.com/office/drawing/2014/main" id="{2E6C03D4-059D-4EDC-9BAE-5683FBD2E311}"/>
                </a:ext>
              </a:extLst>
            </xdr:cNvPr>
            <xdr:cNvSpPr txBox="1">
              <a:spLocks/>
            </xdr:cNvSpPr>
          </xdr:nvSpPr>
          <xdr:spPr>
            <a:xfrm>
              <a:off x="3679372" y="5290457"/>
              <a:ext cx="4888385" cy="481286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just">
                <a:lnSpc>
                  <a:spcPct val="150000"/>
                </a:lnSpc>
                <a:buFont typeface="Arial" panose="020B0604020202020204" pitchFamily="34" charset="0"/>
                <a:buNone/>
              </a:pPr>
              <a:r>
                <a:rPr lang="es-CO" sz="100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Lognormal:</a:t>
              </a:r>
            </a:p>
            <a:p>
              <a:pPr marL="0" indent="0">
                <a:buNone/>
              </a:pPr>
              <a:r>
                <a:rPr lang="es-CO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x = DISTR.LOG.INV</a:t>
              </a:r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(</a:t>
              </a:r>
              <a14:m>
                <m:oMath xmlns:m="http://schemas.openxmlformats.org/officeDocument/2006/math">
                  <m:r>
                    <m:rPr>
                      <m:nor/>
                    </m:rPr>
                    <a:rPr lang="es-CO" sz="1000">
                      <a:solidFill>
                        <a:srgbClr val="14085C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m:t>ALEATORIO</m:t>
                  </m:r>
                  <m:r>
                    <m:rPr>
                      <m:nor/>
                    </m:rPr>
                    <a:rPr lang="es-CO" sz="1000">
                      <a:solidFill>
                        <a:srgbClr val="14085C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m:t>()</m:t>
                  </m:r>
                </m:oMath>
              </a14:m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; µ; </a:t>
              </a:r>
              <a:r>
                <a:rPr lang="el-G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σ</a:t>
              </a:r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) </a:t>
              </a:r>
            </a:p>
          </xdr:txBody>
        </xdr:sp>
      </mc:Choice>
      <mc:Fallback xmlns="">
        <xdr:sp macro="" textlink="">
          <xdr:nvSpPr>
            <xdr:cNvPr id="6" name="Marcador de contenido 2">
              <a:extLst>
                <a:ext uri="{FF2B5EF4-FFF2-40B4-BE49-F238E27FC236}">
                  <a16:creationId xmlns:a16="http://schemas.microsoft.com/office/drawing/2014/main" id="{2E6C03D4-059D-4EDC-9BAE-5683FBD2E311}"/>
                </a:ext>
              </a:extLst>
            </xdr:cNvPr>
            <xdr:cNvSpPr txBox="1">
              <a:spLocks/>
            </xdr:cNvSpPr>
          </xdr:nvSpPr>
          <xdr:spPr>
            <a:xfrm>
              <a:off x="3679372" y="5290457"/>
              <a:ext cx="4888385" cy="481286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just">
                <a:lnSpc>
                  <a:spcPct val="150000"/>
                </a:lnSpc>
                <a:buFont typeface="Arial" panose="020B0604020202020204" pitchFamily="34" charset="0"/>
                <a:buNone/>
              </a:pPr>
              <a:r>
                <a:rPr lang="es-CO" sz="100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Lognormal:</a:t>
              </a:r>
            </a:p>
            <a:p>
              <a:pPr marL="0" indent="0">
                <a:buNone/>
              </a:pPr>
              <a:r>
                <a:rPr lang="es-CO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x = DISTR.LOG.INV</a:t>
              </a:r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(</a:t>
              </a:r>
              <a:r>
                <a:rPr lang="es-CO" sz="1000" i="0">
                  <a:solidFill>
                    <a:srgbClr val="14085C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"ALEATORIO()</a:t>
              </a:r>
              <a:r>
                <a:rPr lang="es-CO" sz="1000" i="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; µ; </a:t>
              </a:r>
              <a:r>
                <a:rPr lang="el-G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σ</a:t>
              </a:r>
              <a:r>
                <a:rPr lang="en-US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) 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478972</xdr:colOff>
      <xdr:row>2</xdr:row>
      <xdr:rowOff>185057</xdr:rowOff>
    </xdr:from>
    <xdr:to>
      <xdr:col>9</xdr:col>
      <xdr:colOff>359229</xdr:colOff>
      <xdr:row>18</xdr:row>
      <xdr:rowOff>71922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5B3DDC-23FC-44F6-BB63-FBE39258D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8</xdr:col>
      <xdr:colOff>642257</xdr:colOff>
      <xdr:row>36</xdr:row>
      <xdr:rowOff>50151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03608AB-5549-4D8F-8A09-8AC85D1EC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669471</xdr:colOff>
      <xdr:row>37</xdr:row>
      <xdr:rowOff>122463</xdr:rowOff>
    </xdr:from>
    <xdr:to>
      <xdr:col>11</xdr:col>
      <xdr:colOff>364671</xdr:colOff>
      <xdr:row>51</xdr:row>
      <xdr:rowOff>24492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D045AD4-303F-4093-8BF4-4009E3B13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1012371</xdr:colOff>
      <xdr:row>7</xdr:row>
      <xdr:rowOff>0</xdr:rowOff>
    </xdr:from>
    <xdr:to>
      <xdr:col>7</xdr:col>
      <xdr:colOff>696685</xdr:colOff>
      <xdr:row>25</xdr:row>
      <xdr:rowOff>55594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FE661A-C178-4AC3-B1F8-D4C772525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14</xdr:col>
      <xdr:colOff>642257</xdr:colOff>
      <xdr:row>21</xdr:row>
      <xdr:rowOff>55594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6E6367-41D2-4898-AA09-6F004494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190500</xdr:rowOff>
    </xdr:from>
    <xdr:to>
      <xdr:col>8</xdr:col>
      <xdr:colOff>642257</xdr:colOff>
      <xdr:row>23</xdr:row>
      <xdr:rowOff>50151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BECB67-BD1A-418F-BB5B-B6E4492AA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14</xdr:col>
      <xdr:colOff>642257</xdr:colOff>
      <xdr:row>23</xdr:row>
      <xdr:rowOff>50151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F86802-6846-4496-BDEE-9E7828BFE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F729-B571-40D7-97CA-C8E9CAF3FE54}">
  <dimension ref="A1:I2053"/>
  <sheetViews>
    <sheetView tabSelected="1" zoomScale="130" zoomScaleNormal="130" workbookViewId="0"/>
  </sheetViews>
  <sheetFormatPr baseColWidth="10" defaultRowHeight="14.25" x14ac:dyDescent="0.2"/>
  <cols>
    <col min="1" max="1" width="24.85546875" style="1" customWidth="1"/>
    <col min="2" max="2" width="7.140625" style="1" customWidth="1"/>
    <col min="3" max="3" width="8.28515625" style="1" customWidth="1"/>
    <col min="4" max="4" width="14" style="1" bestFit="1" customWidth="1"/>
    <col min="5" max="6" width="19.85546875" style="1" customWidth="1"/>
    <col min="7" max="8" width="11.42578125" style="1"/>
    <col min="9" max="9" width="13.42578125" style="1" bestFit="1" customWidth="1"/>
    <col min="10" max="16384" width="11.42578125" style="1"/>
  </cols>
  <sheetData>
    <row r="1" spans="1:9" ht="15" x14ac:dyDescent="0.2">
      <c r="A1" s="1" t="s">
        <v>0</v>
      </c>
      <c r="B1" s="3" t="s">
        <v>2</v>
      </c>
      <c r="C1" s="2">
        <v>100</v>
      </c>
    </row>
    <row r="2" spans="1:9" x14ac:dyDescent="0.2">
      <c r="A2" s="1" t="s">
        <v>1</v>
      </c>
      <c r="B2" s="2" t="s">
        <v>3</v>
      </c>
      <c r="C2" s="2">
        <v>20</v>
      </c>
    </row>
    <row r="3" spans="1:9" x14ac:dyDescent="0.2">
      <c r="B3" s="2" t="s">
        <v>4</v>
      </c>
      <c r="C3" s="2">
        <v>75</v>
      </c>
    </row>
    <row r="4" spans="1:9" ht="28.5" x14ac:dyDescent="0.2">
      <c r="A4" s="10" t="s">
        <v>5</v>
      </c>
      <c r="B4" s="2" t="s">
        <v>6</v>
      </c>
      <c r="C4" s="6">
        <f>1/(C2*SQRT(2*PI()))*EXP(-0.5*((C3-C1)/C2)^2)</f>
        <v>9.1324542694510968E-3</v>
      </c>
      <c r="D4" s="6">
        <f>+NORMDIST(C3,C1,C2,0)</f>
        <v>9.132454269451095E-3</v>
      </c>
      <c r="E4" s="4" t="s">
        <v>8</v>
      </c>
      <c r="F4" s="4"/>
    </row>
    <row r="5" spans="1:9" ht="28.5" x14ac:dyDescent="0.2">
      <c r="A5" s="10" t="s">
        <v>7</v>
      </c>
      <c r="B5" s="2" t="s">
        <v>9</v>
      </c>
      <c r="C5" s="6">
        <f>+NORMDIST(C3,C1,C2,1)</f>
        <v>0.10564977366685525</v>
      </c>
      <c r="E5" s="4" t="s">
        <v>10</v>
      </c>
      <c r="F5" s="4"/>
    </row>
    <row r="6" spans="1:9" x14ac:dyDescent="0.2">
      <c r="A6" s="10"/>
      <c r="B6" s="2" t="s">
        <v>9</v>
      </c>
      <c r="C6" s="9">
        <v>0.7</v>
      </c>
      <c r="E6" s="4"/>
      <c r="F6" s="4"/>
      <c r="I6" s="6"/>
    </row>
    <row r="7" spans="1:9" x14ac:dyDescent="0.2">
      <c r="A7" s="10"/>
      <c r="B7" s="2" t="s">
        <v>4</v>
      </c>
      <c r="C7" s="13">
        <f>+NORMINV(C6,C1,C2)</f>
        <v>110.48801025416081</v>
      </c>
      <c r="E7" s="4"/>
      <c r="F7" s="4"/>
      <c r="G7" s="2" t="s">
        <v>4</v>
      </c>
      <c r="H7" s="2">
        <v>75</v>
      </c>
    </row>
    <row r="8" spans="1:9" x14ac:dyDescent="0.2">
      <c r="G8" s="2" t="s">
        <v>12</v>
      </c>
      <c r="H8" s="14">
        <f>+(H7-C1)/C2</f>
        <v>-1.25</v>
      </c>
    </row>
    <row r="9" spans="1:9" ht="15" x14ac:dyDescent="0.2">
      <c r="A9" s="1" t="s">
        <v>0</v>
      </c>
      <c r="B9" s="3" t="s">
        <v>2</v>
      </c>
      <c r="C9" s="2">
        <v>100</v>
      </c>
      <c r="G9" s="2" t="s">
        <v>9</v>
      </c>
      <c r="H9" s="6">
        <f>+_xlfn.NORM.S.DIST(H8,TRUE)</f>
        <v>0.10564977366685525</v>
      </c>
      <c r="I9" s="1" t="b">
        <f>+H9=C5</f>
        <v>1</v>
      </c>
    </row>
    <row r="10" spans="1:9" x14ac:dyDescent="0.2">
      <c r="A10" s="1" t="s">
        <v>1</v>
      </c>
      <c r="B10" s="2" t="s">
        <v>3</v>
      </c>
      <c r="C10" s="2">
        <v>20</v>
      </c>
      <c r="G10" s="2" t="s">
        <v>12</v>
      </c>
      <c r="H10" s="2">
        <f>+_xlfn.NORM.S.INV(H9)</f>
        <v>-1.2499999999999998</v>
      </c>
    </row>
    <row r="12" spans="1:9" ht="45.75" customHeight="1" x14ac:dyDescent="0.2">
      <c r="B12" s="7"/>
      <c r="C12" s="34" t="s">
        <v>5</v>
      </c>
      <c r="D12" s="34"/>
      <c r="E12" s="12" t="s">
        <v>7</v>
      </c>
      <c r="F12" s="35" t="s">
        <v>11</v>
      </c>
      <c r="G12" s="35"/>
      <c r="H12" s="15"/>
    </row>
    <row r="13" spans="1:9" x14ac:dyDescent="0.2">
      <c r="B13" s="8" t="s">
        <v>4</v>
      </c>
      <c r="C13" s="8" t="s">
        <v>6</v>
      </c>
      <c r="D13" s="8" t="s">
        <v>6</v>
      </c>
      <c r="E13" s="8" t="s">
        <v>9</v>
      </c>
      <c r="F13" s="8" t="s">
        <v>12</v>
      </c>
      <c r="G13" s="8" t="s">
        <v>6</v>
      </c>
      <c r="H13" s="8" t="s">
        <v>9</v>
      </c>
    </row>
    <row r="14" spans="1:9" x14ac:dyDescent="0.2">
      <c r="B14" s="2">
        <v>35</v>
      </c>
      <c r="C14" s="5">
        <f>1/($C$10*SQRT(2*PI()))*EXP(-0.5*((B14-$C$9)/$C$10)^2)</f>
        <v>1.0145240286498842E-4</v>
      </c>
      <c r="D14" s="5">
        <f>+NORMDIST(B14,$C$9,$C$10,)</f>
        <v>1.0145240286498842E-4</v>
      </c>
      <c r="E14" s="5">
        <f>+NORMDIST(B14,$C$9,$C$10,TRUE)</f>
        <v>5.7702504239076603E-4</v>
      </c>
      <c r="F14" s="14">
        <f>+(B14-$C$9)/$C$10</f>
        <v>-3.25</v>
      </c>
      <c r="G14" s="6">
        <f>+_xlfn.NORM.S.DIST(F14,FALSE)</f>
        <v>2.0290480572997681E-3</v>
      </c>
      <c r="H14" s="6">
        <f t="shared" ref="H14:H45" si="0">+_xlfn.NORM.S.DIST(F14,TRUE)</f>
        <v>5.7702504239076603E-4</v>
      </c>
    </row>
    <row r="15" spans="1:9" x14ac:dyDescent="0.2">
      <c r="B15" s="2">
        <f>+B14+1</f>
        <v>36</v>
      </c>
      <c r="C15" s="5">
        <f t="shared" ref="C15:C78" si="1">1/($C$10*SQRT(2*PI()))*EXP(-0.5*((B15-$C$9)/$C$10)^2)</f>
        <v>1.1920441007324202E-4</v>
      </c>
      <c r="D15" s="5">
        <f t="shared" ref="D15:D78" si="2">+NORMDIST(B15,$C$9,$C$10,)</f>
        <v>1.1920441007324202E-4</v>
      </c>
      <c r="E15" s="5">
        <f t="shared" ref="E15:E78" si="3">+NORMDIST(B15,$C$9,$C$10,TRUE)</f>
        <v>6.8713793791584719E-4</v>
      </c>
      <c r="F15" s="14">
        <f t="shared" ref="F15:F78" si="4">+(B15-$C$9)/$C$10</f>
        <v>-3.2</v>
      </c>
      <c r="G15" s="6">
        <f t="shared" ref="G15:G78" si="5">+_xlfn.NORM.S.DIST(F15,FALSE)</f>
        <v>2.3840882014648404E-3</v>
      </c>
      <c r="H15" s="6">
        <f t="shared" si="0"/>
        <v>6.8713793791584719E-4</v>
      </c>
    </row>
    <row r="16" spans="1:9" x14ac:dyDescent="0.2">
      <c r="B16" s="2">
        <f t="shared" ref="B16:B79" si="6">+B15+1</f>
        <v>37</v>
      </c>
      <c r="C16" s="5">
        <f t="shared" si="1"/>
        <v>1.3971292074397236E-4</v>
      </c>
      <c r="D16" s="5">
        <f t="shared" si="2"/>
        <v>1.3971292074397234E-4</v>
      </c>
      <c r="E16" s="5">
        <f t="shared" si="3"/>
        <v>8.1635231282856167E-4</v>
      </c>
      <c r="F16" s="14">
        <f t="shared" si="4"/>
        <v>-3.15</v>
      </c>
      <c r="G16" s="6">
        <f t="shared" si="5"/>
        <v>2.7942584148794472E-3</v>
      </c>
      <c r="H16" s="6">
        <f t="shared" si="0"/>
        <v>8.1635231282856167E-4</v>
      </c>
    </row>
    <row r="17" spans="2:8" x14ac:dyDescent="0.2">
      <c r="B17" s="2">
        <f t="shared" si="6"/>
        <v>38</v>
      </c>
      <c r="C17" s="5">
        <f t="shared" si="1"/>
        <v>1.6334095280999593E-4</v>
      </c>
      <c r="D17" s="5">
        <f t="shared" si="2"/>
        <v>1.6334095280999593E-4</v>
      </c>
      <c r="E17" s="5">
        <f t="shared" si="3"/>
        <v>9.676032132183561E-4</v>
      </c>
      <c r="F17" s="14">
        <f t="shared" si="4"/>
        <v>-3.1</v>
      </c>
      <c r="G17" s="6">
        <f t="shared" si="5"/>
        <v>3.2668190561999182E-3</v>
      </c>
      <c r="H17" s="6">
        <f t="shared" si="0"/>
        <v>9.676032132183561E-4</v>
      </c>
    </row>
    <row r="18" spans="2:8" x14ac:dyDescent="0.2">
      <c r="B18" s="2">
        <f t="shared" si="6"/>
        <v>39</v>
      </c>
      <c r="C18" s="5">
        <f t="shared" si="1"/>
        <v>1.9048810491109055E-4</v>
      </c>
      <c r="D18" s="5">
        <f t="shared" si="2"/>
        <v>1.9048810491109053E-4</v>
      </c>
      <c r="E18" s="5">
        <f t="shared" si="3"/>
        <v>1.1442068310226975E-3</v>
      </c>
      <c r="F18" s="14">
        <f t="shared" si="4"/>
        <v>-3.05</v>
      </c>
      <c r="G18" s="6">
        <f t="shared" si="5"/>
        <v>3.8097620982218104E-3</v>
      </c>
      <c r="H18" s="6">
        <f t="shared" si="0"/>
        <v>1.1442068310226975E-3</v>
      </c>
    </row>
    <row r="19" spans="2:8" x14ac:dyDescent="0.2">
      <c r="B19" s="2">
        <f t="shared" si="6"/>
        <v>40</v>
      </c>
      <c r="C19" s="5">
        <f t="shared" si="1"/>
        <v>2.2159242059690038E-4</v>
      </c>
      <c r="D19" s="5">
        <f t="shared" si="2"/>
        <v>2.2159242059690038E-4</v>
      </c>
      <c r="E19" s="5">
        <f t="shared" si="3"/>
        <v>1.3498980316300933E-3</v>
      </c>
      <c r="F19" s="14">
        <f t="shared" si="4"/>
        <v>-3</v>
      </c>
      <c r="G19" s="6">
        <f t="shared" si="5"/>
        <v>4.4318484119380075E-3</v>
      </c>
      <c r="H19" s="6">
        <f t="shared" si="0"/>
        <v>1.3498980316300933E-3</v>
      </c>
    </row>
    <row r="20" spans="2:8" x14ac:dyDescent="0.2">
      <c r="B20" s="2">
        <f t="shared" si="6"/>
        <v>41</v>
      </c>
      <c r="C20" s="5">
        <f t="shared" si="1"/>
        <v>2.5713204615269698E-4</v>
      </c>
      <c r="D20" s="5">
        <f t="shared" si="2"/>
        <v>2.5713204615269698E-4</v>
      </c>
      <c r="E20" s="5">
        <f t="shared" si="3"/>
        <v>1.5888696473648663E-3</v>
      </c>
      <c r="F20" s="14">
        <f t="shared" si="4"/>
        <v>-2.95</v>
      </c>
      <c r="G20" s="6">
        <f t="shared" si="5"/>
        <v>5.1426409230539392E-3</v>
      </c>
      <c r="H20" s="6">
        <f t="shared" si="0"/>
        <v>1.5888696473648663E-3</v>
      </c>
    </row>
    <row r="21" spans="2:8" x14ac:dyDescent="0.2">
      <c r="B21" s="2">
        <f t="shared" si="6"/>
        <v>42</v>
      </c>
      <c r="C21" s="5">
        <f t="shared" si="1"/>
        <v>2.9762662098879272E-4</v>
      </c>
      <c r="D21" s="5">
        <f t="shared" si="2"/>
        <v>2.9762662098879267E-4</v>
      </c>
      <c r="E21" s="5">
        <f t="shared" si="3"/>
        <v>1.8658133003840378E-3</v>
      </c>
      <c r="F21" s="14">
        <f t="shared" si="4"/>
        <v>-2.9</v>
      </c>
      <c r="G21" s="6">
        <f t="shared" si="5"/>
        <v>5.9525324197758538E-3</v>
      </c>
      <c r="H21" s="6">
        <f t="shared" si="0"/>
        <v>1.8658133003840378E-3</v>
      </c>
    </row>
    <row r="22" spans="2:8" x14ac:dyDescent="0.2">
      <c r="B22" s="2">
        <f t="shared" si="6"/>
        <v>43</v>
      </c>
      <c r="C22" s="5">
        <f t="shared" si="1"/>
        <v>3.4363833453069856E-4</v>
      </c>
      <c r="D22" s="5">
        <f t="shared" si="2"/>
        <v>3.4363833453069856E-4</v>
      </c>
      <c r="E22" s="5">
        <f t="shared" si="3"/>
        <v>2.1859614549132396E-3</v>
      </c>
      <c r="F22" s="14">
        <f t="shared" si="4"/>
        <v>-2.85</v>
      </c>
      <c r="G22" s="6">
        <f t="shared" si="5"/>
        <v>6.8727666906139712E-3</v>
      </c>
      <c r="H22" s="6">
        <f t="shared" si="0"/>
        <v>2.1859614549132396E-3</v>
      </c>
    </row>
    <row r="23" spans="2:8" x14ac:dyDescent="0.2">
      <c r="B23" s="2">
        <f t="shared" si="6"/>
        <v>44</v>
      </c>
      <c r="C23" s="5">
        <f t="shared" si="1"/>
        <v>3.9577257914899847E-4</v>
      </c>
      <c r="D23" s="5">
        <f t="shared" si="2"/>
        <v>3.9577257914899847E-4</v>
      </c>
      <c r="E23" s="5">
        <f t="shared" si="3"/>
        <v>2.5551303304279312E-3</v>
      </c>
      <c r="F23" s="14">
        <f t="shared" si="4"/>
        <v>-2.8</v>
      </c>
      <c r="G23" s="6">
        <f t="shared" si="5"/>
        <v>7.9154515829799686E-3</v>
      </c>
      <c r="H23" s="6">
        <f t="shared" si="0"/>
        <v>2.5551303304279312E-3</v>
      </c>
    </row>
    <row r="24" spans="2:8" x14ac:dyDescent="0.2">
      <c r="B24" s="2">
        <f t="shared" si="6"/>
        <v>45</v>
      </c>
      <c r="C24" s="5">
        <f t="shared" si="1"/>
        <v>4.546781250795527E-4</v>
      </c>
      <c r="D24" s="5">
        <f t="shared" si="2"/>
        <v>4.5467812507955259E-4</v>
      </c>
      <c r="E24" s="5">
        <f t="shared" si="3"/>
        <v>2.9797632350545551E-3</v>
      </c>
      <c r="F24" s="14">
        <f t="shared" si="4"/>
        <v>-2.75</v>
      </c>
      <c r="G24" s="6">
        <f t="shared" si="5"/>
        <v>9.0935625015910529E-3</v>
      </c>
      <c r="H24" s="6">
        <f t="shared" si="0"/>
        <v>2.9797632350545551E-3</v>
      </c>
    </row>
    <row r="25" spans="2:8" x14ac:dyDescent="0.2">
      <c r="B25" s="2">
        <f t="shared" si="6"/>
        <v>46</v>
      </c>
      <c r="C25" s="5">
        <f t="shared" si="1"/>
        <v>5.2104674072112956E-4</v>
      </c>
      <c r="D25" s="5">
        <f t="shared" si="2"/>
        <v>5.2104674072112956E-4</v>
      </c>
      <c r="E25" s="5">
        <f t="shared" si="3"/>
        <v>3.4669738030406643E-3</v>
      </c>
      <c r="F25" s="14">
        <f t="shared" si="4"/>
        <v>-2.7</v>
      </c>
      <c r="G25" s="6">
        <f t="shared" si="5"/>
        <v>1.0420934814422592E-2</v>
      </c>
      <c r="H25" s="6">
        <f t="shared" si="0"/>
        <v>3.4669738030406643E-3</v>
      </c>
    </row>
    <row r="26" spans="2:8" x14ac:dyDescent="0.2">
      <c r="B26" s="2">
        <f t="shared" si="6"/>
        <v>47</v>
      </c>
      <c r="C26" s="5">
        <f t="shared" si="1"/>
        <v>5.9561218038025904E-4</v>
      </c>
      <c r="D26" s="5">
        <f t="shared" si="2"/>
        <v>5.9561218038025894E-4</v>
      </c>
      <c r="E26" s="5">
        <f t="shared" si="3"/>
        <v>4.0245885427583044E-3</v>
      </c>
      <c r="F26" s="14">
        <f t="shared" si="4"/>
        <v>-2.65</v>
      </c>
      <c r="G26" s="6">
        <f t="shared" si="5"/>
        <v>1.1912243607605179E-2</v>
      </c>
      <c r="H26" s="6">
        <f t="shared" si="0"/>
        <v>4.0245885427583044E-3</v>
      </c>
    </row>
    <row r="27" spans="2:8" x14ac:dyDescent="0.2">
      <c r="B27" s="2">
        <f t="shared" si="6"/>
        <v>48</v>
      </c>
      <c r="C27" s="5">
        <f t="shared" si="1"/>
        <v>6.7914846168428073E-4</v>
      </c>
      <c r="D27" s="5">
        <f t="shared" si="2"/>
        <v>6.7914846168428062E-4</v>
      </c>
      <c r="E27" s="5">
        <f t="shared" si="3"/>
        <v>4.6611880237187476E-3</v>
      </c>
      <c r="F27" s="14">
        <f t="shared" si="4"/>
        <v>-2.6</v>
      </c>
      <c r="G27" s="6">
        <f t="shared" si="5"/>
        <v>1.3582969233685613E-2</v>
      </c>
      <c r="H27" s="6">
        <f t="shared" si="0"/>
        <v>4.6611880237187476E-3</v>
      </c>
    </row>
    <row r="28" spans="2:8" x14ac:dyDescent="0.2">
      <c r="B28" s="2">
        <f t="shared" si="6"/>
        <v>49</v>
      </c>
      <c r="C28" s="5">
        <f t="shared" si="1"/>
        <v>7.7246735671975876E-4</v>
      </c>
      <c r="D28" s="5">
        <f t="shared" si="2"/>
        <v>7.7246735671975876E-4</v>
      </c>
      <c r="E28" s="5">
        <f t="shared" si="3"/>
        <v>5.3861459540666869E-3</v>
      </c>
      <c r="F28" s="14">
        <f t="shared" si="4"/>
        <v>-2.5499999999999998</v>
      </c>
      <c r="G28" s="6">
        <f t="shared" si="5"/>
        <v>1.5449347134395174E-2</v>
      </c>
      <c r="H28" s="6">
        <f t="shared" si="0"/>
        <v>5.3861459540666869E-3</v>
      </c>
    </row>
    <row r="29" spans="2:8" x14ac:dyDescent="0.2">
      <c r="B29" s="2">
        <f t="shared" si="6"/>
        <v>50</v>
      </c>
      <c r="C29" s="5">
        <f t="shared" si="1"/>
        <v>8.7641502467842713E-4</v>
      </c>
      <c r="D29" s="5">
        <f t="shared" si="2"/>
        <v>8.7641502467842702E-4</v>
      </c>
      <c r="E29" s="5">
        <f t="shared" si="3"/>
        <v>6.2096653257761331E-3</v>
      </c>
      <c r="F29" s="14">
        <f t="shared" si="4"/>
        <v>-2.5</v>
      </c>
      <c r="G29" s="6">
        <f t="shared" si="5"/>
        <v>1.752830049356854E-2</v>
      </c>
      <c r="H29" s="6">
        <f t="shared" si="0"/>
        <v>6.2096653257761331E-3</v>
      </c>
    </row>
    <row r="30" spans="2:8" x14ac:dyDescent="0.2">
      <c r="B30" s="2">
        <f t="shared" si="6"/>
        <v>51</v>
      </c>
      <c r="C30" s="5">
        <f t="shared" si="1"/>
        <v>9.9186771958976582E-4</v>
      </c>
      <c r="D30" s="5">
        <f t="shared" si="2"/>
        <v>9.918677195897656E-4</v>
      </c>
      <c r="E30" s="5">
        <f t="shared" si="3"/>
        <v>7.1428107352714144E-3</v>
      </c>
      <c r="F30" s="14">
        <f t="shared" si="4"/>
        <v>-2.4500000000000002</v>
      </c>
      <c r="G30" s="6">
        <f t="shared" si="5"/>
        <v>1.9837354391795313E-2</v>
      </c>
      <c r="H30" s="6">
        <f t="shared" si="0"/>
        <v>7.1428107352714144E-3</v>
      </c>
    </row>
    <row r="31" spans="2:8" x14ac:dyDescent="0.2">
      <c r="B31" s="2">
        <f t="shared" si="6"/>
        <v>52</v>
      </c>
      <c r="C31" s="5">
        <f t="shared" si="1"/>
        <v>1.1197265147421451E-3</v>
      </c>
      <c r="D31" s="5">
        <f t="shared" si="2"/>
        <v>1.1197265147421451E-3</v>
      </c>
      <c r="E31" s="5">
        <f t="shared" si="3"/>
        <v>8.1975359245961311E-3</v>
      </c>
      <c r="F31" s="14">
        <f t="shared" si="4"/>
        <v>-2.4</v>
      </c>
      <c r="G31" s="6">
        <f t="shared" si="5"/>
        <v>2.2394530294842899E-2</v>
      </c>
      <c r="H31" s="6">
        <f t="shared" si="0"/>
        <v>8.1975359245961311E-3</v>
      </c>
    </row>
    <row r="32" spans="2:8" x14ac:dyDescent="0.2">
      <c r="B32" s="2">
        <f t="shared" si="6"/>
        <v>53</v>
      </c>
      <c r="C32" s="5">
        <f t="shared" si="1"/>
        <v>1.2609109957597193E-3</v>
      </c>
      <c r="D32" s="5">
        <f t="shared" si="2"/>
        <v>1.2609109957597191E-3</v>
      </c>
      <c r="E32" s="5">
        <f t="shared" si="3"/>
        <v>9.3867055348385697E-3</v>
      </c>
      <c r="F32" s="14">
        <f t="shared" si="4"/>
        <v>-2.35</v>
      </c>
      <c r="G32" s="6">
        <f t="shared" si="5"/>
        <v>2.5218219915194382E-2</v>
      </c>
      <c r="H32" s="6">
        <f t="shared" si="0"/>
        <v>9.3867055348385697E-3</v>
      </c>
    </row>
    <row r="33" spans="2:8" x14ac:dyDescent="0.2">
      <c r="B33" s="2">
        <f t="shared" si="6"/>
        <v>54</v>
      </c>
      <c r="C33" s="5">
        <f t="shared" si="1"/>
        <v>1.4163518870800595E-3</v>
      </c>
      <c r="D33" s="5">
        <f t="shared" si="2"/>
        <v>1.4163518870800593E-3</v>
      </c>
      <c r="E33" s="5">
        <f t="shared" si="3"/>
        <v>1.0724110021675811E-2</v>
      </c>
      <c r="F33" s="14">
        <f t="shared" si="4"/>
        <v>-2.2999999999999998</v>
      </c>
      <c r="G33" s="6">
        <f t="shared" si="5"/>
        <v>2.8327037741601186E-2</v>
      </c>
      <c r="H33" s="6">
        <f t="shared" si="0"/>
        <v>1.0724110021675811E-2</v>
      </c>
    </row>
    <row r="34" spans="2:8" x14ac:dyDescent="0.2">
      <c r="B34" s="2">
        <f t="shared" si="6"/>
        <v>55</v>
      </c>
      <c r="C34" s="5">
        <f t="shared" si="1"/>
        <v>1.5869825917833712E-3</v>
      </c>
      <c r="D34" s="5">
        <f t="shared" si="2"/>
        <v>1.5869825917833708E-3</v>
      </c>
      <c r="E34" s="5">
        <f t="shared" si="3"/>
        <v>1.2224472655044696E-2</v>
      </c>
      <c r="F34" s="14">
        <f t="shared" si="4"/>
        <v>-2.25</v>
      </c>
      <c r="G34" s="6">
        <f t="shared" si="5"/>
        <v>3.1739651835667418E-2</v>
      </c>
      <c r="H34" s="6">
        <f t="shared" si="0"/>
        <v>1.2224472655044696E-2</v>
      </c>
    </row>
    <row r="35" spans="2:8" x14ac:dyDescent="0.2">
      <c r="B35" s="2">
        <f t="shared" si="6"/>
        <v>56</v>
      </c>
      <c r="C35" s="5">
        <f t="shared" si="1"/>
        <v>1.7737296423115713E-3</v>
      </c>
      <c r="D35" s="5">
        <f t="shared" si="2"/>
        <v>1.773729642311571E-3</v>
      </c>
      <c r="E35" s="5">
        <f t="shared" si="3"/>
        <v>1.3903447513498597E-2</v>
      </c>
      <c r="F35" s="14">
        <f t="shared" si="4"/>
        <v>-2.2000000000000002</v>
      </c>
      <c r="G35" s="6">
        <f t="shared" si="5"/>
        <v>3.5474592846231424E-2</v>
      </c>
      <c r="H35" s="6">
        <f t="shared" si="0"/>
        <v>1.3903447513498597E-2</v>
      </c>
    </row>
    <row r="36" spans="2:8" x14ac:dyDescent="0.2">
      <c r="B36" s="2">
        <f t="shared" si="6"/>
        <v>57</v>
      </c>
      <c r="C36" s="5">
        <f t="shared" si="1"/>
        <v>1.9775020794685111E-3</v>
      </c>
      <c r="D36" s="5">
        <f t="shared" si="2"/>
        <v>1.9775020794685111E-3</v>
      </c>
      <c r="E36" s="5">
        <f t="shared" si="3"/>
        <v>1.5777607391090503E-2</v>
      </c>
      <c r="F36" s="14">
        <f t="shared" si="4"/>
        <v>-2.15</v>
      </c>
      <c r="G36" s="6">
        <f t="shared" si="5"/>
        <v>3.955004158937022E-2</v>
      </c>
      <c r="H36" s="6">
        <f t="shared" si="0"/>
        <v>1.5777607391090503E-2</v>
      </c>
    </row>
    <row r="37" spans="2:8" x14ac:dyDescent="0.2">
      <c r="B37" s="2">
        <f t="shared" si="6"/>
        <v>58</v>
      </c>
      <c r="C37" s="5">
        <f t="shared" si="1"/>
        <v>2.1991797990213598E-3</v>
      </c>
      <c r="D37" s="5">
        <f t="shared" si="2"/>
        <v>2.1991797990213598E-3</v>
      </c>
      <c r="E37" s="5">
        <f t="shared" si="3"/>
        <v>1.7864420562816546E-2</v>
      </c>
      <c r="F37" s="14">
        <f t="shared" si="4"/>
        <v>-2.1</v>
      </c>
      <c r="G37" s="6">
        <f t="shared" si="5"/>
        <v>4.3983595980427191E-2</v>
      </c>
      <c r="H37" s="6">
        <f t="shared" si="0"/>
        <v>1.7864420562816546E-2</v>
      </c>
    </row>
    <row r="38" spans="2:8" x14ac:dyDescent="0.2">
      <c r="B38" s="2">
        <f t="shared" si="6"/>
        <v>59</v>
      </c>
      <c r="C38" s="5">
        <f t="shared" si="1"/>
        <v>2.4396009289591384E-3</v>
      </c>
      <c r="D38" s="5">
        <f t="shared" si="2"/>
        <v>2.439600928959138E-3</v>
      </c>
      <c r="E38" s="5">
        <f t="shared" si="3"/>
        <v>2.0182215405704397E-2</v>
      </c>
      <c r="F38" s="14">
        <f t="shared" si="4"/>
        <v>-2.0499999999999998</v>
      </c>
      <c r="G38" s="6">
        <f t="shared" si="5"/>
        <v>4.8792018579182764E-2</v>
      </c>
      <c r="H38" s="6">
        <f t="shared" si="0"/>
        <v>2.0182215405704397E-2</v>
      </c>
    </row>
    <row r="39" spans="2:8" x14ac:dyDescent="0.2">
      <c r="B39" s="2">
        <f t="shared" si="6"/>
        <v>60</v>
      </c>
      <c r="C39" s="5">
        <f t="shared" si="1"/>
        <v>2.6995483256594031E-3</v>
      </c>
      <c r="D39" s="5">
        <f t="shared" si="2"/>
        <v>2.6995483256594031E-3</v>
      </c>
      <c r="E39" s="5">
        <f t="shared" si="3"/>
        <v>2.2750131948179191E-2</v>
      </c>
      <c r="F39" s="14">
        <f t="shared" si="4"/>
        <v>-2</v>
      </c>
      <c r="G39" s="6">
        <f t="shared" si="5"/>
        <v>5.3990966513188063E-2</v>
      </c>
      <c r="H39" s="6">
        <f t="shared" si="0"/>
        <v>2.2750131948179191E-2</v>
      </c>
    </row>
    <row r="40" spans="2:8" x14ac:dyDescent="0.2">
      <c r="B40" s="2">
        <f t="shared" si="6"/>
        <v>61</v>
      </c>
      <c r="C40" s="5">
        <f t="shared" si="1"/>
        <v>2.979735303440804E-3</v>
      </c>
      <c r="D40" s="5">
        <f t="shared" si="2"/>
        <v>2.9797353034408036E-3</v>
      </c>
      <c r="E40" s="5">
        <f t="shared" si="3"/>
        <v>2.5588059521638607E-2</v>
      </c>
      <c r="F40" s="14">
        <f t="shared" si="4"/>
        <v>-1.95</v>
      </c>
      <c r="G40" s="6">
        <f t="shared" si="5"/>
        <v>5.9594706068816075E-2</v>
      </c>
      <c r="H40" s="6">
        <f t="shared" si="0"/>
        <v>2.5588059521638607E-2</v>
      </c>
    </row>
    <row r="41" spans="2:8" x14ac:dyDescent="0.2">
      <c r="B41" s="2">
        <f t="shared" si="6"/>
        <v>62</v>
      </c>
      <c r="C41" s="5">
        <f t="shared" si="1"/>
        <v>3.2807907387338302E-3</v>
      </c>
      <c r="D41" s="5">
        <f t="shared" si="2"/>
        <v>3.2807907387338302E-3</v>
      </c>
      <c r="E41" s="5">
        <f t="shared" si="3"/>
        <v>2.87165598160018E-2</v>
      </c>
      <c r="F41" s="14">
        <f t="shared" si="4"/>
        <v>-1.9</v>
      </c>
      <c r="G41" s="6">
        <f t="shared" si="5"/>
        <v>6.5615814774676595E-2</v>
      </c>
      <c r="H41" s="6">
        <f t="shared" si="0"/>
        <v>2.87165598160018E-2</v>
      </c>
    </row>
    <row r="42" spans="2:8" x14ac:dyDescent="0.2">
      <c r="B42" s="2">
        <f t="shared" si="6"/>
        <v>63</v>
      </c>
      <c r="C42" s="5">
        <f t="shared" si="1"/>
        <v>3.6032437168109E-3</v>
      </c>
      <c r="D42" s="5">
        <f t="shared" si="2"/>
        <v>3.6032437168108996E-3</v>
      </c>
      <c r="E42" s="5">
        <f t="shared" si="3"/>
        <v>3.2156774795613713E-2</v>
      </c>
      <c r="F42" s="14">
        <f t="shared" si="4"/>
        <v>-1.85</v>
      </c>
      <c r="G42" s="6">
        <f t="shared" si="5"/>
        <v>7.2064874336217985E-2</v>
      </c>
      <c r="H42" s="6">
        <f t="shared" si="0"/>
        <v>3.2156774795613713E-2</v>
      </c>
    </row>
    <row r="43" spans="2:8" x14ac:dyDescent="0.2">
      <c r="B43" s="2">
        <f t="shared" si="6"/>
        <v>64</v>
      </c>
      <c r="C43" s="5">
        <f t="shared" si="1"/>
        <v>3.9475079150447078E-3</v>
      </c>
      <c r="D43" s="5">
        <f t="shared" si="2"/>
        <v>3.9475079150447069E-3</v>
      </c>
      <c r="E43" s="5">
        <f t="shared" si="3"/>
        <v>3.5930319112925789E-2</v>
      </c>
      <c r="F43" s="14">
        <f t="shared" si="4"/>
        <v>-1.8</v>
      </c>
      <c r="G43" s="6">
        <f t="shared" si="5"/>
        <v>7.8950158300894149E-2</v>
      </c>
      <c r="H43" s="6">
        <f t="shared" si="0"/>
        <v>3.5930319112925789E-2</v>
      </c>
    </row>
    <row r="44" spans="2:8" x14ac:dyDescent="0.2">
      <c r="B44" s="2">
        <f t="shared" si="6"/>
        <v>65</v>
      </c>
      <c r="C44" s="5">
        <f t="shared" si="1"/>
        <v>4.3138659413255766E-3</v>
      </c>
      <c r="D44" s="5">
        <f t="shared" si="2"/>
        <v>4.3138659413255757E-3</v>
      </c>
      <c r="E44" s="5">
        <f t="shared" si="3"/>
        <v>4.00591568638171E-2</v>
      </c>
      <c r="F44" s="14">
        <f t="shared" si="4"/>
        <v>-1.75</v>
      </c>
      <c r="G44" s="6">
        <f t="shared" si="5"/>
        <v>8.6277318826511532E-2</v>
      </c>
      <c r="H44" s="6">
        <f t="shared" si="0"/>
        <v>4.00591568638171E-2</v>
      </c>
    </row>
    <row r="45" spans="2:8" x14ac:dyDescent="0.2">
      <c r="B45" s="2">
        <f t="shared" si="6"/>
        <v>66</v>
      </c>
      <c r="C45" s="5">
        <f t="shared" si="1"/>
        <v>4.7024538688443477E-3</v>
      </c>
      <c r="D45" s="5">
        <f t="shared" si="2"/>
        <v>4.7024538688443468E-3</v>
      </c>
      <c r="E45" s="5">
        <f t="shared" si="3"/>
        <v>4.4565462758543041E-2</v>
      </c>
      <c r="F45" s="14">
        <f t="shared" si="4"/>
        <v>-1.7</v>
      </c>
      <c r="G45" s="6">
        <f t="shared" si="5"/>
        <v>9.4049077376886947E-2</v>
      </c>
      <c r="H45" s="6">
        <f t="shared" si="0"/>
        <v>4.4565462758543041E-2</v>
      </c>
    </row>
    <row r="46" spans="2:8" x14ac:dyDescent="0.2">
      <c r="B46" s="2">
        <f t="shared" si="6"/>
        <v>67</v>
      </c>
      <c r="C46" s="5">
        <f t="shared" si="1"/>
        <v>5.1132462281989017E-3</v>
      </c>
      <c r="D46" s="5">
        <f t="shared" si="2"/>
        <v>5.1132462281989017E-3</v>
      </c>
      <c r="E46" s="5">
        <f t="shared" si="3"/>
        <v>4.9471468033648096E-2</v>
      </c>
      <c r="F46" s="14">
        <f t="shared" si="4"/>
        <v>-1.65</v>
      </c>
      <c r="G46" s="6">
        <f t="shared" si="5"/>
        <v>0.10226492456397804</v>
      </c>
      <c r="H46" s="6">
        <f t="shared" ref="H46:H77" si="7">+_xlfn.NORM.S.DIST(F46,TRUE)</f>
        <v>4.9471468033648096E-2</v>
      </c>
    </row>
    <row r="47" spans="2:8" x14ac:dyDescent="0.2">
      <c r="B47" s="2">
        <f t="shared" si="6"/>
        <v>68</v>
      </c>
      <c r="C47" s="5">
        <f t="shared" si="1"/>
        <v>5.5460417339727782E-3</v>
      </c>
      <c r="D47" s="5">
        <f t="shared" si="2"/>
        <v>5.5460417339727773E-3</v>
      </c>
      <c r="E47" s="5">
        <f t="shared" si="3"/>
        <v>5.4799291699557967E-2</v>
      </c>
      <c r="F47" s="14">
        <f t="shared" si="4"/>
        <v>-1.6</v>
      </c>
      <c r="G47" s="6">
        <f t="shared" si="5"/>
        <v>0.11092083467945554</v>
      </c>
      <c r="H47" s="6">
        <f t="shared" si="7"/>
        <v>5.4799291699557967E-2</v>
      </c>
    </row>
    <row r="48" spans="2:8" x14ac:dyDescent="0.2">
      <c r="B48" s="2">
        <f t="shared" si="6"/>
        <v>69</v>
      </c>
      <c r="C48" s="5">
        <f t="shared" si="1"/>
        <v>6.0004500348492798E-3</v>
      </c>
      <c r="D48" s="5">
        <f t="shared" si="2"/>
        <v>6.0004500348492789E-3</v>
      </c>
      <c r="E48" s="5">
        <f t="shared" si="3"/>
        <v>6.057075800205898E-2</v>
      </c>
      <c r="F48" s="14">
        <f t="shared" si="4"/>
        <v>-1.55</v>
      </c>
      <c r="G48" s="6">
        <f t="shared" si="5"/>
        <v>0.12000900069698558</v>
      </c>
      <c r="H48" s="6">
        <f t="shared" si="7"/>
        <v>6.057075800205898E-2</v>
      </c>
    </row>
    <row r="49" spans="2:8" x14ac:dyDescent="0.2">
      <c r="B49" s="2">
        <f t="shared" si="6"/>
        <v>70</v>
      </c>
      <c r="C49" s="5">
        <f t="shared" si="1"/>
        <v>6.4758797832945875E-3</v>
      </c>
      <c r="D49" s="5">
        <f t="shared" si="2"/>
        <v>6.4758797832945867E-3</v>
      </c>
      <c r="E49" s="5">
        <f t="shared" si="3"/>
        <v>6.6807201268858057E-2</v>
      </c>
      <c r="F49" s="14">
        <f t="shared" si="4"/>
        <v>-1.5</v>
      </c>
      <c r="G49" s="6">
        <f t="shared" si="5"/>
        <v>0.12951759566589174</v>
      </c>
      <c r="H49" s="6">
        <f t="shared" si="7"/>
        <v>6.6807201268858057E-2</v>
      </c>
    </row>
    <row r="50" spans="2:8" x14ac:dyDescent="0.2">
      <c r="B50" s="2">
        <f t="shared" si="6"/>
        <v>71</v>
      </c>
      <c r="C50" s="5">
        <f t="shared" si="1"/>
        <v>6.9715283222680146E-3</v>
      </c>
      <c r="D50" s="5">
        <f t="shared" si="2"/>
        <v>6.9715283222680146E-3</v>
      </c>
      <c r="E50" s="5">
        <f t="shared" si="3"/>
        <v>7.3529259609648373E-2</v>
      </c>
      <c r="F50" s="14">
        <f t="shared" si="4"/>
        <v>-1.45</v>
      </c>
      <c r="G50" s="6">
        <f t="shared" si="5"/>
        <v>0.13943056644536028</v>
      </c>
      <c r="H50" s="6">
        <f t="shared" si="7"/>
        <v>7.3529259609648373E-2</v>
      </c>
    </row>
    <row r="51" spans="2:8" x14ac:dyDescent="0.2">
      <c r="B51" s="2">
        <f t="shared" si="6"/>
        <v>72</v>
      </c>
      <c r="C51" s="5">
        <f t="shared" si="1"/>
        <v>7.4863732817872447E-3</v>
      </c>
      <c r="D51" s="5">
        <f t="shared" si="2"/>
        <v>7.486373281787243E-3</v>
      </c>
      <c r="E51" s="5">
        <f t="shared" si="3"/>
        <v>8.0756659233771053E-2</v>
      </c>
      <c r="F51" s="14">
        <f t="shared" si="4"/>
        <v>-1.4</v>
      </c>
      <c r="G51" s="6">
        <f t="shared" si="5"/>
        <v>0.14972746563574488</v>
      </c>
      <c r="H51" s="6">
        <f t="shared" si="7"/>
        <v>8.0756659233771053E-2</v>
      </c>
    </row>
    <row r="52" spans="2:8" x14ac:dyDescent="0.2">
      <c r="B52" s="2">
        <f t="shared" si="6"/>
        <v>73</v>
      </c>
      <c r="C52" s="5">
        <f t="shared" si="1"/>
        <v>8.0191663670959798E-3</v>
      </c>
      <c r="D52" s="5">
        <f t="shared" si="2"/>
        <v>8.0191663670959798E-3</v>
      </c>
      <c r="E52" s="5">
        <f t="shared" si="3"/>
        <v>8.8507991437401998E-2</v>
      </c>
      <c r="F52" s="14">
        <f t="shared" si="4"/>
        <v>-1.35</v>
      </c>
      <c r="G52" s="6">
        <f t="shared" si="5"/>
        <v>0.1603833273419196</v>
      </c>
      <c r="H52" s="6">
        <f t="shared" si="7"/>
        <v>8.8507991437401998E-2</v>
      </c>
    </row>
    <row r="53" spans="2:8" x14ac:dyDescent="0.2">
      <c r="B53" s="2">
        <f t="shared" si="6"/>
        <v>74</v>
      </c>
      <c r="C53" s="5">
        <f t="shared" si="1"/>
        <v>8.5684296023903674E-3</v>
      </c>
      <c r="D53" s="5">
        <f t="shared" si="2"/>
        <v>8.5684296023903674E-3</v>
      </c>
      <c r="E53" s="5">
        <f t="shared" si="3"/>
        <v>9.6800484585610316E-2</v>
      </c>
      <c r="F53" s="14">
        <f t="shared" si="4"/>
        <v>-1.3</v>
      </c>
      <c r="G53" s="6">
        <f t="shared" si="5"/>
        <v>0.17136859204780736</v>
      </c>
      <c r="H53" s="6">
        <f t="shared" si="7"/>
        <v>9.6800484585610316E-2</v>
      </c>
    </row>
    <row r="54" spans="2:8" x14ac:dyDescent="0.2">
      <c r="B54" s="2">
        <f t="shared" si="6"/>
        <v>75</v>
      </c>
      <c r="C54" s="5">
        <f t="shared" si="1"/>
        <v>9.1324542694510968E-3</v>
      </c>
      <c r="D54" s="5">
        <f t="shared" si="2"/>
        <v>9.132454269451095E-3</v>
      </c>
      <c r="E54" s="5">
        <f t="shared" si="3"/>
        <v>0.10564977366685525</v>
      </c>
      <c r="F54" s="14">
        <f t="shared" si="4"/>
        <v>-1.25</v>
      </c>
      <c r="G54" s="6">
        <f t="shared" si="5"/>
        <v>0.18264908538902191</v>
      </c>
      <c r="H54" s="6">
        <f t="shared" si="7"/>
        <v>0.10564977366685525</v>
      </c>
    </row>
    <row r="55" spans="2:8" x14ac:dyDescent="0.2">
      <c r="B55" s="2">
        <f t="shared" si="6"/>
        <v>76</v>
      </c>
      <c r="C55" s="5">
        <f t="shared" si="1"/>
        <v>9.7093027491606497E-3</v>
      </c>
      <c r="D55" s="5">
        <f t="shared" si="2"/>
        <v>9.709302749160648E-3</v>
      </c>
      <c r="E55" s="5">
        <f t="shared" si="3"/>
        <v>0.11506967022170828</v>
      </c>
      <c r="F55" s="14">
        <f t="shared" si="4"/>
        <v>-1.2</v>
      </c>
      <c r="G55" s="6">
        <f t="shared" si="5"/>
        <v>0.19418605498321295</v>
      </c>
      <c r="H55" s="6">
        <f t="shared" si="7"/>
        <v>0.11506967022170828</v>
      </c>
    </row>
    <row r="56" spans="2:8" x14ac:dyDescent="0.2">
      <c r="B56" s="2">
        <f t="shared" si="6"/>
        <v>77</v>
      </c>
      <c r="C56" s="5">
        <f t="shared" si="1"/>
        <v>1.0296813435998741E-2</v>
      </c>
      <c r="D56" s="5">
        <f t="shared" si="2"/>
        <v>1.0296813435998739E-2</v>
      </c>
      <c r="E56" s="5">
        <f t="shared" si="3"/>
        <v>0.12507193563715024</v>
      </c>
      <c r="F56" s="14">
        <f t="shared" si="4"/>
        <v>-1.1499999999999999</v>
      </c>
      <c r="G56" s="6">
        <f t="shared" si="5"/>
        <v>0.20593626871997478</v>
      </c>
      <c r="H56" s="6">
        <f t="shared" si="7"/>
        <v>0.12507193563715024</v>
      </c>
    </row>
    <row r="57" spans="2:8" x14ac:dyDescent="0.2">
      <c r="B57" s="2">
        <f t="shared" si="6"/>
        <v>78</v>
      </c>
      <c r="C57" s="5">
        <f t="shared" si="1"/>
        <v>1.0892608851627529E-2</v>
      </c>
      <c r="D57" s="5">
        <f t="shared" si="2"/>
        <v>1.0892608851627527E-2</v>
      </c>
      <c r="E57" s="5">
        <f t="shared" si="3"/>
        <v>0.13566606094638264</v>
      </c>
      <c r="F57" s="14">
        <f t="shared" si="4"/>
        <v>-1.1000000000000001</v>
      </c>
      <c r="G57" s="6">
        <f t="shared" si="5"/>
        <v>0.21785217703255053</v>
      </c>
      <c r="H57" s="6">
        <f t="shared" si="7"/>
        <v>0.13566606094638264</v>
      </c>
    </row>
    <row r="58" spans="2:8" x14ac:dyDescent="0.2">
      <c r="B58" s="2">
        <f t="shared" si="6"/>
        <v>79</v>
      </c>
      <c r="C58" s="5">
        <f t="shared" si="1"/>
        <v>1.1494107034211651E-2</v>
      </c>
      <c r="D58" s="5">
        <f t="shared" si="2"/>
        <v>1.1494107034211651E-2</v>
      </c>
      <c r="E58" s="5">
        <f t="shared" si="3"/>
        <v>0.14685905637589594</v>
      </c>
      <c r="F58" s="14">
        <f t="shared" si="4"/>
        <v>-1.05</v>
      </c>
      <c r="G58" s="6">
        <f t="shared" si="5"/>
        <v>0.22988214068423302</v>
      </c>
      <c r="H58" s="6">
        <f t="shared" si="7"/>
        <v>0.14685905637589594</v>
      </c>
    </row>
    <row r="59" spans="2:8" x14ac:dyDescent="0.2">
      <c r="B59" s="2">
        <f t="shared" si="6"/>
        <v>80</v>
      </c>
      <c r="C59" s="5">
        <f t="shared" si="1"/>
        <v>1.209853622595717E-2</v>
      </c>
      <c r="D59" s="5">
        <f t="shared" si="2"/>
        <v>1.2098536225957168E-2</v>
      </c>
      <c r="E59" s="5">
        <f t="shared" si="3"/>
        <v>0.15865525393145699</v>
      </c>
      <c r="F59" s="14">
        <f t="shared" si="4"/>
        <v>-1</v>
      </c>
      <c r="G59" s="6">
        <f t="shared" si="5"/>
        <v>0.24197072451914337</v>
      </c>
      <c r="H59" s="6">
        <f t="shared" si="7"/>
        <v>0.15865525393145699</v>
      </c>
    </row>
    <row r="60" spans="2:8" x14ac:dyDescent="0.2">
      <c r="B60" s="2">
        <f t="shared" si="6"/>
        <v>81</v>
      </c>
      <c r="C60" s="5">
        <f t="shared" si="1"/>
        <v>1.2702952823459453E-2</v>
      </c>
      <c r="D60" s="5">
        <f t="shared" si="2"/>
        <v>1.270295282345945E-2</v>
      </c>
      <c r="E60" s="5">
        <f t="shared" si="3"/>
        <v>0.17105612630848185</v>
      </c>
      <c r="F60" s="14">
        <f t="shared" si="4"/>
        <v>-0.95</v>
      </c>
      <c r="G60" s="6">
        <f t="shared" si="5"/>
        <v>0.25405905646918903</v>
      </c>
      <c r="H60" s="6">
        <f t="shared" si="7"/>
        <v>0.17105612630848185</v>
      </c>
    </row>
    <row r="61" spans="2:8" x14ac:dyDescent="0.2">
      <c r="B61" s="2">
        <f t="shared" si="6"/>
        <v>82</v>
      </c>
      <c r="C61" s="5">
        <f t="shared" si="1"/>
        <v>1.3304262494937743E-2</v>
      </c>
      <c r="D61" s="5">
        <f t="shared" si="2"/>
        <v>1.3304262494937741E-2</v>
      </c>
      <c r="E61" s="5">
        <f t="shared" si="3"/>
        <v>0.1840601253467595</v>
      </c>
      <c r="F61" s="14">
        <f t="shared" si="4"/>
        <v>-0.9</v>
      </c>
      <c r="G61" s="6">
        <f t="shared" si="5"/>
        <v>0.26608524989875482</v>
      </c>
      <c r="H61" s="6">
        <f t="shared" si="7"/>
        <v>0.1840601253467595</v>
      </c>
    </row>
    <row r="62" spans="2:8" x14ac:dyDescent="0.2">
      <c r="B62" s="2">
        <f t="shared" si="6"/>
        <v>83</v>
      </c>
      <c r="C62" s="5">
        <f t="shared" si="1"/>
        <v>1.3899244306549825E-2</v>
      </c>
      <c r="D62" s="5">
        <f t="shared" si="2"/>
        <v>1.3899244306549824E-2</v>
      </c>
      <c r="E62" s="5">
        <f t="shared" si="3"/>
        <v>0.19766254312269238</v>
      </c>
      <c r="F62" s="14">
        <f t="shared" si="4"/>
        <v>-0.85</v>
      </c>
      <c r="G62" s="6">
        <f t="shared" si="5"/>
        <v>0.27798488613099648</v>
      </c>
      <c r="H62" s="6">
        <f t="shared" si="7"/>
        <v>0.19766254312269238</v>
      </c>
    </row>
    <row r="63" spans="2:8" x14ac:dyDescent="0.2">
      <c r="B63" s="2">
        <f t="shared" si="6"/>
        <v>84</v>
      </c>
      <c r="C63" s="5">
        <f t="shared" si="1"/>
        <v>1.4484577638074137E-2</v>
      </c>
      <c r="D63" s="5">
        <f t="shared" si="2"/>
        <v>1.4484577638074137E-2</v>
      </c>
      <c r="E63" s="5">
        <f t="shared" si="3"/>
        <v>0.21185539858339661</v>
      </c>
      <c r="F63" s="14">
        <f t="shared" si="4"/>
        <v>-0.8</v>
      </c>
      <c r="G63" s="6">
        <f t="shared" si="5"/>
        <v>0.28969155276148273</v>
      </c>
      <c r="H63" s="6">
        <f t="shared" si="7"/>
        <v>0.21185539858339661</v>
      </c>
    </row>
    <row r="64" spans="2:8" x14ac:dyDescent="0.2">
      <c r="B64" s="2">
        <f t="shared" si="6"/>
        <v>85</v>
      </c>
      <c r="C64" s="5">
        <f t="shared" si="1"/>
        <v>1.5056871607740222E-2</v>
      </c>
      <c r="D64" s="5">
        <f t="shared" si="2"/>
        <v>1.505687160774022E-2</v>
      </c>
      <c r="E64" s="5">
        <f t="shared" si="3"/>
        <v>0.22662735237686821</v>
      </c>
      <c r="F64" s="14">
        <f t="shared" si="4"/>
        <v>-0.75</v>
      </c>
      <c r="G64" s="6">
        <f t="shared" si="5"/>
        <v>0.30113743215480443</v>
      </c>
      <c r="H64" s="6">
        <f t="shared" si="7"/>
        <v>0.22662735237686821</v>
      </c>
    </row>
    <row r="65" spans="2:8" x14ac:dyDescent="0.2">
      <c r="B65" s="2">
        <f t="shared" si="6"/>
        <v>86</v>
      </c>
      <c r="C65" s="5">
        <f t="shared" si="1"/>
        <v>1.5612696668338064E-2</v>
      </c>
      <c r="D65" s="5">
        <f t="shared" si="2"/>
        <v>1.5612696668338064E-2</v>
      </c>
      <c r="E65" s="5">
        <f t="shared" si="3"/>
        <v>0.24196365222307298</v>
      </c>
      <c r="F65" s="14">
        <f t="shared" si="4"/>
        <v>-0.7</v>
      </c>
      <c r="G65" s="6">
        <f t="shared" si="5"/>
        <v>0.31225393336676127</v>
      </c>
      <c r="H65" s="6">
        <f t="shared" si="7"/>
        <v>0.24196365222307298</v>
      </c>
    </row>
    <row r="66" spans="2:8" x14ac:dyDescent="0.2">
      <c r="B66" s="2">
        <f t="shared" si="6"/>
        <v>87</v>
      </c>
      <c r="C66" s="5">
        <f t="shared" si="1"/>
        <v>1.6148617983395716E-2</v>
      </c>
      <c r="D66" s="5">
        <f t="shared" si="2"/>
        <v>1.6148617983395716E-2</v>
      </c>
      <c r="E66" s="5">
        <f t="shared" si="3"/>
        <v>0.25784611080586467</v>
      </c>
      <c r="F66" s="14">
        <f t="shared" si="4"/>
        <v>-0.65</v>
      </c>
      <c r="G66" s="6">
        <f t="shared" si="5"/>
        <v>0.32297235966791427</v>
      </c>
      <c r="H66" s="6">
        <f t="shared" si="7"/>
        <v>0.25784611080586467</v>
      </c>
    </row>
    <row r="67" spans="2:8" x14ac:dyDescent="0.2">
      <c r="B67" s="2">
        <f t="shared" si="6"/>
        <v>88</v>
      </c>
      <c r="C67" s="5">
        <f t="shared" si="1"/>
        <v>1.6661230144589985E-2</v>
      </c>
      <c r="D67" s="5">
        <f t="shared" si="2"/>
        <v>1.6661230144589981E-2</v>
      </c>
      <c r="E67" s="5">
        <f t="shared" si="3"/>
        <v>0.27425311775007355</v>
      </c>
      <c r="F67" s="14">
        <f t="shared" si="4"/>
        <v>-0.6</v>
      </c>
      <c r="G67" s="6">
        <f t="shared" si="5"/>
        <v>0.33322460289179967</v>
      </c>
      <c r="H67" s="6">
        <f t="shared" si="7"/>
        <v>0.27425311775007355</v>
      </c>
    </row>
    <row r="68" spans="2:8" x14ac:dyDescent="0.2">
      <c r="B68" s="2">
        <f t="shared" si="6"/>
        <v>89</v>
      </c>
      <c r="C68" s="5">
        <f t="shared" si="1"/>
        <v>1.7147192750969195E-2</v>
      </c>
      <c r="D68" s="5">
        <f t="shared" si="2"/>
        <v>1.7147192750969195E-2</v>
      </c>
      <c r="E68" s="5">
        <f t="shared" si="3"/>
        <v>0.29115968678834636</v>
      </c>
      <c r="F68" s="14">
        <f t="shared" si="4"/>
        <v>-0.55000000000000004</v>
      </c>
      <c r="G68" s="6">
        <f t="shared" si="5"/>
        <v>0.3429438550193839</v>
      </c>
      <c r="H68" s="6">
        <f t="shared" si="7"/>
        <v>0.29115968678834636</v>
      </c>
    </row>
    <row r="69" spans="2:8" x14ac:dyDescent="0.2">
      <c r="B69" s="2">
        <f t="shared" si="6"/>
        <v>90</v>
      </c>
      <c r="C69" s="5">
        <f t="shared" si="1"/>
        <v>1.7603266338214976E-2</v>
      </c>
      <c r="D69" s="5">
        <f t="shared" si="2"/>
        <v>1.7603266338214976E-2</v>
      </c>
      <c r="E69" s="5">
        <f t="shared" si="3"/>
        <v>0.30853753872598688</v>
      </c>
      <c r="F69" s="14">
        <f t="shared" si="4"/>
        <v>-0.5</v>
      </c>
      <c r="G69" s="6">
        <f t="shared" si="5"/>
        <v>0.35206532676429952</v>
      </c>
      <c r="H69" s="6">
        <f t="shared" si="7"/>
        <v>0.30853753872598688</v>
      </c>
    </row>
    <row r="70" spans="2:8" x14ac:dyDescent="0.2">
      <c r="B70" s="2">
        <f t="shared" si="6"/>
        <v>91</v>
      </c>
      <c r="C70" s="5">
        <f t="shared" si="1"/>
        <v>1.80263481230824E-2</v>
      </c>
      <c r="D70" s="5">
        <f t="shared" si="2"/>
        <v>1.80263481230824E-2</v>
      </c>
      <c r="E70" s="5">
        <f t="shared" si="3"/>
        <v>0.32635522028791997</v>
      </c>
      <c r="F70" s="14">
        <f t="shared" si="4"/>
        <v>-0.45</v>
      </c>
      <c r="G70" s="6">
        <f t="shared" si="5"/>
        <v>0.36052696246164795</v>
      </c>
      <c r="H70" s="6">
        <f t="shared" si="7"/>
        <v>0.32635522028791997</v>
      </c>
    </row>
    <row r="71" spans="2:8" x14ac:dyDescent="0.2">
      <c r="B71" s="2">
        <f t="shared" si="6"/>
        <v>92</v>
      </c>
      <c r="C71" s="5">
        <f t="shared" si="1"/>
        <v>1.841350701516617E-2</v>
      </c>
      <c r="D71" s="5">
        <f t="shared" si="2"/>
        <v>1.8413507015166166E-2</v>
      </c>
      <c r="E71" s="5">
        <f t="shared" si="3"/>
        <v>0.34457825838967576</v>
      </c>
      <c r="F71" s="14">
        <f t="shared" si="4"/>
        <v>-0.4</v>
      </c>
      <c r="G71" s="6">
        <f t="shared" si="5"/>
        <v>0.36827014030332333</v>
      </c>
      <c r="H71" s="6">
        <f t="shared" si="7"/>
        <v>0.34457825838967576</v>
      </c>
    </row>
    <row r="72" spans="2:8" x14ac:dyDescent="0.2">
      <c r="B72" s="2">
        <f t="shared" si="6"/>
        <v>93</v>
      </c>
      <c r="C72" s="5">
        <f t="shared" si="1"/>
        <v>1.8762017345846899E-2</v>
      </c>
      <c r="D72" s="5">
        <f t="shared" si="2"/>
        <v>1.8762017345846895E-2</v>
      </c>
      <c r="E72" s="5">
        <f t="shared" si="3"/>
        <v>0.3631693488243809</v>
      </c>
      <c r="F72" s="14">
        <f t="shared" si="4"/>
        <v>-0.35</v>
      </c>
      <c r="G72" s="6">
        <f t="shared" si="5"/>
        <v>0.37524034691693792</v>
      </c>
      <c r="H72" s="6">
        <f t="shared" si="7"/>
        <v>0.3631693488243809</v>
      </c>
    </row>
    <row r="73" spans="2:8" x14ac:dyDescent="0.2">
      <c r="B73" s="2">
        <f t="shared" si="6"/>
        <v>94</v>
      </c>
      <c r="C73" s="5">
        <f t="shared" si="1"/>
        <v>1.9069390773026208E-2</v>
      </c>
      <c r="D73" s="5">
        <f t="shared" si="2"/>
        <v>1.9069390773026204E-2</v>
      </c>
      <c r="E73" s="5">
        <f t="shared" si="3"/>
        <v>0.38208857781104733</v>
      </c>
      <c r="F73" s="14">
        <f t="shared" si="4"/>
        <v>-0.3</v>
      </c>
      <c r="G73" s="6">
        <f t="shared" si="5"/>
        <v>0.38138781546052414</v>
      </c>
      <c r="H73" s="6">
        <f t="shared" si="7"/>
        <v>0.38208857781104733</v>
      </c>
    </row>
    <row r="74" spans="2:8" x14ac:dyDescent="0.2">
      <c r="B74" s="2">
        <f t="shared" si="6"/>
        <v>95</v>
      </c>
      <c r="C74" s="5">
        <f t="shared" si="1"/>
        <v>1.9333405840142464E-2</v>
      </c>
      <c r="D74" s="5">
        <f t="shared" si="2"/>
        <v>1.933340584014246E-2</v>
      </c>
      <c r="E74" s="5">
        <f t="shared" si="3"/>
        <v>0.4012936743170763</v>
      </c>
      <c r="F74" s="14">
        <f t="shared" si="4"/>
        <v>-0.25</v>
      </c>
      <c r="G74" s="6">
        <f t="shared" si="5"/>
        <v>0.38666811680284924</v>
      </c>
      <c r="H74" s="6">
        <f t="shared" si="7"/>
        <v>0.4012936743170763</v>
      </c>
    </row>
    <row r="75" spans="2:8" x14ac:dyDescent="0.2">
      <c r="B75" s="2">
        <f t="shared" si="6"/>
        <v>96</v>
      </c>
      <c r="C75" s="5">
        <f t="shared" si="1"/>
        <v>1.9552134698772795E-2</v>
      </c>
      <c r="D75" s="5">
        <f t="shared" si="2"/>
        <v>1.9552134698772795E-2</v>
      </c>
      <c r="E75" s="5">
        <f t="shared" si="3"/>
        <v>0.42074029056089696</v>
      </c>
      <c r="F75" s="14">
        <f t="shared" si="4"/>
        <v>-0.2</v>
      </c>
      <c r="G75" s="6">
        <f t="shared" si="5"/>
        <v>0.39104269397545588</v>
      </c>
      <c r="H75" s="6">
        <f t="shared" si="7"/>
        <v>0.42074029056089696</v>
      </c>
    </row>
    <row r="76" spans="2:8" x14ac:dyDescent="0.2">
      <c r="B76" s="2">
        <f t="shared" si="6"/>
        <v>97</v>
      </c>
      <c r="C76" s="5">
        <f t="shared" si="1"/>
        <v>1.9723966545394447E-2</v>
      </c>
      <c r="D76" s="5">
        <f t="shared" si="2"/>
        <v>1.9723966545394447E-2</v>
      </c>
      <c r="E76" s="5">
        <f t="shared" si="3"/>
        <v>0.4403823076297575</v>
      </c>
      <c r="F76" s="14">
        <f t="shared" si="4"/>
        <v>-0.15</v>
      </c>
      <c r="G76" s="6">
        <f t="shared" si="5"/>
        <v>0.39447933090788895</v>
      </c>
      <c r="H76" s="6">
        <f t="shared" si="7"/>
        <v>0.4403823076297575</v>
      </c>
    </row>
    <row r="77" spans="2:8" x14ac:dyDescent="0.2">
      <c r="B77" s="2">
        <f t="shared" si="6"/>
        <v>98</v>
      </c>
      <c r="C77" s="5">
        <f t="shared" si="1"/>
        <v>1.9847627373850592E-2</v>
      </c>
      <c r="D77" s="5">
        <f t="shared" si="2"/>
        <v>1.9847627373850589E-2</v>
      </c>
      <c r="E77" s="5">
        <f t="shared" si="3"/>
        <v>0.46017216272297101</v>
      </c>
      <c r="F77" s="14">
        <f t="shared" si="4"/>
        <v>-0.1</v>
      </c>
      <c r="G77" s="6">
        <f t="shared" si="5"/>
        <v>0.39695254747701181</v>
      </c>
      <c r="H77" s="6">
        <f t="shared" si="7"/>
        <v>0.46017216272297101</v>
      </c>
    </row>
    <row r="78" spans="2:8" x14ac:dyDescent="0.2">
      <c r="B78" s="2">
        <f t="shared" si="6"/>
        <v>99</v>
      </c>
      <c r="C78" s="5">
        <f t="shared" si="1"/>
        <v>1.9922195704738205E-2</v>
      </c>
      <c r="D78" s="5">
        <f t="shared" si="2"/>
        <v>1.9922195704738202E-2</v>
      </c>
      <c r="E78" s="5">
        <f t="shared" si="3"/>
        <v>0.48006119416162751</v>
      </c>
      <c r="F78" s="14">
        <f t="shared" si="4"/>
        <v>-0.05</v>
      </c>
      <c r="G78" s="6">
        <f t="shared" si="5"/>
        <v>0.39844391409476404</v>
      </c>
      <c r="H78" s="6">
        <f t="shared" ref="H78:H109" si="8">+_xlfn.NORM.S.DIST(F78,TRUE)</f>
        <v>0.48006119416162751</v>
      </c>
    </row>
    <row r="79" spans="2:8" x14ac:dyDescent="0.2">
      <c r="B79" s="2">
        <f t="shared" si="6"/>
        <v>100</v>
      </c>
      <c r="C79" s="5">
        <f t="shared" ref="C79:C142" si="9">1/($C$10*SQRT(2*PI()))*EXP(-0.5*((B79-$C$9)/$C$10)^2)</f>
        <v>1.9947114020071637E-2</v>
      </c>
      <c r="D79" s="5">
        <f t="shared" ref="D79:D114" si="10">+NORMDIST(B79,$C$9,$C$10,)</f>
        <v>1.9947114020071637E-2</v>
      </c>
      <c r="E79" s="5">
        <f t="shared" ref="E79:E114" si="11">+NORMDIST(B79,$C$9,$C$10,TRUE)</f>
        <v>0.5</v>
      </c>
      <c r="F79" s="14">
        <f t="shared" ref="F79:F142" si="12">+(B79-$C$9)/$C$10</f>
        <v>0</v>
      </c>
      <c r="G79" s="6">
        <f t="shared" ref="G79:G142" si="13">+_xlfn.NORM.S.DIST(F79,FALSE)</f>
        <v>0.3989422804014327</v>
      </c>
      <c r="H79" s="6">
        <f t="shared" si="8"/>
        <v>0.5</v>
      </c>
    </row>
    <row r="80" spans="2:8" x14ac:dyDescent="0.2">
      <c r="B80" s="2">
        <f t="shared" ref="B80:B114" si="14">+B79+1</f>
        <v>101</v>
      </c>
      <c r="C80" s="5">
        <f t="shared" si="9"/>
        <v>1.9922195704738205E-2</v>
      </c>
      <c r="D80" s="5">
        <f t="shared" si="10"/>
        <v>1.9922195704738202E-2</v>
      </c>
      <c r="E80" s="5">
        <f t="shared" si="11"/>
        <v>0.51993880583837249</v>
      </c>
      <c r="F80" s="14">
        <f t="shared" si="12"/>
        <v>0.05</v>
      </c>
      <c r="G80" s="6">
        <f t="shared" si="13"/>
        <v>0.39844391409476404</v>
      </c>
      <c r="H80" s="6">
        <f t="shared" si="8"/>
        <v>0.51993880583837249</v>
      </c>
    </row>
    <row r="81" spans="2:8" x14ac:dyDescent="0.2">
      <c r="B81" s="2">
        <f t="shared" si="14"/>
        <v>102</v>
      </c>
      <c r="C81" s="5">
        <f t="shared" si="9"/>
        <v>1.9847627373850592E-2</v>
      </c>
      <c r="D81" s="5">
        <f t="shared" si="10"/>
        <v>1.9847627373850589E-2</v>
      </c>
      <c r="E81" s="5">
        <f t="shared" si="11"/>
        <v>0.53982783727702899</v>
      </c>
      <c r="F81" s="14">
        <f t="shared" si="12"/>
        <v>0.1</v>
      </c>
      <c r="G81" s="6">
        <f t="shared" si="13"/>
        <v>0.39695254747701181</v>
      </c>
      <c r="H81" s="6">
        <f t="shared" si="8"/>
        <v>0.53982783727702899</v>
      </c>
    </row>
    <row r="82" spans="2:8" x14ac:dyDescent="0.2">
      <c r="B82" s="2">
        <f t="shared" si="14"/>
        <v>103</v>
      </c>
      <c r="C82" s="5">
        <f t="shared" si="9"/>
        <v>1.9723966545394447E-2</v>
      </c>
      <c r="D82" s="5">
        <f t="shared" si="10"/>
        <v>1.9723966545394447E-2</v>
      </c>
      <c r="E82" s="5">
        <f t="shared" si="11"/>
        <v>0.5596176923702425</v>
      </c>
      <c r="F82" s="14">
        <f t="shared" si="12"/>
        <v>0.15</v>
      </c>
      <c r="G82" s="6">
        <f t="shared" si="13"/>
        <v>0.39447933090788895</v>
      </c>
      <c r="H82" s="6">
        <f t="shared" si="8"/>
        <v>0.5596176923702425</v>
      </c>
    </row>
    <row r="83" spans="2:8" x14ac:dyDescent="0.2">
      <c r="B83" s="2">
        <f t="shared" si="14"/>
        <v>104</v>
      </c>
      <c r="C83" s="5">
        <f t="shared" si="9"/>
        <v>1.9552134698772795E-2</v>
      </c>
      <c r="D83" s="5">
        <f t="shared" si="10"/>
        <v>1.9552134698772795E-2</v>
      </c>
      <c r="E83" s="5">
        <f t="shared" si="11"/>
        <v>0.57925970943910299</v>
      </c>
      <c r="F83" s="14">
        <f t="shared" si="12"/>
        <v>0.2</v>
      </c>
      <c r="G83" s="6">
        <f t="shared" si="13"/>
        <v>0.39104269397545588</v>
      </c>
      <c r="H83" s="6">
        <f t="shared" si="8"/>
        <v>0.57925970943910299</v>
      </c>
    </row>
    <row r="84" spans="2:8" x14ac:dyDescent="0.2">
      <c r="B84" s="2">
        <f t="shared" si="14"/>
        <v>105</v>
      </c>
      <c r="C84" s="5">
        <f t="shared" si="9"/>
        <v>1.9333405840142464E-2</v>
      </c>
      <c r="D84" s="5">
        <f t="shared" si="10"/>
        <v>1.933340584014246E-2</v>
      </c>
      <c r="E84" s="5">
        <f t="shared" si="11"/>
        <v>0.5987063256829237</v>
      </c>
      <c r="F84" s="14">
        <f t="shared" si="12"/>
        <v>0.25</v>
      </c>
      <c r="G84" s="6">
        <f t="shared" si="13"/>
        <v>0.38666811680284924</v>
      </c>
      <c r="H84" s="6">
        <f t="shared" si="8"/>
        <v>0.5987063256829237</v>
      </c>
    </row>
    <row r="85" spans="2:8" x14ac:dyDescent="0.2">
      <c r="B85" s="2">
        <f t="shared" si="14"/>
        <v>106</v>
      </c>
      <c r="C85" s="5">
        <f t="shared" si="9"/>
        <v>1.9069390773026208E-2</v>
      </c>
      <c r="D85" s="5">
        <f t="shared" si="10"/>
        <v>1.9069390773026204E-2</v>
      </c>
      <c r="E85" s="5">
        <f t="shared" si="11"/>
        <v>0.61791142218895267</v>
      </c>
      <c r="F85" s="14">
        <f t="shared" si="12"/>
        <v>0.3</v>
      </c>
      <c r="G85" s="6">
        <f t="shared" si="13"/>
        <v>0.38138781546052414</v>
      </c>
      <c r="H85" s="6">
        <f t="shared" si="8"/>
        <v>0.61791142218895267</v>
      </c>
    </row>
    <row r="86" spans="2:8" x14ac:dyDescent="0.2">
      <c r="B86" s="2">
        <f t="shared" si="14"/>
        <v>107</v>
      </c>
      <c r="C86" s="5">
        <f t="shared" si="9"/>
        <v>1.8762017345846899E-2</v>
      </c>
      <c r="D86" s="5">
        <f t="shared" si="10"/>
        <v>1.8762017345846895E-2</v>
      </c>
      <c r="E86" s="5">
        <f t="shared" si="11"/>
        <v>0.6368306511756191</v>
      </c>
      <c r="F86" s="14">
        <f t="shared" si="12"/>
        <v>0.35</v>
      </c>
      <c r="G86" s="6">
        <f t="shared" si="13"/>
        <v>0.37524034691693792</v>
      </c>
      <c r="H86" s="6">
        <f t="shared" si="8"/>
        <v>0.6368306511756191</v>
      </c>
    </row>
    <row r="87" spans="2:8" x14ac:dyDescent="0.2">
      <c r="B87" s="2">
        <f t="shared" si="14"/>
        <v>108</v>
      </c>
      <c r="C87" s="5">
        <f t="shared" si="9"/>
        <v>1.841350701516617E-2</v>
      </c>
      <c r="D87" s="5">
        <f t="shared" si="10"/>
        <v>1.8413507015166166E-2</v>
      </c>
      <c r="E87" s="5">
        <f t="shared" si="11"/>
        <v>0.65542174161032429</v>
      </c>
      <c r="F87" s="14">
        <f t="shared" si="12"/>
        <v>0.4</v>
      </c>
      <c r="G87" s="6">
        <f t="shared" si="13"/>
        <v>0.36827014030332333</v>
      </c>
      <c r="H87" s="6">
        <f t="shared" si="8"/>
        <v>0.65542174161032429</v>
      </c>
    </row>
    <row r="88" spans="2:8" x14ac:dyDescent="0.2">
      <c r="B88" s="2">
        <f t="shared" si="14"/>
        <v>109</v>
      </c>
      <c r="C88" s="5">
        <f t="shared" si="9"/>
        <v>1.80263481230824E-2</v>
      </c>
      <c r="D88" s="5">
        <f t="shared" si="10"/>
        <v>1.80263481230824E-2</v>
      </c>
      <c r="E88" s="5">
        <f t="shared" si="11"/>
        <v>0.67364477971208003</v>
      </c>
      <c r="F88" s="14">
        <f t="shared" si="12"/>
        <v>0.45</v>
      </c>
      <c r="G88" s="6">
        <f t="shared" si="13"/>
        <v>0.36052696246164795</v>
      </c>
      <c r="H88" s="6">
        <f t="shared" si="8"/>
        <v>0.67364477971208003</v>
      </c>
    </row>
    <row r="89" spans="2:8" x14ac:dyDescent="0.2">
      <c r="B89" s="2">
        <f t="shared" si="14"/>
        <v>110</v>
      </c>
      <c r="C89" s="5">
        <f t="shared" si="9"/>
        <v>1.7603266338214976E-2</v>
      </c>
      <c r="D89" s="5">
        <f t="shared" si="10"/>
        <v>1.7603266338214976E-2</v>
      </c>
      <c r="E89" s="5">
        <f t="shared" si="11"/>
        <v>0.69146246127401312</v>
      </c>
      <c r="F89" s="14">
        <f t="shared" si="12"/>
        <v>0.5</v>
      </c>
      <c r="G89" s="6">
        <f t="shared" si="13"/>
        <v>0.35206532676429952</v>
      </c>
      <c r="H89" s="6">
        <f t="shared" si="8"/>
        <v>0.69146246127401312</v>
      </c>
    </row>
    <row r="90" spans="2:8" x14ac:dyDescent="0.2">
      <c r="B90" s="2">
        <f t="shared" si="14"/>
        <v>111</v>
      </c>
      <c r="C90" s="5">
        <f t="shared" si="9"/>
        <v>1.7147192750969195E-2</v>
      </c>
      <c r="D90" s="5">
        <f t="shared" si="10"/>
        <v>1.7147192750969195E-2</v>
      </c>
      <c r="E90" s="5">
        <f t="shared" si="11"/>
        <v>0.70884031321165364</v>
      </c>
      <c r="F90" s="14">
        <f t="shared" si="12"/>
        <v>0.55000000000000004</v>
      </c>
      <c r="G90" s="6">
        <f t="shared" si="13"/>
        <v>0.3429438550193839</v>
      </c>
      <c r="H90" s="6">
        <f t="shared" si="8"/>
        <v>0.70884031321165364</v>
      </c>
    </row>
    <row r="91" spans="2:8" x14ac:dyDescent="0.2">
      <c r="B91" s="2">
        <f t="shared" si="14"/>
        <v>112</v>
      </c>
      <c r="C91" s="5">
        <f t="shared" si="9"/>
        <v>1.6661230144589985E-2</v>
      </c>
      <c r="D91" s="5">
        <f t="shared" si="10"/>
        <v>1.6661230144589981E-2</v>
      </c>
      <c r="E91" s="5">
        <f t="shared" si="11"/>
        <v>0.72574688224992645</v>
      </c>
      <c r="F91" s="14">
        <f t="shared" si="12"/>
        <v>0.6</v>
      </c>
      <c r="G91" s="6">
        <f t="shared" si="13"/>
        <v>0.33322460289179967</v>
      </c>
      <c r="H91" s="6">
        <f t="shared" si="8"/>
        <v>0.72574688224992645</v>
      </c>
    </row>
    <row r="92" spans="2:8" x14ac:dyDescent="0.2">
      <c r="B92" s="2">
        <f t="shared" si="14"/>
        <v>113</v>
      </c>
      <c r="C92" s="5">
        <f t="shared" si="9"/>
        <v>1.6148617983395716E-2</v>
      </c>
      <c r="D92" s="5">
        <f t="shared" si="10"/>
        <v>1.6148617983395716E-2</v>
      </c>
      <c r="E92" s="5">
        <f t="shared" si="11"/>
        <v>0.74215388919413527</v>
      </c>
      <c r="F92" s="14">
        <f t="shared" si="12"/>
        <v>0.65</v>
      </c>
      <c r="G92" s="6">
        <f t="shared" si="13"/>
        <v>0.32297235966791427</v>
      </c>
      <c r="H92" s="6">
        <f t="shared" si="8"/>
        <v>0.74215388919413527</v>
      </c>
    </row>
    <row r="93" spans="2:8" x14ac:dyDescent="0.2">
      <c r="B93" s="2">
        <f t="shared" si="14"/>
        <v>114</v>
      </c>
      <c r="C93" s="5">
        <f t="shared" si="9"/>
        <v>1.5612696668338064E-2</v>
      </c>
      <c r="D93" s="5">
        <f t="shared" si="10"/>
        <v>1.5612696668338064E-2</v>
      </c>
      <c r="E93" s="5">
        <f t="shared" si="11"/>
        <v>0.75803634777692697</v>
      </c>
      <c r="F93" s="14">
        <f t="shared" si="12"/>
        <v>0.7</v>
      </c>
      <c r="G93" s="6">
        <f t="shared" si="13"/>
        <v>0.31225393336676127</v>
      </c>
      <c r="H93" s="6">
        <f t="shared" si="8"/>
        <v>0.75803634777692697</v>
      </c>
    </row>
    <row r="94" spans="2:8" x14ac:dyDescent="0.2">
      <c r="B94" s="2">
        <f t="shared" si="14"/>
        <v>115</v>
      </c>
      <c r="C94" s="5">
        <f t="shared" si="9"/>
        <v>1.5056871607740222E-2</v>
      </c>
      <c r="D94" s="5">
        <f t="shared" si="10"/>
        <v>1.505687160774022E-2</v>
      </c>
      <c r="E94" s="5">
        <f t="shared" si="11"/>
        <v>0.77337264762313174</v>
      </c>
      <c r="F94" s="14">
        <f t="shared" si="12"/>
        <v>0.75</v>
      </c>
      <c r="G94" s="6">
        <f t="shared" si="13"/>
        <v>0.30113743215480443</v>
      </c>
      <c r="H94" s="6">
        <f t="shared" si="8"/>
        <v>0.77337264762313174</v>
      </c>
    </row>
    <row r="95" spans="2:8" x14ac:dyDescent="0.2">
      <c r="B95" s="2">
        <f t="shared" si="14"/>
        <v>116</v>
      </c>
      <c r="C95" s="5">
        <f t="shared" si="9"/>
        <v>1.4484577638074137E-2</v>
      </c>
      <c r="D95" s="5">
        <f t="shared" si="10"/>
        <v>1.4484577638074137E-2</v>
      </c>
      <c r="E95" s="5">
        <f t="shared" si="11"/>
        <v>0.78814460141660336</v>
      </c>
      <c r="F95" s="14">
        <f t="shared" si="12"/>
        <v>0.8</v>
      </c>
      <c r="G95" s="6">
        <f t="shared" si="13"/>
        <v>0.28969155276148273</v>
      </c>
      <c r="H95" s="6">
        <f t="shared" si="8"/>
        <v>0.78814460141660336</v>
      </c>
    </row>
    <row r="96" spans="2:8" x14ac:dyDescent="0.2">
      <c r="B96" s="2">
        <f t="shared" si="14"/>
        <v>117</v>
      </c>
      <c r="C96" s="5">
        <f t="shared" si="9"/>
        <v>1.3899244306549825E-2</v>
      </c>
      <c r="D96" s="5">
        <f t="shared" si="10"/>
        <v>1.3899244306549824E-2</v>
      </c>
      <c r="E96" s="5">
        <f t="shared" si="11"/>
        <v>0.80233745687730762</v>
      </c>
      <c r="F96" s="14">
        <f t="shared" si="12"/>
        <v>0.85</v>
      </c>
      <c r="G96" s="6">
        <f t="shared" si="13"/>
        <v>0.27798488613099648</v>
      </c>
      <c r="H96" s="6">
        <f t="shared" si="8"/>
        <v>0.80233745687730762</v>
      </c>
    </row>
    <row r="97" spans="2:8" x14ac:dyDescent="0.2">
      <c r="B97" s="2">
        <f t="shared" si="14"/>
        <v>118</v>
      </c>
      <c r="C97" s="5">
        <f t="shared" si="9"/>
        <v>1.3304262494937743E-2</v>
      </c>
      <c r="D97" s="5">
        <f t="shared" si="10"/>
        <v>1.3304262494937741E-2</v>
      </c>
      <c r="E97" s="5">
        <f t="shared" si="11"/>
        <v>0.81593987465324047</v>
      </c>
      <c r="F97" s="14">
        <f t="shared" si="12"/>
        <v>0.9</v>
      </c>
      <c r="G97" s="6">
        <f t="shared" si="13"/>
        <v>0.26608524989875482</v>
      </c>
      <c r="H97" s="6">
        <f t="shared" si="8"/>
        <v>0.81593987465324047</v>
      </c>
    </row>
    <row r="98" spans="2:8" x14ac:dyDescent="0.2">
      <c r="B98" s="2">
        <f t="shared" si="14"/>
        <v>119</v>
      </c>
      <c r="C98" s="5">
        <f t="shared" si="9"/>
        <v>1.2702952823459453E-2</v>
      </c>
      <c r="D98" s="5">
        <f t="shared" si="10"/>
        <v>1.270295282345945E-2</v>
      </c>
      <c r="E98" s="5">
        <f t="shared" si="11"/>
        <v>0.82894387369151812</v>
      </c>
      <c r="F98" s="14">
        <f t="shared" si="12"/>
        <v>0.95</v>
      </c>
      <c r="G98" s="6">
        <f t="shared" si="13"/>
        <v>0.25405905646918903</v>
      </c>
      <c r="H98" s="6">
        <f t="shared" si="8"/>
        <v>0.82894387369151812</v>
      </c>
    </row>
    <row r="99" spans="2:8" x14ac:dyDescent="0.2">
      <c r="B99" s="2">
        <f t="shared" si="14"/>
        <v>120</v>
      </c>
      <c r="C99" s="5">
        <f t="shared" si="9"/>
        <v>1.209853622595717E-2</v>
      </c>
      <c r="D99" s="5">
        <f t="shared" si="10"/>
        <v>1.2098536225957168E-2</v>
      </c>
      <c r="E99" s="5">
        <f t="shared" si="11"/>
        <v>0.84134474606854304</v>
      </c>
      <c r="F99" s="14">
        <f t="shared" si="12"/>
        <v>1</v>
      </c>
      <c r="G99" s="6">
        <f t="shared" si="13"/>
        <v>0.24197072451914337</v>
      </c>
      <c r="H99" s="6">
        <f t="shared" si="8"/>
        <v>0.84134474606854304</v>
      </c>
    </row>
    <row r="100" spans="2:8" x14ac:dyDescent="0.2">
      <c r="B100" s="2">
        <f t="shared" si="14"/>
        <v>121</v>
      </c>
      <c r="C100" s="5">
        <f t="shared" si="9"/>
        <v>1.1494107034211651E-2</v>
      </c>
      <c r="D100" s="5">
        <f t="shared" si="10"/>
        <v>1.1494107034211651E-2</v>
      </c>
      <c r="E100" s="5">
        <f t="shared" si="11"/>
        <v>0.85314094362410409</v>
      </c>
      <c r="F100" s="14">
        <f t="shared" si="12"/>
        <v>1.05</v>
      </c>
      <c r="G100" s="6">
        <f t="shared" si="13"/>
        <v>0.22988214068423302</v>
      </c>
      <c r="H100" s="6">
        <f t="shared" si="8"/>
        <v>0.85314094362410409</v>
      </c>
    </row>
    <row r="101" spans="2:8" x14ac:dyDescent="0.2">
      <c r="B101" s="2">
        <f t="shared" si="14"/>
        <v>122</v>
      </c>
      <c r="C101" s="5">
        <f t="shared" si="9"/>
        <v>1.0892608851627529E-2</v>
      </c>
      <c r="D101" s="5">
        <f t="shared" si="10"/>
        <v>1.0892608851627527E-2</v>
      </c>
      <c r="E101" s="5">
        <f t="shared" si="11"/>
        <v>0.86433393905361733</v>
      </c>
      <c r="F101" s="14">
        <f t="shared" si="12"/>
        <v>1.1000000000000001</v>
      </c>
      <c r="G101" s="6">
        <f t="shared" si="13"/>
        <v>0.21785217703255053</v>
      </c>
      <c r="H101" s="6">
        <f t="shared" si="8"/>
        <v>0.86433393905361733</v>
      </c>
    </row>
    <row r="102" spans="2:8" x14ac:dyDescent="0.2">
      <c r="B102" s="2">
        <f t="shared" si="14"/>
        <v>123</v>
      </c>
      <c r="C102" s="5">
        <f t="shared" si="9"/>
        <v>1.0296813435998741E-2</v>
      </c>
      <c r="D102" s="5">
        <f t="shared" si="10"/>
        <v>1.0296813435998739E-2</v>
      </c>
      <c r="E102" s="5">
        <f t="shared" si="11"/>
        <v>0.87492806436284976</v>
      </c>
      <c r="F102" s="14">
        <f t="shared" si="12"/>
        <v>1.1499999999999999</v>
      </c>
      <c r="G102" s="6">
        <f t="shared" si="13"/>
        <v>0.20593626871997478</v>
      </c>
      <c r="H102" s="6">
        <f t="shared" si="8"/>
        <v>0.87492806436284976</v>
      </c>
    </row>
    <row r="103" spans="2:8" x14ac:dyDescent="0.2">
      <c r="B103" s="2">
        <f t="shared" si="14"/>
        <v>124</v>
      </c>
      <c r="C103" s="5">
        <f t="shared" si="9"/>
        <v>9.7093027491606497E-3</v>
      </c>
      <c r="D103" s="5">
        <f t="shared" si="10"/>
        <v>9.709302749160648E-3</v>
      </c>
      <c r="E103" s="5">
        <f t="shared" si="11"/>
        <v>0.88493032977829178</v>
      </c>
      <c r="F103" s="14">
        <f t="shared" si="12"/>
        <v>1.2</v>
      </c>
      <c r="G103" s="6">
        <f t="shared" si="13"/>
        <v>0.19418605498321295</v>
      </c>
      <c r="H103" s="6">
        <f t="shared" si="8"/>
        <v>0.88493032977829178</v>
      </c>
    </row>
    <row r="104" spans="2:8" x14ac:dyDescent="0.2">
      <c r="B104" s="2">
        <f t="shared" si="14"/>
        <v>125</v>
      </c>
      <c r="C104" s="5">
        <f t="shared" si="9"/>
        <v>9.1324542694510968E-3</v>
      </c>
      <c r="D104" s="5">
        <f t="shared" si="10"/>
        <v>9.132454269451095E-3</v>
      </c>
      <c r="E104" s="5">
        <f t="shared" si="11"/>
        <v>0.89435022633314476</v>
      </c>
      <c r="F104" s="14">
        <f t="shared" si="12"/>
        <v>1.25</v>
      </c>
      <c r="G104" s="6">
        <f t="shared" si="13"/>
        <v>0.18264908538902191</v>
      </c>
      <c r="H104" s="6">
        <f t="shared" si="8"/>
        <v>0.89435022633314476</v>
      </c>
    </row>
    <row r="105" spans="2:8" x14ac:dyDescent="0.2">
      <c r="B105" s="2">
        <f t="shared" si="14"/>
        <v>126</v>
      </c>
      <c r="C105" s="5">
        <f t="shared" si="9"/>
        <v>8.5684296023903674E-3</v>
      </c>
      <c r="D105" s="5">
        <f t="shared" si="10"/>
        <v>8.5684296023903674E-3</v>
      </c>
      <c r="E105" s="5">
        <f t="shared" si="11"/>
        <v>0.9031995154143897</v>
      </c>
      <c r="F105" s="14">
        <f t="shared" si="12"/>
        <v>1.3</v>
      </c>
      <c r="G105" s="6">
        <f t="shared" si="13"/>
        <v>0.17136859204780736</v>
      </c>
      <c r="H105" s="6">
        <f t="shared" si="8"/>
        <v>0.9031995154143897</v>
      </c>
    </row>
    <row r="106" spans="2:8" x14ac:dyDescent="0.2">
      <c r="B106" s="2">
        <f t="shared" si="14"/>
        <v>127</v>
      </c>
      <c r="C106" s="5">
        <f t="shared" si="9"/>
        <v>8.0191663670959798E-3</v>
      </c>
      <c r="D106" s="5">
        <f t="shared" si="10"/>
        <v>8.0191663670959798E-3</v>
      </c>
      <c r="E106" s="5">
        <f t="shared" si="11"/>
        <v>0.91149200856259804</v>
      </c>
      <c r="F106" s="14">
        <f t="shared" si="12"/>
        <v>1.35</v>
      </c>
      <c r="G106" s="6">
        <f t="shared" si="13"/>
        <v>0.1603833273419196</v>
      </c>
      <c r="H106" s="6">
        <f t="shared" si="8"/>
        <v>0.91149200856259804</v>
      </c>
    </row>
    <row r="107" spans="2:8" x14ac:dyDescent="0.2">
      <c r="B107" s="2">
        <f t="shared" si="14"/>
        <v>128</v>
      </c>
      <c r="C107" s="5">
        <f t="shared" si="9"/>
        <v>7.4863732817872447E-3</v>
      </c>
      <c r="D107" s="5">
        <f t="shared" si="10"/>
        <v>7.486373281787243E-3</v>
      </c>
      <c r="E107" s="5">
        <f t="shared" si="11"/>
        <v>0.91924334076622893</v>
      </c>
      <c r="F107" s="14">
        <f t="shared" si="12"/>
        <v>1.4</v>
      </c>
      <c r="G107" s="6">
        <f t="shared" si="13"/>
        <v>0.14972746563574488</v>
      </c>
      <c r="H107" s="6">
        <f t="shared" si="8"/>
        <v>0.91924334076622893</v>
      </c>
    </row>
    <row r="108" spans="2:8" x14ac:dyDescent="0.2">
      <c r="B108" s="2">
        <f t="shared" si="14"/>
        <v>129</v>
      </c>
      <c r="C108" s="5">
        <f t="shared" si="9"/>
        <v>6.9715283222680146E-3</v>
      </c>
      <c r="D108" s="5">
        <f t="shared" si="10"/>
        <v>6.9715283222680146E-3</v>
      </c>
      <c r="E108" s="5">
        <f t="shared" si="11"/>
        <v>0.9264707403903516</v>
      </c>
      <c r="F108" s="14">
        <f t="shared" si="12"/>
        <v>1.45</v>
      </c>
      <c r="G108" s="6">
        <f t="shared" si="13"/>
        <v>0.13943056644536028</v>
      </c>
      <c r="H108" s="6">
        <f t="shared" si="8"/>
        <v>0.9264707403903516</v>
      </c>
    </row>
    <row r="109" spans="2:8" x14ac:dyDescent="0.2">
      <c r="B109" s="2">
        <f t="shared" si="14"/>
        <v>130</v>
      </c>
      <c r="C109" s="5">
        <f t="shared" si="9"/>
        <v>6.4758797832945875E-3</v>
      </c>
      <c r="D109" s="5">
        <f t="shared" si="10"/>
        <v>6.4758797832945867E-3</v>
      </c>
      <c r="E109" s="5">
        <f t="shared" si="11"/>
        <v>0.93319279873114191</v>
      </c>
      <c r="F109" s="14">
        <f t="shared" si="12"/>
        <v>1.5</v>
      </c>
      <c r="G109" s="6">
        <f t="shared" si="13"/>
        <v>0.12951759566589174</v>
      </c>
      <c r="H109" s="6">
        <f t="shared" si="8"/>
        <v>0.93319279873114191</v>
      </c>
    </row>
    <row r="110" spans="2:8" x14ac:dyDescent="0.2">
      <c r="B110" s="2">
        <f t="shared" si="14"/>
        <v>131</v>
      </c>
      <c r="C110" s="5">
        <f t="shared" si="9"/>
        <v>6.0004500348492798E-3</v>
      </c>
      <c r="D110" s="5">
        <f t="shared" si="10"/>
        <v>6.0004500348492789E-3</v>
      </c>
      <c r="E110" s="5">
        <f t="shared" si="11"/>
        <v>0.93942924199794098</v>
      </c>
      <c r="F110" s="14">
        <f t="shared" si="12"/>
        <v>1.55</v>
      </c>
      <c r="G110" s="6">
        <f t="shared" si="13"/>
        <v>0.12000900069698558</v>
      </c>
      <c r="H110" s="6">
        <f t="shared" ref="H110:H144" si="15">+_xlfn.NORM.S.DIST(F110,TRUE)</f>
        <v>0.93942924199794098</v>
      </c>
    </row>
    <row r="111" spans="2:8" x14ac:dyDescent="0.2">
      <c r="B111" s="2">
        <f t="shared" si="14"/>
        <v>132</v>
      </c>
      <c r="C111" s="5">
        <f t="shared" si="9"/>
        <v>5.5460417339727782E-3</v>
      </c>
      <c r="D111" s="5">
        <f t="shared" si="10"/>
        <v>5.5460417339727773E-3</v>
      </c>
      <c r="E111" s="5">
        <f t="shared" si="11"/>
        <v>0.94520070830044201</v>
      </c>
      <c r="F111" s="14">
        <f t="shared" si="12"/>
        <v>1.6</v>
      </c>
      <c r="G111" s="6">
        <f t="shared" si="13"/>
        <v>0.11092083467945554</v>
      </c>
      <c r="H111" s="6">
        <f t="shared" si="15"/>
        <v>0.94520070830044201</v>
      </c>
    </row>
    <row r="112" spans="2:8" x14ac:dyDescent="0.2">
      <c r="B112" s="2">
        <f t="shared" si="14"/>
        <v>133</v>
      </c>
      <c r="C112" s="5">
        <f t="shared" si="9"/>
        <v>5.1132462281989017E-3</v>
      </c>
      <c r="D112" s="5">
        <f t="shared" si="10"/>
        <v>5.1132462281989017E-3</v>
      </c>
      <c r="E112" s="5">
        <f t="shared" si="11"/>
        <v>0.9505285319663519</v>
      </c>
      <c r="F112" s="14">
        <f t="shared" si="12"/>
        <v>1.65</v>
      </c>
      <c r="G112" s="6">
        <f t="shared" si="13"/>
        <v>0.10226492456397804</v>
      </c>
      <c r="H112" s="6">
        <f t="shared" si="15"/>
        <v>0.9505285319663519</v>
      </c>
    </row>
    <row r="113" spans="2:8" x14ac:dyDescent="0.2">
      <c r="B113" s="2">
        <f t="shared" si="14"/>
        <v>134</v>
      </c>
      <c r="C113" s="5">
        <f t="shared" si="9"/>
        <v>4.7024538688443477E-3</v>
      </c>
      <c r="D113" s="5">
        <f t="shared" si="10"/>
        <v>4.7024538688443468E-3</v>
      </c>
      <c r="E113" s="5">
        <f t="shared" si="11"/>
        <v>0.95543453724145699</v>
      </c>
      <c r="F113" s="14">
        <f t="shared" si="12"/>
        <v>1.7</v>
      </c>
      <c r="G113" s="6">
        <f t="shared" si="13"/>
        <v>9.4049077376886947E-2</v>
      </c>
      <c r="H113" s="6">
        <f t="shared" si="15"/>
        <v>0.95543453724145699</v>
      </c>
    </row>
    <row r="114" spans="2:8" x14ac:dyDescent="0.2">
      <c r="B114" s="2">
        <f t="shared" si="14"/>
        <v>135</v>
      </c>
      <c r="C114" s="5">
        <f t="shared" si="9"/>
        <v>4.3138659413255766E-3</v>
      </c>
      <c r="D114" s="5">
        <f t="shared" si="10"/>
        <v>4.3138659413255757E-3</v>
      </c>
      <c r="E114" s="5">
        <f t="shared" si="11"/>
        <v>0.95994084313618289</v>
      </c>
      <c r="F114" s="14">
        <f t="shared" si="12"/>
        <v>1.75</v>
      </c>
      <c r="G114" s="6">
        <f t="shared" si="13"/>
        <v>8.6277318826511532E-2</v>
      </c>
      <c r="H114" s="6">
        <f t="shared" si="15"/>
        <v>0.95994084313618289</v>
      </c>
    </row>
    <row r="115" spans="2:8" x14ac:dyDescent="0.2">
      <c r="B115" s="2">
        <f t="shared" ref="B115:B125" si="16">+B114+1</f>
        <v>136</v>
      </c>
      <c r="C115" s="5">
        <f t="shared" si="9"/>
        <v>3.9475079150447078E-3</v>
      </c>
      <c r="D115" s="5">
        <f t="shared" ref="D115:D125" si="17">+NORMDIST(B115,$C$9,$C$10,)</f>
        <v>3.9475079150447069E-3</v>
      </c>
      <c r="E115" s="5">
        <f t="shared" ref="E115:E125" si="18">+NORMDIST(B115,$C$9,$C$10,TRUE)</f>
        <v>0.96406968088707423</v>
      </c>
      <c r="F115" s="14">
        <f t="shared" si="12"/>
        <v>1.8</v>
      </c>
      <c r="G115" s="6">
        <f t="shared" si="13"/>
        <v>7.8950158300894149E-2</v>
      </c>
      <c r="H115" s="6">
        <f t="shared" si="15"/>
        <v>0.96406968088707423</v>
      </c>
    </row>
    <row r="116" spans="2:8" x14ac:dyDescent="0.2">
      <c r="B116" s="2">
        <f t="shared" si="16"/>
        <v>137</v>
      </c>
      <c r="C116" s="5">
        <f t="shared" si="9"/>
        <v>3.6032437168109E-3</v>
      </c>
      <c r="D116" s="5">
        <f t="shared" si="17"/>
        <v>3.6032437168108996E-3</v>
      </c>
      <c r="E116" s="5">
        <f t="shared" si="18"/>
        <v>0.96784322520438626</v>
      </c>
      <c r="F116" s="14">
        <f t="shared" si="12"/>
        <v>1.85</v>
      </c>
      <c r="G116" s="6">
        <f t="shared" si="13"/>
        <v>7.2064874336217985E-2</v>
      </c>
      <c r="H116" s="6">
        <f t="shared" si="15"/>
        <v>0.96784322520438626</v>
      </c>
    </row>
    <row r="117" spans="2:8" x14ac:dyDescent="0.2">
      <c r="B117" s="2">
        <f t="shared" si="16"/>
        <v>138</v>
      </c>
      <c r="C117" s="5">
        <f t="shared" si="9"/>
        <v>3.2807907387338302E-3</v>
      </c>
      <c r="D117" s="5">
        <f t="shared" si="17"/>
        <v>3.2807907387338302E-3</v>
      </c>
      <c r="E117" s="5">
        <f t="shared" si="18"/>
        <v>0.97128344018399815</v>
      </c>
      <c r="F117" s="14">
        <f t="shared" si="12"/>
        <v>1.9</v>
      </c>
      <c r="G117" s="6">
        <f t="shared" si="13"/>
        <v>6.5615814774676595E-2</v>
      </c>
      <c r="H117" s="6">
        <f t="shared" si="15"/>
        <v>0.97128344018399815</v>
      </c>
    </row>
    <row r="118" spans="2:8" x14ac:dyDescent="0.2">
      <c r="B118" s="2">
        <f t="shared" si="16"/>
        <v>139</v>
      </c>
      <c r="C118" s="5">
        <f t="shared" si="9"/>
        <v>2.979735303440804E-3</v>
      </c>
      <c r="D118" s="5">
        <f t="shared" si="17"/>
        <v>2.9797353034408036E-3</v>
      </c>
      <c r="E118" s="5">
        <f t="shared" si="18"/>
        <v>0.97441194047836144</v>
      </c>
      <c r="F118" s="14">
        <f t="shared" si="12"/>
        <v>1.95</v>
      </c>
      <c r="G118" s="6">
        <f t="shared" si="13"/>
        <v>5.9594706068816075E-2</v>
      </c>
      <c r="H118" s="6">
        <f t="shared" si="15"/>
        <v>0.97441194047836144</v>
      </c>
    </row>
    <row r="119" spans="2:8" x14ac:dyDescent="0.2">
      <c r="B119" s="2">
        <f t="shared" si="16"/>
        <v>140</v>
      </c>
      <c r="C119" s="5">
        <f t="shared" si="9"/>
        <v>2.6995483256594031E-3</v>
      </c>
      <c r="D119" s="5">
        <f t="shared" si="17"/>
        <v>2.6995483256594031E-3</v>
      </c>
      <c r="E119" s="5">
        <f t="shared" si="18"/>
        <v>0.97724986805182079</v>
      </c>
      <c r="F119" s="14">
        <f t="shared" si="12"/>
        <v>2</v>
      </c>
      <c r="G119" s="6">
        <f t="shared" si="13"/>
        <v>5.3990966513188063E-2</v>
      </c>
      <c r="H119" s="6">
        <f t="shared" si="15"/>
        <v>0.97724986805182079</v>
      </c>
    </row>
    <row r="120" spans="2:8" x14ac:dyDescent="0.2">
      <c r="B120" s="2">
        <f t="shared" si="16"/>
        <v>141</v>
      </c>
      <c r="C120" s="5">
        <f t="shared" si="9"/>
        <v>2.4396009289591384E-3</v>
      </c>
      <c r="D120" s="5">
        <f t="shared" si="17"/>
        <v>2.439600928959138E-3</v>
      </c>
      <c r="E120" s="5">
        <f t="shared" si="18"/>
        <v>0.97981778459429558</v>
      </c>
      <c r="F120" s="14">
        <f t="shared" si="12"/>
        <v>2.0499999999999998</v>
      </c>
      <c r="G120" s="6">
        <f t="shared" si="13"/>
        <v>4.8792018579182764E-2</v>
      </c>
      <c r="H120" s="6">
        <f t="shared" si="15"/>
        <v>0.97981778459429558</v>
      </c>
    </row>
    <row r="121" spans="2:8" x14ac:dyDescent="0.2">
      <c r="B121" s="2">
        <f t="shared" si="16"/>
        <v>142</v>
      </c>
      <c r="C121" s="5">
        <f t="shared" si="9"/>
        <v>2.1991797990213598E-3</v>
      </c>
      <c r="D121" s="5">
        <f t="shared" si="17"/>
        <v>2.1991797990213598E-3</v>
      </c>
      <c r="E121" s="5">
        <f t="shared" si="18"/>
        <v>0.98213557943718344</v>
      </c>
      <c r="F121" s="14">
        <f t="shared" si="12"/>
        <v>2.1</v>
      </c>
      <c r="G121" s="6">
        <f t="shared" si="13"/>
        <v>4.3983595980427191E-2</v>
      </c>
      <c r="H121" s="6">
        <f t="shared" si="15"/>
        <v>0.98213557943718344</v>
      </c>
    </row>
    <row r="122" spans="2:8" x14ac:dyDescent="0.2">
      <c r="B122" s="2">
        <f t="shared" si="16"/>
        <v>143</v>
      </c>
      <c r="C122" s="5">
        <f t="shared" si="9"/>
        <v>1.9775020794685111E-3</v>
      </c>
      <c r="D122" s="5">
        <f t="shared" si="17"/>
        <v>1.9775020794685111E-3</v>
      </c>
      <c r="E122" s="5">
        <f t="shared" si="18"/>
        <v>0.98422239260890954</v>
      </c>
      <c r="F122" s="14">
        <f t="shared" si="12"/>
        <v>2.15</v>
      </c>
      <c r="G122" s="6">
        <f t="shared" si="13"/>
        <v>3.955004158937022E-2</v>
      </c>
      <c r="H122" s="6">
        <f t="shared" si="15"/>
        <v>0.98422239260890954</v>
      </c>
    </row>
    <row r="123" spans="2:8" x14ac:dyDescent="0.2">
      <c r="B123" s="2">
        <f t="shared" si="16"/>
        <v>144</v>
      </c>
      <c r="C123" s="5">
        <f t="shared" si="9"/>
        <v>1.7737296423115713E-3</v>
      </c>
      <c r="D123" s="5">
        <f t="shared" si="17"/>
        <v>1.773729642311571E-3</v>
      </c>
      <c r="E123" s="5">
        <f t="shared" si="18"/>
        <v>0.98609655248650141</v>
      </c>
      <c r="F123" s="14">
        <f t="shared" si="12"/>
        <v>2.2000000000000002</v>
      </c>
      <c r="G123" s="6">
        <f t="shared" si="13"/>
        <v>3.5474592846231424E-2</v>
      </c>
      <c r="H123" s="6">
        <f t="shared" si="15"/>
        <v>0.98609655248650141</v>
      </c>
    </row>
    <row r="124" spans="2:8" x14ac:dyDescent="0.2">
      <c r="B124" s="2">
        <f t="shared" si="16"/>
        <v>145</v>
      </c>
      <c r="C124" s="5">
        <f t="shared" si="9"/>
        <v>1.5869825917833712E-3</v>
      </c>
      <c r="D124" s="5">
        <f t="shared" si="17"/>
        <v>1.5869825917833708E-3</v>
      </c>
      <c r="E124" s="5">
        <f t="shared" si="18"/>
        <v>0.98777552734495533</v>
      </c>
      <c r="F124" s="14">
        <f t="shared" si="12"/>
        <v>2.25</v>
      </c>
      <c r="G124" s="6">
        <f t="shared" si="13"/>
        <v>3.1739651835667418E-2</v>
      </c>
      <c r="H124" s="6">
        <f t="shared" si="15"/>
        <v>0.98777552734495533</v>
      </c>
    </row>
    <row r="125" spans="2:8" x14ac:dyDescent="0.2">
      <c r="B125" s="2">
        <f t="shared" si="16"/>
        <v>146</v>
      </c>
      <c r="C125" s="5">
        <f t="shared" si="9"/>
        <v>1.4163518870800595E-3</v>
      </c>
      <c r="D125" s="5">
        <f t="shared" si="17"/>
        <v>1.4163518870800593E-3</v>
      </c>
      <c r="E125" s="5">
        <f t="shared" si="18"/>
        <v>0.98927588997832416</v>
      </c>
      <c r="F125" s="14">
        <f t="shared" si="12"/>
        <v>2.2999999999999998</v>
      </c>
      <c r="G125" s="6">
        <f t="shared" si="13"/>
        <v>2.8327037741601186E-2</v>
      </c>
      <c r="H125" s="6">
        <f t="shared" si="15"/>
        <v>0.98927588997832416</v>
      </c>
    </row>
    <row r="126" spans="2:8" x14ac:dyDescent="0.2">
      <c r="B126" s="2">
        <f t="shared" ref="B126:B144" si="19">+B125+1</f>
        <v>147</v>
      </c>
      <c r="C126" s="5">
        <f t="shared" si="9"/>
        <v>1.2609109957597193E-3</v>
      </c>
      <c r="D126" s="5">
        <f t="shared" ref="D126:D144" si="20">+NORMDIST(B126,$C$9,$C$10,)</f>
        <v>1.2609109957597191E-3</v>
      </c>
      <c r="E126" s="5">
        <f t="shared" ref="E126:E144" si="21">+NORMDIST(B126,$C$9,$C$10,TRUE)</f>
        <v>0.99061329446516144</v>
      </c>
      <c r="F126" s="14">
        <f t="shared" si="12"/>
        <v>2.35</v>
      </c>
      <c r="G126" s="6">
        <f t="shared" si="13"/>
        <v>2.5218219915194382E-2</v>
      </c>
      <c r="H126" s="6">
        <f t="shared" si="15"/>
        <v>0.99061329446516144</v>
      </c>
    </row>
    <row r="127" spans="2:8" x14ac:dyDescent="0.2">
      <c r="B127" s="2">
        <f t="shared" si="19"/>
        <v>148</v>
      </c>
      <c r="C127" s="5">
        <f t="shared" si="9"/>
        <v>1.1197265147421451E-3</v>
      </c>
      <c r="D127" s="5">
        <f t="shared" si="20"/>
        <v>1.1197265147421451E-3</v>
      </c>
      <c r="E127" s="5">
        <f t="shared" si="21"/>
        <v>0.99180246407540384</v>
      </c>
      <c r="F127" s="14">
        <f t="shared" si="12"/>
        <v>2.4</v>
      </c>
      <c r="G127" s="6">
        <f t="shared" si="13"/>
        <v>2.2394530294842899E-2</v>
      </c>
      <c r="H127" s="6">
        <f t="shared" si="15"/>
        <v>0.99180246407540384</v>
      </c>
    </row>
    <row r="128" spans="2:8" x14ac:dyDescent="0.2">
      <c r="B128" s="2">
        <f t="shared" si="19"/>
        <v>149</v>
      </c>
      <c r="C128" s="5">
        <f t="shared" si="9"/>
        <v>9.9186771958976582E-4</v>
      </c>
      <c r="D128" s="5">
        <f t="shared" si="20"/>
        <v>9.918677195897656E-4</v>
      </c>
      <c r="E128" s="5">
        <f t="shared" si="21"/>
        <v>0.99285718926472855</v>
      </c>
      <c r="F128" s="14">
        <f t="shared" si="12"/>
        <v>2.4500000000000002</v>
      </c>
      <c r="G128" s="6">
        <f t="shared" si="13"/>
        <v>1.9837354391795313E-2</v>
      </c>
      <c r="H128" s="6">
        <f t="shared" si="15"/>
        <v>0.99285718926472855</v>
      </c>
    </row>
    <row r="129" spans="2:8" x14ac:dyDescent="0.2">
      <c r="B129" s="2">
        <f t="shared" si="19"/>
        <v>150</v>
      </c>
      <c r="C129" s="5">
        <f t="shared" si="9"/>
        <v>8.7641502467842713E-4</v>
      </c>
      <c r="D129" s="5">
        <f t="shared" si="20"/>
        <v>8.7641502467842702E-4</v>
      </c>
      <c r="E129" s="5">
        <f t="shared" si="21"/>
        <v>0.99379033467422384</v>
      </c>
      <c r="F129" s="14">
        <f t="shared" si="12"/>
        <v>2.5</v>
      </c>
      <c r="G129" s="6">
        <f t="shared" si="13"/>
        <v>1.752830049356854E-2</v>
      </c>
      <c r="H129" s="6">
        <f t="shared" si="15"/>
        <v>0.99379033467422384</v>
      </c>
    </row>
    <row r="130" spans="2:8" x14ac:dyDescent="0.2">
      <c r="B130" s="2">
        <f t="shared" si="19"/>
        <v>151</v>
      </c>
      <c r="C130" s="5">
        <f t="shared" si="9"/>
        <v>7.7246735671975876E-4</v>
      </c>
      <c r="D130" s="5">
        <f t="shared" si="20"/>
        <v>7.7246735671975876E-4</v>
      </c>
      <c r="E130" s="5">
        <f t="shared" si="21"/>
        <v>0.99461385404593328</v>
      </c>
      <c r="F130" s="14">
        <f t="shared" si="12"/>
        <v>2.5499999999999998</v>
      </c>
      <c r="G130" s="6">
        <f t="shared" si="13"/>
        <v>1.5449347134395174E-2</v>
      </c>
      <c r="H130" s="6">
        <f t="shared" si="15"/>
        <v>0.99461385404593328</v>
      </c>
    </row>
    <row r="131" spans="2:8" x14ac:dyDescent="0.2">
      <c r="B131" s="2">
        <f t="shared" si="19"/>
        <v>152</v>
      </c>
      <c r="C131" s="5">
        <f t="shared" si="9"/>
        <v>6.7914846168428073E-4</v>
      </c>
      <c r="D131" s="5">
        <f t="shared" si="20"/>
        <v>6.7914846168428062E-4</v>
      </c>
      <c r="E131" s="5">
        <f t="shared" si="21"/>
        <v>0.99533881197628127</v>
      </c>
      <c r="F131" s="14">
        <f t="shared" si="12"/>
        <v>2.6</v>
      </c>
      <c r="G131" s="6">
        <f t="shared" si="13"/>
        <v>1.3582969233685613E-2</v>
      </c>
      <c r="H131" s="6">
        <f t="shared" si="15"/>
        <v>0.99533881197628127</v>
      </c>
    </row>
    <row r="132" spans="2:8" x14ac:dyDescent="0.2">
      <c r="B132" s="2">
        <f t="shared" si="19"/>
        <v>153</v>
      </c>
      <c r="C132" s="5">
        <f t="shared" si="9"/>
        <v>5.9561218038025904E-4</v>
      </c>
      <c r="D132" s="5">
        <f t="shared" si="20"/>
        <v>5.9561218038025894E-4</v>
      </c>
      <c r="E132" s="5">
        <f t="shared" si="21"/>
        <v>0.99597541145724167</v>
      </c>
      <c r="F132" s="14">
        <f t="shared" si="12"/>
        <v>2.65</v>
      </c>
      <c r="G132" s="6">
        <f t="shared" si="13"/>
        <v>1.1912243607605179E-2</v>
      </c>
      <c r="H132" s="6">
        <f t="shared" si="15"/>
        <v>0.99597541145724167</v>
      </c>
    </row>
    <row r="133" spans="2:8" x14ac:dyDescent="0.2">
      <c r="B133" s="2">
        <f t="shared" si="19"/>
        <v>154</v>
      </c>
      <c r="C133" s="5">
        <f t="shared" si="9"/>
        <v>5.2104674072112956E-4</v>
      </c>
      <c r="D133" s="5">
        <f t="shared" si="20"/>
        <v>5.2104674072112956E-4</v>
      </c>
      <c r="E133" s="5">
        <f t="shared" si="21"/>
        <v>0.99653302619695938</v>
      </c>
      <c r="F133" s="14">
        <f t="shared" si="12"/>
        <v>2.7</v>
      </c>
      <c r="G133" s="6">
        <f t="shared" si="13"/>
        <v>1.0420934814422592E-2</v>
      </c>
      <c r="H133" s="6">
        <f t="shared" si="15"/>
        <v>0.99653302619695938</v>
      </c>
    </row>
    <row r="134" spans="2:8" x14ac:dyDescent="0.2">
      <c r="B134" s="2">
        <f t="shared" si="19"/>
        <v>155</v>
      </c>
      <c r="C134" s="5">
        <f t="shared" si="9"/>
        <v>4.546781250795527E-4</v>
      </c>
      <c r="D134" s="5">
        <f t="shared" si="20"/>
        <v>4.5467812507955259E-4</v>
      </c>
      <c r="E134" s="5">
        <f t="shared" si="21"/>
        <v>0.99702023676494544</v>
      </c>
      <c r="F134" s="14">
        <f t="shared" si="12"/>
        <v>2.75</v>
      </c>
      <c r="G134" s="6">
        <f t="shared" si="13"/>
        <v>9.0935625015910529E-3</v>
      </c>
      <c r="H134" s="6">
        <f t="shared" si="15"/>
        <v>0.99702023676494544</v>
      </c>
    </row>
    <row r="135" spans="2:8" x14ac:dyDescent="0.2">
      <c r="B135" s="2">
        <f t="shared" si="19"/>
        <v>156</v>
      </c>
      <c r="C135" s="5">
        <f t="shared" si="9"/>
        <v>3.9577257914899847E-4</v>
      </c>
      <c r="D135" s="5">
        <f t="shared" si="20"/>
        <v>3.9577257914899847E-4</v>
      </c>
      <c r="E135" s="5">
        <f t="shared" si="21"/>
        <v>0.99744486966957202</v>
      </c>
      <c r="F135" s="14">
        <f t="shared" si="12"/>
        <v>2.8</v>
      </c>
      <c r="G135" s="6">
        <f t="shared" si="13"/>
        <v>7.9154515829799686E-3</v>
      </c>
      <c r="H135" s="6">
        <f t="shared" si="15"/>
        <v>0.99744486966957202</v>
      </c>
    </row>
    <row r="136" spans="2:8" x14ac:dyDescent="0.2">
      <c r="B136" s="2">
        <f t="shared" si="19"/>
        <v>157</v>
      </c>
      <c r="C136" s="5">
        <f t="shared" si="9"/>
        <v>3.4363833453069856E-4</v>
      </c>
      <c r="D136" s="5">
        <f t="shared" si="20"/>
        <v>3.4363833453069856E-4</v>
      </c>
      <c r="E136" s="5">
        <f t="shared" si="21"/>
        <v>0.99781403854508677</v>
      </c>
      <c r="F136" s="14">
        <f t="shared" si="12"/>
        <v>2.85</v>
      </c>
      <c r="G136" s="6">
        <f t="shared" si="13"/>
        <v>6.8727666906139712E-3</v>
      </c>
      <c r="H136" s="6">
        <f t="shared" si="15"/>
        <v>0.99781403854508677</v>
      </c>
    </row>
    <row r="137" spans="2:8" x14ac:dyDescent="0.2">
      <c r="B137" s="2">
        <f t="shared" si="19"/>
        <v>158</v>
      </c>
      <c r="C137" s="5">
        <f t="shared" si="9"/>
        <v>2.9762662098879272E-4</v>
      </c>
      <c r="D137" s="5">
        <f t="shared" si="20"/>
        <v>2.9762662098879267E-4</v>
      </c>
      <c r="E137" s="5">
        <f t="shared" si="21"/>
        <v>0.99813418669961596</v>
      </c>
      <c r="F137" s="14">
        <f t="shared" si="12"/>
        <v>2.9</v>
      </c>
      <c r="G137" s="6">
        <f t="shared" si="13"/>
        <v>5.9525324197758538E-3</v>
      </c>
      <c r="H137" s="6">
        <f t="shared" si="15"/>
        <v>0.99813418669961596</v>
      </c>
    </row>
    <row r="138" spans="2:8" x14ac:dyDescent="0.2">
      <c r="B138" s="2">
        <f t="shared" si="19"/>
        <v>159</v>
      </c>
      <c r="C138" s="5">
        <f t="shared" si="9"/>
        <v>2.5713204615269698E-4</v>
      </c>
      <c r="D138" s="5">
        <f t="shared" si="20"/>
        <v>2.5713204615269698E-4</v>
      </c>
      <c r="E138" s="5">
        <f t="shared" si="21"/>
        <v>0.99841113035263518</v>
      </c>
      <c r="F138" s="14">
        <f t="shared" si="12"/>
        <v>2.95</v>
      </c>
      <c r="G138" s="6">
        <f t="shared" si="13"/>
        <v>5.1426409230539392E-3</v>
      </c>
      <c r="H138" s="6">
        <f t="shared" si="15"/>
        <v>0.99841113035263518</v>
      </c>
    </row>
    <row r="139" spans="2:8" x14ac:dyDescent="0.2">
      <c r="B139" s="2">
        <f t="shared" si="19"/>
        <v>160</v>
      </c>
      <c r="C139" s="5">
        <f t="shared" si="9"/>
        <v>2.2159242059690038E-4</v>
      </c>
      <c r="D139" s="5">
        <f t="shared" si="20"/>
        <v>2.2159242059690038E-4</v>
      </c>
      <c r="E139" s="5">
        <f t="shared" si="21"/>
        <v>0.9986501019683699</v>
      </c>
      <c r="F139" s="14">
        <f t="shared" si="12"/>
        <v>3</v>
      </c>
      <c r="G139" s="6">
        <f t="shared" si="13"/>
        <v>4.4318484119380075E-3</v>
      </c>
      <c r="H139" s="6">
        <f t="shared" si="15"/>
        <v>0.9986501019683699</v>
      </c>
    </row>
    <row r="140" spans="2:8" x14ac:dyDescent="0.2">
      <c r="B140" s="2">
        <f t="shared" si="19"/>
        <v>161</v>
      </c>
      <c r="C140" s="5">
        <f t="shared" si="9"/>
        <v>1.9048810491109055E-4</v>
      </c>
      <c r="D140" s="5">
        <f t="shared" si="20"/>
        <v>1.9048810491109053E-4</v>
      </c>
      <c r="E140" s="5">
        <f t="shared" si="21"/>
        <v>0.99885579316897732</v>
      </c>
      <c r="F140" s="14">
        <f t="shared" si="12"/>
        <v>3.05</v>
      </c>
      <c r="G140" s="6">
        <f t="shared" si="13"/>
        <v>3.8097620982218104E-3</v>
      </c>
      <c r="H140" s="6">
        <f t="shared" si="15"/>
        <v>0.99885579316897732</v>
      </c>
    </row>
    <row r="141" spans="2:8" x14ac:dyDescent="0.2">
      <c r="B141" s="2">
        <f t="shared" si="19"/>
        <v>162</v>
      </c>
      <c r="C141" s="5">
        <f t="shared" si="9"/>
        <v>1.6334095280999593E-4</v>
      </c>
      <c r="D141" s="5">
        <f t="shared" si="20"/>
        <v>1.6334095280999593E-4</v>
      </c>
      <c r="E141" s="5">
        <f t="shared" si="21"/>
        <v>0.99903239678678168</v>
      </c>
      <c r="F141" s="14">
        <f t="shared" si="12"/>
        <v>3.1</v>
      </c>
      <c r="G141" s="6">
        <f t="shared" si="13"/>
        <v>3.2668190561999182E-3</v>
      </c>
      <c r="H141" s="6">
        <f t="shared" si="15"/>
        <v>0.99903239678678168</v>
      </c>
    </row>
    <row r="142" spans="2:8" x14ac:dyDescent="0.2">
      <c r="B142" s="2">
        <f t="shared" si="19"/>
        <v>163</v>
      </c>
      <c r="C142" s="5">
        <f t="shared" si="9"/>
        <v>1.3971292074397236E-4</v>
      </c>
      <c r="D142" s="5">
        <f t="shared" si="20"/>
        <v>1.3971292074397234E-4</v>
      </c>
      <c r="E142" s="5">
        <f t="shared" si="21"/>
        <v>0.99918364768717138</v>
      </c>
      <c r="F142" s="14">
        <f t="shared" si="12"/>
        <v>3.15</v>
      </c>
      <c r="G142" s="6">
        <f t="shared" si="13"/>
        <v>2.7942584148794472E-3</v>
      </c>
      <c r="H142" s="6">
        <f t="shared" si="15"/>
        <v>0.99918364768717138</v>
      </c>
    </row>
    <row r="143" spans="2:8" x14ac:dyDescent="0.2">
      <c r="B143" s="2">
        <f t="shared" si="19"/>
        <v>164</v>
      </c>
      <c r="C143" s="5">
        <f>1/($C$10*SQRT(2*PI()))*EXP(-0.5*((B143-$C$9)/$C$10)^2)</f>
        <v>1.1920441007324202E-4</v>
      </c>
      <c r="D143" s="5">
        <f t="shared" si="20"/>
        <v>1.1920441007324202E-4</v>
      </c>
      <c r="E143" s="5">
        <f t="shared" si="21"/>
        <v>0.99931286206208414</v>
      </c>
      <c r="F143" s="14">
        <f t="shared" ref="F143:F144" si="22">+(B143-$C$9)/$C$10</f>
        <v>3.2</v>
      </c>
      <c r="G143" s="6">
        <f t="shared" ref="G143:G144" si="23">+_xlfn.NORM.S.DIST(F143,FALSE)</f>
        <v>2.3840882014648404E-3</v>
      </c>
      <c r="H143" s="6">
        <f t="shared" si="15"/>
        <v>0.99931286206208414</v>
      </c>
    </row>
    <row r="144" spans="2:8" x14ac:dyDescent="0.2">
      <c r="B144" s="2">
        <f t="shared" si="19"/>
        <v>165</v>
      </c>
      <c r="C144" s="5">
        <f>1/($C$10*SQRT(2*PI()))*EXP(-0.5*((B144-$C$9)/$C$10)^2)</f>
        <v>1.0145240286498842E-4</v>
      </c>
      <c r="D144" s="5">
        <f t="shared" si="20"/>
        <v>1.0145240286498842E-4</v>
      </c>
      <c r="E144" s="5">
        <f t="shared" si="21"/>
        <v>0.99942297495760923</v>
      </c>
      <c r="F144" s="14">
        <f t="shared" si="22"/>
        <v>3.25</v>
      </c>
      <c r="G144" s="6">
        <f t="shared" si="23"/>
        <v>2.0290480572997681E-3</v>
      </c>
      <c r="H144" s="6">
        <f t="shared" si="15"/>
        <v>0.99942297495760923</v>
      </c>
    </row>
    <row r="145" spans="2:6" x14ac:dyDescent="0.2">
      <c r="B145" s="2"/>
      <c r="C145" s="9"/>
      <c r="D145" s="9"/>
      <c r="E145" s="9"/>
      <c r="F145" s="9"/>
    </row>
    <row r="146" spans="2:6" x14ac:dyDescent="0.2">
      <c r="B146" s="2"/>
      <c r="C146" s="9"/>
      <c r="D146" s="9"/>
      <c r="E146" s="9"/>
      <c r="F146" s="9"/>
    </row>
    <row r="147" spans="2:6" x14ac:dyDescent="0.2">
      <c r="B147" s="2"/>
      <c r="C147" s="6"/>
    </row>
    <row r="148" spans="2:6" x14ac:dyDescent="0.2">
      <c r="B148" s="2"/>
      <c r="C148" s="6"/>
    </row>
    <row r="149" spans="2:6" x14ac:dyDescent="0.2">
      <c r="B149" s="2"/>
      <c r="C149" s="6"/>
    </row>
    <row r="150" spans="2:6" x14ac:dyDescent="0.2">
      <c r="B150" s="2"/>
      <c r="C150" s="6"/>
    </row>
    <row r="151" spans="2:6" x14ac:dyDescent="0.2">
      <c r="B151" s="2"/>
      <c r="C151" s="6"/>
    </row>
    <row r="152" spans="2:6" x14ac:dyDescent="0.2">
      <c r="B152" s="2"/>
      <c r="C152" s="6"/>
    </row>
    <row r="153" spans="2:6" x14ac:dyDescent="0.2">
      <c r="B153" s="2"/>
      <c r="C153" s="6"/>
    </row>
    <row r="154" spans="2:6" x14ac:dyDescent="0.2">
      <c r="B154" s="2"/>
      <c r="C154" s="6"/>
    </row>
    <row r="155" spans="2:6" x14ac:dyDescent="0.2">
      <c r="B155" s="2"/>
      <c r="C155" s="6"/>
    </row>
    <row r="156" spans="2:6" x14ac:dyDescent="0.2">
      <c r="B156" s="2"/>
      <c r="C156" s="6"/>
    </row>
    <row r="157" spans="2:6" x14ac:dyDescent="0.2">
      <c r="B157" s="2"/>
      <c r="C157" s="6"/>
    </row>
    <row r="158" spans="2:6" x14ac:dyDescent="0.2">
      <c r="B158" s="2"/>
      <c r="C158" s="6"/>
    </row>
    <row r="159" spans="2:6" x14ac:dyDescent="0.2">
      <c r="B159" s="2"/>
      <c r="C159" s="6"/>
    </row>
    <row r="160" spans="2:6" x14ac:dyDescent="0.2">
      <c r="B160" s="2"/>
      <c r="C160" s="6"/>
    </row>
    <row r="161" spans="2:3" x14ac:dyDescent="0.2">
      <c r="B161" s="2"/>
      <c r="C161" s="6"/>
    </row>
    <row r="162" spans="2:3" x14ac:dyDescent="0.2">
      <c r="B162" s="2"/>
      <c r="C162" s="6"/>
    </row>
    <row r="163" spans="2:3" x14ac:dyDescent="0.2">
      <c r="B163" s="2"/>
      <c r="C163" s="6"/>
    </row>
    <row r="164" spans="2:3" x14ac:dyDescent="0.2">
      <c r="B164" s="2"/>
      <c r="C164" s="6"/>
    </row>
    <row r="165" spans="2:3" x14ac:dyDescent="0.2">
      <c r="B165" s="2"/>
      <c r="C165" s="6"/>
    </row>
    <row r="166" spans="2:3" x14ac:dyDescent="0.2">
      <c r="B166" s="2"/>
      <c r="C166" s="6"/>
    </row>
    <row r="167" spans="2:3" x14ac:dyDescent="0.2">
      <c r="B167" s="2"/>
      <c r="C167" s="6"/>
    </row>
    <row r="168" spans="2:3" x14ac:dyDescent="0.2">
      <c r="B168" s="2"/>
      <c r="C168" s="6"/>
    </row>
    <row r="169" spans="2:3" x14ac:dyDescent="0.2">
      <c r="B169" s="2"/>
      <c r="C169" s="6"/>
    </row>
    <row r="170" spans="2:3" x14ac:dyDescent="0.2">
      <c r="B170" s="2"/>
      <c r="C170" s="6"/>
    </row>
    <row r="171" spans="2:3" x14ac:dyDescent="0.2">
      <c r="B171" s="2"/>
      <c r="C171" s="6"/>
    </row>
    <row r="172" spans="2:3" x14ac:dyDescent="0.2">
      <c r="B172" s="2"/>
      <c r="C172" s="6"/>
    </row>
    <row r="173" spans="2:3" x14ac:dyDescent="0.2">
      <c r="B173" s="2"/>
      <c r="C173" s="6"/>
    </row>
    <row r="174" spans="2:3" x14ac:dyDescent="0.2">
      <c r="B174" s="2"/>
      <c r="C174" s="6"/>
    </row>
    <row r="175" spans="2:3" x14ac:dyDescent="0.2">
      <c r="B175" s="2"/>
      <c r="C175" s="6"/>
    </row>
    <row r="176" spans="2:3" x14ac:dyDescent="0.2">
      <c r="B176" s="2"/>
      <c r="C176" s="6"/>
    </row>
    <row r="177" spans="2:3" x14ac:dyDescent="0.2">
      <c r="B177" s="2"/>
      <c r="C177" s="6"/>
    </row>
    <row r="178" spans="2:3" x14ac:dyDescent="0.2">
      <c r="B178" s="2"/>
      <c r="C178" s="6"/>
    </row>
    <row r="179" spans="2:3" x14ac:dyDescent="0.2">
      <c r="B179" s="2"/>
      <c r="C179" s="6"/>
    </row>
    <row r="180" spans="2:3" x14ac:dyDescent="0.2">
      <c r="B180" s="2"/>
      <c r="C180" s="6"/>
    </row>
    <row r="181" spans="2:3" x14ac:dyDescent="0.2">
      <c r="B181" s="2"/>
      <c r="C181" s="6"/>
    </row>
    <row r="182" spans="2:3" x14ac:dyDescent="0.2">
      <c r="B182" s="2"/>
      <c r="C182" s="6"/>
    </row>
    <row r="183" spans="2:3" x14ac:dyDescent="0.2">
      <c r="B183" s="2"/>
      <c r="C183" s="6"/>
    </row>
    <row r="184" spans="2:3" x14ac:dyDescent="0.2">
      <c r="B184" s="2"/>
      <c r="C184" s="6"/>
    </row>
    <row r="185" spans="2:3" x14ac:dyDescent="0.2">
      <c r="B185" s="2"/>
      <c r="C185" s="6"/>
    </row>
    <row r="186" spans="2:3" x14ac:dyDescent="0.2">
      <c r="B186" s="2"/>
      <c r="C186" s="6"/>
    </row>
    <row r="187" spans="2:3" x14ac:dyDescent="0.2">
      <c r="B187" s="2"/>
      <c r="C187" s="6"/>
    </row>
    <row r="188" spans="2:3" x14ac:dyDescent="0.2">
      <c r="B188" s="2"/>
      <c r="C188" s="6"/>
    </row>
    <row r="189" spans="2:3" x14ac:dyDescent="0.2">
      <c r="B189" s="2"/>
      <c r="C189" s="6"/>
    </row>
    <row r="190" spans="2:3" x14ac:dyDescent="0.2">
      <c r="B190" s="2"/>
      <c r="C190" s="6"/>
    </row>
    <row r="191" spans="2:3" x14ac:dyDescent="0.2">
      <c r="B191" s="2"/>
      <c r="C191" s="6"/>
    </row>
    <row r="192" spans="2:3" x14ac:dyDescent="0.2">
      <c r="B192" s="2"/>
      <c r="C192" s="6"/>
    </row>
    <row r="193" spans="2:3" x14ac:dyDescent="0.2">
      <c r="B193" s="2"/>
      <c r="C193" s="6"/>
    </row>
    <row r="194" spans="2:3" x14ac:dyDescent="0.2">
      <c r="B194" s="2"/>
      <c r="C194" s="6"/>
    </row>
    <row r="195" spans="2:3" x14ac:dyDescent="0.2">
      <c r="B195" s="2"/>
      <c r="C195" s="6"/>
    </row>
    <row r="196" spans="2:3" x14ac:dyDescent="0.2">
      <c r="B196" s="2"/>
      <c r="C196" s="6"/>
    </row>
    <row r="197" spans="2:3" x14ac:dyDescent="0.2">
      <c r="B197" s="2"/>
      <c r="C197" s="6"/>
    </row>
    <row r="198" spans="2:3" x14ac:dyDescent="0.2">
      <c r="B198" s="2"/>
      <c r="C198" s="6"/>
    </row>
    <row r="199" spans="2:3" x14ac:dyDescent="0.2">
      <c r="B199" s="2"/>
      <c r="C199" s="6"/>
    </row>
    <row r="200" spans="2:3" x14ac:dyDescent="0.2">
      <c r="B200" s="2"/>
      <c r="C200" s="6"/>
    </row>
    <row r="201" spans="2:3" x14ac:dyDescent="0.2">
      <c r="B201" s="2"/>
      <c r="C201" s="6"/>
    </row>
    <row r="202" spans="2:3" x14ac:dyDescent="0.2">
      <c r="B202" s="2"/>
      <c r="C202" s="6"/>
    </row>
    <row r="203" spans="2:3" x14ac:dyDescent="0.2">
      <c r="B203" s="2"/>
      <c r="C203" s="6"/>
    </row>
    <row r="204" spans="2:3" x14ac:dyDescent="0.2">
      <c r="B204" s="2"/>
      <c r="C204" s="6"/>
    </row>
    <row r="205" spans="2:3" x14ac:dyDescent="0.2">
      <c r="B205" s="2"/>
      <c r="C205" s="6"/>
    </row>
    <row r="206" spans="2:3" x14ac:dyDescent="0.2">
      <c r="B206" s="2"/>
      <c r="C206" s="6"/>
    </row>
    <row r="207" spans="2:3" x14ac:dyDescent="0.2">
      <c r="B207" s="2"/>
      <c r="C207" s="6"/>
    </row>
    <row r="208" spans="2:3" x14ac:dyDescent="0.2">
      <c r="B208" s="2"/>
      <c r="C208" s="6"/>
    </row>
    <row r="209" spans="2:3" x14ac:dyDescent="0.2">
      <c r="B209" s="2"/>
      <c r="C209" s="6"/>
    </row>
    <row r="210" spans="2:3" x14ac:dyDescent="0.2">
      <c r="B210" s="2"/>
      <c r="C210" s="6"/>
    </row>
    <row r="211" spans="2:3" x14ac:dyDescent="0.2">
      <c r="B211" s="2"/>
      <c r="C211" s="6"/>
    </row>
    <row r="212" spans="2:3" x14ac:dyDescent="0.2">
      <c r="B212" s="2"/>
      <c r="C212" s="6"/>
    </row>
    <row r="213" spans="2:3" x14ac:dyDescent="0.2">
      <c r="B213" s="2"/>
      <c r="C213" s="6"/>
    </row>
    <row r="214" spans="2:3" x14ac:dyDescent="0.2">
      <c r="B214" s="2"/>
      <c r="C214" s="6"/>
    </row>
    <row r="215" spans="2:3" x14ac:dyDescent="0.2">
      <c r="B215" s="2"/>
      <c r="C215" s="6"/>
    </row>
    <row r="216" spans="2:3" x14ac:dyDescent="0.2">
      <c r="B216" s="2"/>
      <c r="C216" s="6"/>
    </row>
    <row r="217" spans="2:3" x14ac:dyDescent="0.2">
      <c r="B217" s="2"/>
      <c r="C217" s="6"/>
    </row>
    <row r="218" spans="2:3" x14ac:dyDescent="0.2">
      <c r="B218" s="2"/>
      <c r="C218" s="6"/>
    </row>
    <row r="219" spans="2:3" x14ac:dyDescent="0.2">
      <c r="B219" s="2"/>
      <c r="C219" s="6"/>
    </row>
    <row r="220" spans="2:3" x14ac:dyDescent="0.2">
      <c r="B220" s="2"/>
      <c r="C220" s="6"/>
    </row>
    <row r="221" spans="2:3" x14ac:dyDescent="0.2">
      <c r="B221" s="2"/>
      <c r="C221" s="6"/>
    </row>
    <row r="222" spans="2:3" x14ac:dyDescent="0.2">
      <c r="B222" s="2"/>
      <c r="C222" s="6"/>
    </row>
    <row r="223" spans="2:3" x14ac:dyDescent="0.2">
      <c r="B223" s="2"/>
      <c r="C223" s="6"/>
    </row>
    <row r="224" spans="2:3" x14ac:dyDescent="0.2">
      <c r="B224" s="2"/>
      <c r="C224" s="6"/>
    </row>
    <row r="225" spans="2:3" x14ac:dyDescent="0.2">
      <c r="B225" s="2"/>
      <c r="C225" s="6"/>
    </row>
    <row r="226" spans="2:3" x14ac:dyDescent="0.2">
      <c r="B226" s="2"/>
      <c r="C226" s="6"/>
    </row>
    <row r="227" spans="2:3" x14ac:dyDescent="0.2">
      <c r="B227" s="2"/>
      <c r="C227" s="6"/>
    </row>
    <row r="228" spans="2:3" x14ac:dyDescent="0.2">
      <c r="B228" s="2"/>
      <c r="C228" s="6"/>
    </row>
    <row r="229" spans="2:3" x14ac:dyDescent="0.2">
      <c r="B229" s="2"/>
      <c r="C229" s="6"/>
    </row>
    <row r="230" spans="2:3" x14ac:dyDescent="0.2">
      <c r="B230" s="2"/>
      <c r="C230" s="6"/>
    </row>
    <row r="231" spans="2:3" x14ac:dyDescent="0.2">
      <c r="B231" s="2"/>
      <c r="C231" s="6"/>
    </row>
    <row r="232" spans="2:3" x14ac:dyDescent="0.2">
      <c r="B232" s="2"/>
      <c r="C232" s="6"/>
    </row>
    <row r="233" spans="2:3" x14ac:dyDescent="0.2">
      <c r="B233" s="2"/>
      <c r="C233" s="6"/>
    </row>
    <row r="234" spans="2:3" x14ac:dyDescent="0.2">
      <c r="B234" s="2"/>
      <c r="C234" s="6"/>
    </row>
    <row r="235" spans="2:3" x14ac:dyDescent="0.2">
      <c r="B235" s="2"/>
      <c r="C235" s="6"/>
    </row>
    <row r="236" spans="2:3" x14ac:dyDescent="0.2">
      <c r="B236" s="2"/>
      <c r="C236" s="6"/>
    </row>
    <row r="237" spans="2:3" x14ac:dyDescent="0.2">
      <c r="B237" s="2"/>
      <c r="C237" s="6"/>
    </row>
    <row r="238" spans="2:3" x14ac:dyDescent="0.2">
      <c r="B238" s="2"/>
      <c r="C238" s="6"/>
    </row>
    <row r="239" spans="2:3" x14ac:dyDescent="0.2">
      <c r="B239" s="2"/>
      <c r="C239" s="6"/>
    </row>
    <row r="240" spans="2:3" x14ac:dyDescent="0.2">
      <c r="B240" s="2"/>
      <c r="C240" s="6"/>
    </row>
    <row r="241" spans="2:3" x14ac:dyDescent="0.2">
      <c r="B241" s="2"/>
      <c r="C241" s="6"/>
    </row>
    <row r="242" spans="2:3" x14ac:dyDescent="0.2">
      <c r="B242" s="2"/>
      <c r="C242" s="6"/>
    </row>
    <row r="243" spans="2:3" x14ac:dyDescent="0.2">
      <c r="B243" s="2"/>
      <c r="C243" s="6"/>
    </row>
    <row r="244" spans="2:3" x14ac:dyDescent="0.2">
      <c r="B244" s="2"/>
      <c r="C244" s="6"/>
    </row>
    <row r="245" spans="2:3" x14ac:dyDescent="0.2">
      <c r="B245" s="2"/>
      <c r="C245" s="6"/>
    </row>
    <row r="246" spans="2:3" x14ac:dyDescent="0.2">
      <c r="B246" s="2"/>
      <c r="C246" s="6"/>
    </row>
    <row r="247" spans="2:3" x14ac:dyDescent="0.2">
      <c r="B247" s="2"/>
      <c r="C247" s="6"/>
    </row>
    <row r="248" spans="2:3" x14ac:dyDescent="0.2">
      <c r="B248" s="2"/>
      <c r="C248" s="6"/>
    </row>
    <row r="249" spans="2:3" x14ac:dyDescent="0.2">
      <c r="B249" s="2"/>
      <c r="C249" s="6"/>
    </row>
    <row r="250" spans="2:3" x14ac:dyDescent="0.2">
      <c r="B250" s="2"/>
      <c r="C250" s="6"/>
    </row>
    <row r="251" spans="2:3" x14ac:dyDescent="0.2">
      <c r="B251" s="2"/>
      <c r="C251" s="6"/>
    </row>
    <row r="252" spans="2:3" x14ac:dyDescent="0.2">
      <c r="B252" s="2"/>
      <c r="C252" s="6"/>
    </row>
    <row r="253" spans="2:3" x14ac:dyDescent="0.2">
      <c r="B253" s="2"/>
      <c r="C253" s="6"/>
    </row>
    <row r="254" spans="2:3" x14ac:dyDescent="0.2">
      <c r="B254" s="2"/>
      <c r="C254" s="6"/>
    </row>
    <row r="255" spans="2:3" x14ac:dyDescent="0.2">
      <c r="B255" s="2"/>
      <c r="C255" s="6"/>
    </row>
    <row r="256" spans="2:3" x14ac:dyDescent="0.2">
      <c r="B256" s="2"/>
      <c r="C256" s="6"/>
    </row>
    <row r="257" spans="2:3" x14ac:dyDescent="0.2">
      <c r="B257" s="2"/>
      <c r="C257" s="6"/>
    </row>
    <row r="258" spans="2:3" x14ac:dyDescent="0.2">
      <c r="B258" s="2"/>
      <c r="C258" s="6"/>
    </row>
    <row r="259" spans="2:3" x14ac:dyDescent="0.2">
      <c r="B259" s="2"/>
      <c r="C259" s="6"/>
    </row>
    <row r="260" spans="2:3" x14ac:dyDescent="0.2">
      <c r="B260" s="2"/>
      <c r="C260" s="6"/>
    </row>
    <row r="261" spans="2:3" x14ac:dyDescent="0.2">
      <c r="B261" s="2"/>
      <c r="C261" s="6"/>
    </row>
    <row r="262" spans="2:3" x14ac:dyDescent="0.2">
      <c r="B262" s="2"/>
      <c r="C262" s="6"/>
    </row>
    <row r="263" spans="2:3" x14ac:dyDescent="0.2">
      <c r="B263" s="2"/>
      <c r="C263" s="6"/>
    </row>
    <row r="264" spans="2:3" x14ac:dyDescent="0.2">
      <c r="B264" s="2"/>
      <c r="C264" s="6"/>
    </row>
    <row r="265" spans="2:3" x14ac:dyDescent="0.2">
      <c r="B265" s="2"/>
      <c r="C265" s="6"/>
    </row>
    <row r="266" spans="2:3" x14ac:dyDescent="0.2">
      <c r="B266" s="2"/>
      <c r="C266" s="6"/>
    </row>
    <row r="267" spans="2:3" x14ac:dyDescent="0.2">
      <c r="B267" s="2"/>
      <c r="C267" s="6"/>
    </row>
    <row r="268" spans="2:3" x14ac:dyDescent="0.2">
      <c r="B268" s="2"/>
      <c r="C268" s="6"/>
    </row>
    <row r="269" spans="2:3" x14ac:dyDescent="0.2">
      <c r="B269" s="2"/>
      <c r="C269" s="6"/>
    </row>
    <row r="270" spans="2:3" x14ac:dyDescent="0.2">
      <c r="B270" s="2"/>
      <c r="C270" s="6"/>
    </row>
    <row r="271" spans="2:3" x14ac:dyDescent="0.2">
      <c r="B271" s="2"/>
      <c r="C271" s="6"/>
    </row>
    <row r="272" spans="2:3" x14ac:dyDescent="0.2">
      <c r="B272" s="2"/>
      <c r="C272" s="6"/>
    </row>
    <row r="273" spans="2:3" x14ac:dyDescent="0.2">
      <c r="B273" s="2"/>
      <c r="C273" s="6"/>
    </row>
    <row r="274" spans="2:3" x14ac:dyDescent="0.2">
      <c r="B274" s="2"/>
      <c r="C274" s="6"/>
    </row>
    <row r="275" spans="2:3" x14ac:dyDescent="0.2">
      <c r="B275" s="2"/>
      <c r="C275" s="6"/>
    </row>
    <row r="276" spans="2:3" x14ac:dyDescent="0.2">
      <c r="B276" s="2"/>
      <c r="C276" s="6"/>
    </row>
    <row r="277" spans="2:3" x14ac:dyDescent="0.2">
      <c r="B277" s="2"/>
      <c r="C277" s="6"/>
    </row>
    <row r="278" spans="2:3" x14ac:dyDescent="0.2">
      <c r="B278" s="2"/>
      <c r="C278" s="6"/>
    </row>
    <row r="279" spans="2:3" x14ac:dyDescent="0.2">
      <c r="B279" s="2"/>
      <c r="C279" s="6"/>
    </row>
    <row r="280" spans="2:3" x14ac:dyDescent="0.2">
      <c r="B280" s="2"/>
      <c r="C280" s="6"/>
    </row>
    <row r="281" spans="2:3" x14ac:dyDescent="0.2">
      <c r="B281" s="2"/>
      <c r="C281" s="6"/>
    </row>
    <row r="282" spans="2:3" x14ac:dyDescent="0.2">
      <c r="B282" s="2"/>
      <c r="C282" s="6"/>
    </row>
    <row r="283" spans="2:3" x14ac:dyDescent="0.2">
      <c r="B283" s="2"/>
      <c r="C283" s="6"/>
    </row>
    <row r="284" spans="2:3" x14ac:dyDescent="0.2">
      <c r="B284" s="2"/>
      <c r="C284" s="6"/>
    </row>
    <row r="285" spans="2:3" x14ac:dyDescent="0.2">
      <c r="B285" s="2"/>
      <c r="C285" s="6"/>
    </row>
    <row r="286" spans="2:3" x14ac:dyDescent="0.2">
      <c r="B286" s="2"/>
      <c r="C286" s="6"/>
    </row>
    <row r="287" spans="2:3" x14ac:dyDescent="0.2">
      <c r="B287" s="2"/>
      <c r="C287" s="6"/>
    </row>
    <row r="288" spans="2:3" x14ac:dyDescent="0.2">
      <c r="B288" s="2"/>
      <c r="C288" s="6"/>
    </row>
    <row r="289" spans="2:3" x14ac:dyDescent="0.2">
      <c r="B289" s="2"/>
      <c r="C289" s="6"/>
    </row>
    <row r="290" spans="2:3" x14ac:dyDescent="0.2">
      <c r="B290" s="2"/>
      <c r="C290" s="6"/>
    </row>
    <row r="291" spans="2:3" x14ac:dyDescent="0.2">
      <c r="B291" s="2"/>
      <c r="C291" s="6"/>
    </row>
    <row r="292" spans="2:3" x14ac:dyDescent="0.2">
      <c r="B292" s="2"/>
      <c r="C292" s="6"/>
    </row>
    <row r="293" spans="2:3" x14ac:dyDescent="0.2">
      <c r="B293" s="2"/>
      <c r="C293" s="6"/>
    </row>
    <row r="294" spans="2:3" x14ac:dyDescent="0.2">
      <c r="B294" s="2"/>
      <c r="C294" s="6"/>
    </row>
    <row r="295" spans="2:3" x14ac:dyDescent="0.2">
      <c r="B295" s="2"/>
      <c r="C295" s="6"/>
    </row>
    <row r="296" spans="2:3" x14ac:dyDescent="0.2">
      <c r="B296" s="2"/>
      <c r="C296" s="6"/>
    </row>
    <row r="297" spans="2:3" x14ac:dyDescent="0.2">
      <c r="B297" s="2"/>
      <c r="C297" s="6"/>
    </row>
    <row r="298" spans="2:3" x14ac:dyDescent="0.2">
      <c r="B298" s="2"/>
      <c r="C298" s="6"/>
    </row>
    <row r="299" spans="2:3" x14ac:dyDescent="0.2">
      <c r="B299" s="2"/>
      <c r="C299" s="6"/>
    </row>
    <row r="300" spans="2:3" x14ac:dyDescent="0.2">
      <c r="B300" s="2"/>
      <c r="C300" s="6"/>
    </row>
    <row r="301" spans="2:3" x14ac:dyDescent="0.2">
      <c r="B301" s="2"/>
      <c r="C301" s="6"/>
    </row>
    <row r="302" spans="2:3" x14ac:dyDescent="0.2">
      <c r="B302" s="2"/>
      <c r="C302" s="6"/>
    </row>
    <row r="303" spans="2:3" x14ac:dyDescent="0.2">
      <c r="B303" s="2"/>
      <c r="C303" s="6"/>
    </row>
    <row r="304" spans="2:3" x14ac:dyDescent="0.2">
      <c r="B304" s="2"/>
      <c r="C304" s="6"/>
    </row>
    <row r="305" spans="2:3" x14ac:dyDescent="0.2">
      <c r="B305" s="2"/>
      <c r="C305" s="6"/>
    </row>
    <row r="306" spans="2:3" x14ac:dyDescent="0.2">
      <c r="B306" s="2"/>
      <c r="C306" s="6"/>
    </row>
    <row r="307" spans="2:3" x14ac:dyDescent="0.2">
      <c r="B307" s="2"/>
      <c r="C307" s="6"/>
    </row>
    <row r="308" spans="2:3" x14ac:dyDescent="0.2">
      <c r="B308" s="2"/>
      <c r="C308" s="6"/>
    </row>
    <row r="309" spans="2:3" x14ac:dyDescent="0.2">
      <c r="B309" s="2"/>
      <c r="C309" s="6"/>
    </row>
    <row r="310" spans="2:3" x14ac:dyDescent="0.2">
      <c r="B310" s="2"/>
      <c r="C310" s="6"/>
    </row>
    <row r="311" spans="2:3" x14ac:dyDescent="0.2">
      <c r="B311" s="2"/>
      <c r="C311" s="6"/>
    </row>
    <row r="312" spans="2:3" x14ac:dyDescent="0.2">
      <c r="B312" s="2"/>
      <c r="C312" s="6"/>
    </row>
    <row r="313" spans="2:3" x14ac:dyDescent="0.2">
      <c r="B313" s="2"/>
      <c r="C313" s="6"/>
    </row>
    <row r="314" spans="2:3" x14ac:dyDescent="0.2">
      <c r="B314" s="2"/>
      <c r="C314" s="6"/>
    </row>
    <row r="315" spans="2:3" x14ac:dyDescent="0.2">
      <c r="B315" s="2"/>
      <c r="C315" s="6"/>
    </row>
    <row r="316" spans="2:3" x14ac:dyDescent="0.2">
      <c r="B316" s="2"/>
      <c r="C316" s="6"/>
    </row>
    <row r="317" spans="2:3" x14ac:dyDescent="0.2">
      <c r="B317" s="2"/>
      <c r="C317" s="6"/>
    </row>
    <row r="318" spans="2:3" x14ac:dyDescent="0.2">
      <c r="B318" s="2"/>
      <c r="C318" s="6"/>
    </row>
    <row r="319" spans="2:3" x14ac:dyDescent="0.2">
      <c r="B319" s="2"/>
      <c r="C319" s="6"/>
    </row>
    <row r="320" spans="2:3" x14ac:dyDescent="0.2">
      <c r="B320" s="2"/>
      <c r="C320" s="6"/>
    </row>
    <row r="321" spans="2:3" x14ac:dyDescent="0.2">
      <c r="B321" s="2"/>
      <c r="C321" s="6"/>
    </row>
    <row r="322" spans="2:3" x14ac:dyDescent="0.2">
      <c r="B322" s="2"/>
      <c r="C322" s="6"/>
    </row>
    <row r="323" spans="2:3" x14ac:dyDescent="0.2">
      <c r="B323" s="2"/>
      <c r="C323" s="6"/>
    </row>
    <row r="324" spans="2:3" x14ac:dyDescent="0.2">
      <c r="B324" s="2"/>
      <c r="C324" s="6"/>
    </row>
    <row r="325" spans="2:3" x14ac:dyDescent="0.2">
      <c r="B325" s="2"/>
      <c r="C325" s="6"/>
    </row>
    <row r="326" spans="2:3" x14ac:dyDescent="0.2">
      <c r="B326" s="2"/>
      <c r="C326" s="6"/>
    </row>
    <row r="327" spans="2:3" x14ac:dyDescent="0.2">
      <c r="B327" s="2"/>
      <c r="C327" s="6"/>
    </row>
    <row r="328" spans="2:3" x14ac:dyDescent="0.2">
      <c r="B328" s="2"/>
      <c r="C328" s="6"/>
    </row>
    <row r="329" spans="2:3" x14ac:dyDescent="0.2">
      <c r="B329" s="2"/>
      <c r="C329" s="6"/>
    </row>
    <row r="330" spans="2:3" x14ac:dyDescent="0.2">
      <c r="B330" s="2"/>
      <c r="C330" s="6"/>
    </row>
    <row r="331" spans="2:3" x14ac:dyDescent="0.2">
      <c r="B331" s="2"/>
      <c r="C331" s="6"/>
    </row>
    <row r="332" spans="2:3" x14ac:dyDescent="0.2">
      <c r="B332" s="2"/>
      <c r="C332" s="6"/>
    </row>
    <row r="333" spans="2:3" x14ac:dyDescent="0.2">
      <c r="B333" s="2"/>
      <c r="C333" s="6"/>
    </row>
    <row r="334" spans="2:3" x14ac:dyDescent="0.2">
      <c r="B334" s="2"/>
      <c r="C334" s="6"/>
    </row>
    <row r="335" spans="2:3" x14ac:dyDescent="0.2">
      <c r="B335" s="2"/>
      <c r="C335" s="6"/>
    </row>
    <row r="336" spans="2:3" x14ac:dyDescent="0.2">
      <c r="B336" s="2"/>
      <c r="C336" s="6"/>
    </row>
    <row r="337" spans="2:3" x14ac:dyDescent="0.2">
      <c r="B337" s="2"/>
      <c r="C337" s="6"/>
    </row>
    <row r="338" spans="2:3" x14ac:dyDescent="0.2">
      <c r="B338" s="2"/>
      <c r="C338" s="6"/>
    </row>
    <row r="339" spans="2:3" x14ac:dyDescent="0.2">
      <c r="B339" s="2"/>
      <c r="C339" s="6"/>
    </row>
    <row r="340" spans="2:3" x14ac:dyDescent="0.2">
      <c r="B340" s="2"/>
      <c r="C340" s="6"/>
    </row>
    <row r="341" spans="2:3" x14ac:dyDescent="0.2">
      <c r="B341" s="2"/>
      <c r="C341" s="6"/>
    </row>
    <row r="342" spans="2:3" x14ac:dyDescent="0.2">
      <c r="B342" s="2"/>
      <c r="C342" s="6"/>
    </row>
    <row r="343" spans="2:3" x14ac:dyDescent="0.2">
      <c r="B343" s="2"/>
      <c r="C343" s="6"/>
    </row>
    <row r="344" spans="2:3" x14ac:dyDescent="0.2">
      <c r="B344" s="2"/>
      <c r="C344" s="6"/>
    </row>
    <row r="345" spans="2:3" x14ac:dyDescent="0.2">
      <c r="B345" s="2"/>
      <c r="C345" s="6"/>
    </row>
    <row r="346" spans="2:3" x14ac:dyDescent="0.2">
      <c r="B346" s="2"/>
      <c r="C346" s="6"/>
    </row>
    <row r="347" spans="2:3" x14ac:dyDescent="0.2">
      <c r="B347" s="2"/>
      <c r="C347" s="6"/>
    </row>
    <row r="348" spans="2:3" x14ac:dyDescent="0.2">
      <c r="B348" s="2"/>
      <c r="C348" s="6"/>
    </row>
    <row r="349" spans="2:3" x14ac:dyDescent="0.2">
      <c r="B349" s="2"/>
      <c r="C349" s="6"/>
    </row>
    <row r="350" spans="2:3" x14ac:dyDescent="0.2">
      <c r="B350" s="2"/>
      <c r="C350" s="6"/>
    </row>
    <row r="351" spans="2:3" x14ac:dyDescent="0.2">
      <c r="B351" s="2"/>
      <c r="C351" s="6"/>
    </row>
    <row r="352" spans="2:3" x14ac:dyDescent="0.2">
      <c r="B352" s="2"/>
      <c r="C352" s="6"/>
    </row>
    <row r="353" spans="2:3" x14ac:dyDescent="0.2">
      <c r="B353" s="2"/>
      <c r="C353" s="6"/>
    </row>
    <row r="354" spans="2:3" x14ac:dyDescent="0.2">
      <c r="B354" s="2"/>
      <c r="C354" s="6"/>
    </row>
    <row r="355" spans="2:3" x14ac:dyDescent="0.2">
      <c r="B355" s="2"/>
      <c r="C355" s="6"/>
    </row>
    <row r="356" spans="2:3" x14ac:dyDescent="0.2">
      <c r="B356" s="2"/>
      <c r="C356" s="6"/>
    </row>
    <row r="357" spans="2:3" x14ac:dyDescent="0.2">
      <c r="B357" s="2"/>
      <c r="C357" s="6"/>
    </row>
    <row r="358" spans="2:3" x14ac:dyDescent="0.2">
      <c r="B358" s="2"/>
      <c r="C358" s="6"/>
    </row>
    <row r="359" spans="2:3" x14ac:dyDescent="0.2">
      <c r="B359" s="2"/>
      <c r="C359" s="6"/>
    </row>
    <row r="360" spans="2:3" x14ac:dyDescent="0.2">
      <c r="B360" s="2"/>
      <c r="C360" s="6"/>
    </row>
    <row r="361" spans="2:3" x14ac:dyDescent="0.2">
      <c r="B361" s="2"/>
      <c r="C361" s="6"/>
    </row>
    <row r="362" spans="2:3" x14ac:dyDescent="0.2">
      <c r="B362" s="2"/>
      <c r="C362" s="6"/>
    </row>
    <row r="363" spans="2:3" x14ac:dyDescent="0.2">
      <c r="B363" s="2"/>
      <c r="C363" s="6"/>
    </row>
    <row r="364" spans="2:3" x14ac:dyDescent="0.2">
      <c r="B364" s="2"/>
      <c r="C364" s="6"/>
    </row>
    <row r="365" spans="2:3" x14ac:dyDescent="0.2">
      <c r="B365" s="2"/>
      <c r="C365" s="6"/>
    </row>
    <row r="366" spans="2:3" x14ac:dyDescent="0.2">
      <c r="B366" s="2"/>
      <c r="C366" s="6"/>
    </row>
    <row r="367" spans="2:3" x14ac:dyDescent="0.2">
      <c r="B367" s="2"/>
      <c r="C367" s="6"/>
    </row>
    <row r="368" spans="2:3" x14ac:dyDescent="0.2">
      <c r="B368" s="2"/>
      <c r="C368" s="6"/>
    </row>
    <row r="369" spans="2:3" x14ac:dyDescent="0.2">
      <c r="B369" s="2"/>
      <c r="C369" s="6"/>
    </row>
    <row r="370" spans="2:3" x14ac:dyDescent="0.2">
      <c r="B370" s="2"/>
      <c r="C370" s="6"/>
    </row>
    <row r="371" spans="2:3" x14ac:dyDescent="0.2">
      <c r="B371" s="2"/>
      <c r="C371" s="6"/>
    </row>
    <row r="372" spans="2:3" x14ac:dyDescent="0.2">
      <c r="B372" s="2"/>
      <c r="C372" s="6"/>
    </row>
    <row r="373" spans="2:3" x14ac:dyDescent="0.2">
      <c r="B373" s="2"/>
      <c r="C373" s="6"/>
    </row>
    <row r="374" spans="2:3" x14ac:dyDescent="0.2">
      <c r="B374" s="2"/>
      <c r="C374" s="6"/>
    </row>
    <row r="375" spans="2:3" x14ac:dyDescent="0.2">
      <c r="B375" s="2"/>
      <c r="C375" s="6"/>
    </row>
    <row r="376" spans="2:3" x14ac:dyDescent="0.2">
      <c r="B376" s="2"/>
      <c r="C376" s="6"/>
    </row>
    <row r="377" spans="2:3" x14ac:dyDescent="0.2">
      <c r="B377" s="2"/>
      <c r="C377" s="6"/>
    </row>
    <row r="378" spans="2:3" x14ac:dyDescent="0.2">
      <c r="B378" s="2"/>
      <c r="C378" s="6"/>
    </row>
    <row r="379" spans="2:3" x14ac:dyDescent="0.2">
      <c r="B379" s="2"/>
      <c r="C379" s="6"/>
    </row>
    <row r="380" spans="2:3" x14ac:dyDescent="0.2">
      <c r="B380" s="2"/>
      <c r="C380" s="6"/>
    </row>
    <row r="381" spans="2:3" x14ac:dyDescent="0.2">
      <c r="B381" s="2"/>
      <c r="C381" s="6"/>
    </row>
    <row r="382" spans="2:3" x14ac:dyDescent="0.2">
      <c r="B382" s="2"/>
      <c r="C382" s="6"/>
    </row>
    <row r="383" spans="2:3" x14ac:dyDescent="0.2">
      <c r="B383" s="2"/>
      <c r="C383" s="6"/>
    </row>
    <row r="384" spans="2:3" x14ac:dyDescent="0.2">
      <c r="B384" s="2"/>
      <c r="C384" s="6"/>
    </row>
    <row r="385" spans="2:3" x14ac:dyDescent="0.2">
      <c r="B385" s="2"/>
      <c r="C385" s="6"/>
    </row>
    <row r="386" spans="2:3" x14ac:dyDescent="0.2">
      <c r="B386" s="2"/>
      <c r="C386" s="6"/>
    </row>
    <row r="387" spans="2:3" x14ac:dyDescent="0.2">
      <c r="B387" s="2"/>
      <c r="C387" s="6"/>
    </row>
    <row r="388" spans="2:3" x14ac:dyDescent="0.2">
      <c r="B388" s="2"/>
      <c r="C388" s="6"/>
    </row>
    <row r="389" spans="2:3" x14ac:dyDescent="0.2">
      <c r="B389" s="2"/>
      <c r="C389" s="6"/>
    </row>
    <row r="390" spans="2:3" x14ac:dyDescent="0.2">
      <c r="B390" s="2"/>
      <c r="C390" s="6"/>
    </row>
    <row r="391" spans="2:3" x14ac:dyDescent="0.2">
      <c r="B391" s="2"/>
      <c r="C391" s="6"/>
    </row>
    <row r="392" spans="2:3" x14ac:dyDescent="0.2">
      <c r="B392" s="2"/>
      <c r="C392" s="6"/>
    </row>
    <row r="393" spans="2:3" x14ac:dyDescent="0.2">
      <c r="B393" s="2"/>
      <c r="C393" s="6"/>
    </row>
    <row r="394" spans="2:3" x14ac:dyDescent="0.2">
      <c r="B394" s="2"/>
      <c r="C394" s="6"/>
    </row>
    <row r="395" spans="2:3" x14ac:dyDescent="0.2">
      <c r="B395" s="2"/>
      <c r="C395" s="6"/>
    </row>
    <row r="396" spans="2:3" x14ac:dyDescent="0.2">
      <c r="B396" s="2"/>
      <c r="C396" s="6"/>
    </row>
    <row r="397" spans="2:3" x14ac:dyDescent="0.2">
      <c r="B397" s="2"/>
      <c r="C397" s="6"/>
    </row>
    <row r="398" spans="2:3" x14ac:dyDescent="0.2">
      <c r="B398" s="2"/>
      <c r="C398" s="6"/>
    </row>
    <row r="399" spans="2:3" x14ac:dyDescent="0.2">
      <c r="B399" s="2"/>
      <c r="C399" s="6"/>
    </row>
    <row r="400" spans="2:3" x14ac:dyDescent="0.2">
      <c r="B400" s="2"/>
      <c r="C400" s="6"/>
    </row>
    <row r="401" spans="2:3" x14ac:dyDescent="0.2">
      <c r="B401" s="2"/>
      <c r="C401" s="6"/>
    </row>
    <row r="402" spans="2:3" x14ac:dyDescent="0.2">
      <c r="B402" s="2"/>
      <c r="C402" s="6"/>
    </row>
    <row r="403" spans="2:3" x14ac:dyDescent="0.2">
      <c r="B403" s="2"/>
      <c r="C403" s="6"/>
    </row>
    <row r="404" spans="2:3" x14ac:dyDescent="0.2">
      <c r="B404" s="2"/>
      <c r="C404" s="6"/>
    </row>
    <row r="405" spans="2:3" x14ac:dyDescent="0.2">
      <c r="B405" s="2"/>
      <c r="C405" s="6"/>
    </row>
    <row r="406" spans="2:3" x14ac:dyDescent="0.2">
      <c r="B406" s="2"/>
      <c r="C406" s="6"/>
    </row>
    <row r="407" spans="2:3" x14ac:dyDescent="0.2">
      <c r="B407" s="2"/>
      <c r="C407" s="6"/>
    </row>
    <row r="408" spans="2:3" x14ac:dyDescent="0.2">
      <c r="B408" s="2"/>
      <c r="C408" s="6"/>
    </row>
    <row r="409" spans="2:3" x14ac:dyDescent="0.2">
      <c r="B409" s="2"/>
      <c r="C409" s="6"/>
    </row>
    <row r="410" spans="2:3" x14ac:dyDescent="0.2">
      <c r="B410" s="2"/>
      <c r="C410" s="6"/>
    </row>
    <row r="411" spans="2:3" x14ac:dyDescent="0.2">
      <c r="B411" s="2"/>
      <c r="C411" s="6"/>
    </row>
    <row r="412" spans="2:3" x14ac:dyDescent="0.2">
      <c r="B412" s="2"/>
      <c r="C412" s="6"/>
    </row>
    <row r="413" spans="2:3" x14ac:dyDescent="0.2">
      <c r="B413" s="2"/>
      <c r="C413" s="6"/>
    </row>
    <row r="414" spans="2:3" x14ac:dyDescent="0.2">
      <c r="B414" s="2"/>
      <c r="C414" s="6"/>
    </row>
    <row r="415" spans="2:3" x14ac:dyDescent="0.2">
      <c r="B415" s="2"/>
      <c r="C415" s="6"/>
    </row>
    <row r="416" spans="2:3" x14ac:dyDescent="0.2">
      <c r="B416" s="2"/>
      <c r="C416" s="6"/>
    </row>
    <row r="417" spans="2:3" x14ac:dyDescent="0.2">
      <c r="B417" s="2"/>
      <c r="C417" s="6"/>
    </row>
    <row r="418" spans="2:3" x14ac:dyDescent="0.2">
      <c r="B418" s="2"/>
      <c r="C418" s="6"/>
    </row>
    <row r="419" spans="2:3" x14ac:dyDescent="0.2">
      <c r="B419" s="2"/>
      <c r="C419" s="6"/>
    </row>
    <row r="420" spans="2:3" x14ac:dyDescent="0.2">
      <c r="B420" s="2"/>
      <c r="C420" s="6"/>
    </row>
    <row r="421" spans="2:3" x14ac:dyDescent="0.2">
      <c r="B421" s="2"/>
      <c r="C421" s="6"/>
    </row>
    <row r="422" spans="2:3" x14ac:dyDescent="0.2">
      <c r="B422" s="2"/>
      <c r="C422" s="6"/>
    </row>
    <row r="423" spans="2:3" x14ac:dyDescent="0.2">
      <c r="B423" s="2"/>
      <c r="C423" s="6"/>
    </row>
    <row r="424" spans="2:3" x14ac:dyDescent="0.2">
      <c r="B424" s="2"/>
      <c r="C424" s="6"/>
    </row>
    <row r="425" spans="2:3" x14ac:dyDescent="0.2">
      <c r="B425" s="2"/>
      <c r="C425" s="6"/>
    </row>
    <row r="426" spans="2:3" x14ac:dyDescent="0.2">
      <c r="B426" s="2"/>
      <c r="C426" s="6"/>
    </row>
    <row r="427" spans="2:3" x14ac:dyDescent="0.2">
      <c r="B427" s="2"/>
      <c r="C427" s="6"/>
    </row>
    <row r="428" spans="2:3" x14ac:dyDescent="0.2">
      <c r="B428" s="2"/>
      <c r="C428" s="6"/>
    </row>
    <row r="429" spans="2:3" x14ac:dyDescent="0.2">
      <c r="B429" s="2"/>
      <c r="C429" s="6"/>
    </row>
    <row r="430" spans="2:3" x14ac:dyDescent="0.2">
      <c r="B430" s="2"/>
      <c r="C430" s="6"/>
    </row>
    <row r="431" spans="2:3" x14ac:dyDescent="0.2">
      <c r="B431" s="2"/>
      <c r="C431" s="6"/>
    </row>
    <row r="432" spans="2:3" x14ac:dyDescent="0.2">
      <c r="B432" s="2"/>
      <c r="C432" s="6"/>
    </row>
    <row r="433" spans="2:3" x14ac:dyDescent="0.2">
      <c r="B433" s="2"/>
      <c r="C433" s="6"/>
    </row>
    <row r="434" spans="2:3" x14ac:dyDescent="0.2">
      <c r="B434" s="2"/>
      <c r="C434" s="6"/>
    </row>
    <row r="435" spans="2:3" x14ac:dyDescent="0.2">
      <c r="B435" s="2"/>
      <c r="C435" s="6"/>
    </row>
    <row r="436" spans="2:3" x14ac:dyDescent="0.2">
      <c r="B436" s="2"/>
      <c r="C436" s="6"/>
    </row>
    <row r="437" spans="2:3" x14ac:dyDescent="0.2">
      <c r="B437" s="2"/>
      <c r="C437" s="6"/>
    </row>
    <row r="438" spans="2:3" x14ac:dyDescent="0.2">
      <c r="B438" s="2"/>
      <c r="C438" s="6"/>
    </row>
    <row r="439" spans="2:3" x14ac:dyDescent="0.2">
      <c r="B439" s="2"/>
      <c r="C439" s="6"/>
    </row>
    <row r="440" spans="2:3" x14ac:dyDescent="0.2">
      <c r="B440" s="2"/>
      <c r="C440" s="6"/>
    </row>
    <row r="441" spans="2:3" x14ac:dyDescent="0.2">
      <c r="B441" s="2"/>
      <c r="C441" s="6"/>
    </row>
    <row r="442" spans="2:3" x14ac:dyDescent="0.2">
      <c r="B442" s="2"/>
      <c r="C442" s="6"/>
    </row>
    <row r="443" spans="2:3" x14ac:dyDescent="0.2">
      <c r="B443" s="2"/>
      <c r="C443" s="6"/>
    </row>
    <row r="444" spans="2:3" x14ac:dyDescent="0.2">
      <c r="B444" s="2"/>
      <c r="C444" s="6"/>
    </row>
    <row r="445" spans="2:3" x14ac:dyDescent="0.2">
      <c r="B445" s="2"/>
      <c r="C445" s="6"/>
    </row>
    <row r="446" spans="2:3" x14ac:dyDescent="0.2">
      <c r="B446" s="2"/>
      <c r="C446" s="6"/>
    </row>
    <row r="447" spans="2:3" x14ac:dyDescent="0.2">
      <c r="B447" s="2"/>
      <c r="C447" s="6"/>
    </row>
    <row r="448" spans="2:3" x14ac:dyDescent="0.2">
      <c r="B448" s="2"/>
      <c r="C448" s="6"/>
    </row>
    <row r="449" spans="2:3" x14ac:dyDescent="0.2">
      <c r="B449" s="2"/>
      <c r="C449" s="6"/>
    </row>
    <row r="450" spans="2:3" x14ac:dyDescent="0.2">
      <c r="B450" s="2"/>
      <c r="C450" s="6"/>
    </row>
    <row r="451" spans="2:3" x14ac:dyDescent="0.2">
      <c r="B451" s="2"/>
      <c r="C451" s="6"/>
    </row>
    <row r="452" spans="2:3" x14ac:dyDescent="0.2">
      <c r="B452" s="2"/>
      <c r="C452" s="6"/>
    </row>
    <row r="453" spans="2:3" x14ac:dyDescent="0.2">
      <c r="B453" s="2"/>
      <c r="C453" s="6"/>
    </row>
    <row r="454" spans="2:3" x14ac:dyDescent="0.2">
      <c r="B454" s="2"/>
      <c r="C454" s="6"/>
    </row>
    <row r="455" spans="2:3" x14ac:dyDescent="0.2">
      <c r="B455" s="2"/>
      <c r="C455" s="6"/>
    </row>
    <row r="456" spans="2:3" x14ac:dyDescent="0.2">
      <c r="B456" s="2"/>
      <c r="C456" s="6"/>
    </row>
    <row r="457" spans="2:3" x14ac:dyDescent="0.2">
      <c r="B457" s="2"/>
      <c r="C457" s="6"/>
    </row>
    <row r="458" spans="2:3" x14ac:dyDescent="0.2">
      <c r="B458" s="2"/>
      <c r="C458" s="6"/>
    </row>
    <row r="459" spans="2:3" x14ac:dyDescent="0.2">
      <c r="B459" s="2"/>
      <c r="C459" s="6"/>
    </row>
    <row r="460" spans="2:3" x14ac:dyDescent="0.2">
      <c r="B460" s="2"/>
      <c r="C460" s="6"/>
    </row>
    <row r="461" spans="2:3" x14ac:dyDescent="0.2">
      <c r="B461" s="2"/>
      <c r="C461" s="6"/>
    </row>
    <row r="462" spans="2:3" x14ac:dyDescent="0.2">
      <c r="B462" s="2"/>
      <c r="C462" s="6"/>
    </row>
    <row r="463" spans="2:3" x14ac:dyDescent="0.2">
      <c r="B463" s="2"/>
      <c r="C463" s="6"/>
    </row>
    <row r="464" spans="2:3" x14ac:dyDescent="0.2">
      <c r="B464" s="2"/>
      <c r="C464" s="6"/>
    </row>
    <row r="465" spans="2:3" x14ac:dyDescent="0.2">
      <c r="B465" s="2"/>
      <c r="C465" s="6"/>
    </row>
    <row r="466" spans="2:3" x14ac:dyDescent="0.2">
      <c r="B466" s="2"/>
      <c r="C466" s="6"/>
    </row>
    <row r="467" spans="2:3" x14ac:dyDescent="0.2">
      <c r="B467" s="2"/>
      <c r="C467" s="6"/>
    </row>
    <row r="468" spans="2:3" x14ac:dyDescent="0.2">
      <c r="B468" s="2"/>
      <c r="C468" s="6"/>
    </row>
    <row r="469" spans="2:3" x14ac:dyDescent="0.2">
      <c r="B469" s="2"/>
      <c r="C469" s="6"/>
    </row>
    <row r="470" spans="2:3" x14ac:dyDescent="0.2">
      <c r="B470" s="2"/>
      <c r="C470" s="6"/>
    </row>
    <row r="471" spans="2:3" x14ac:dyDescent="0.2">
      <c r="B471" s="2"/>
      <c r="C471" s="6"/>
    </row>
    <row r="472" spans="2:3" x14ac:dyDescent="0.2">
      <c r="B472" s="2"/>
      <c r="C472" s="6"/>
    </row>
    <row r="473" spans="2:3" x14ac:dyDescent="0.2">
      <c r="B473" s="2"/>
      <c r="C473" s="6"/>
    </row>
    <row r="474" spans="2:3" x14ac:dyDescent="0.2">
      <c r="B474" s="2"/>
      <c r="C474" s="6"/>
    </row>
    <row r="475" spans="2:3" x14ac:dyDescent="0.2">
      <c r="B475" s="2"/>
      <c r="C475" s="6"/>
    </row>
    <row r="476" spans="2:3" x14ac:dyDescent="0.2">
      <c r="B476" s="2"/>
      <c r="C476" s="6"/>
    </row>
    <row r="477" spans="2:3" x14ac:dyDescent="0.2">
      <c r="B477" s="2"/>
      <c r="C477" s="6"/>
    </row>
    <row r="478" spans="2:3" x14ac:dyDescent="0.2">
      <c r="B478" s="2"/>
      <c r="C478" s="6"/>
    </row>
    <row r="479" spans="2:3" x14ac:dyDescent="0.2">
      <c r="B479" s="2"/>
      <c r="C479" s="6"/>
    </row>
    <row r="480" spans="2:3" x14ac:dyDescent="0.2">
      <c r="B480" s="2"/>
      <c r="C480" s="6"/>
    </row>
    <row r="481" spans="2:3" x14ac:dyDescent="0.2">
      <c r="B481" s="2"/>
      <c r="C481" s="6"/>
    </row>
    <row r="482" spans="2:3" x14ac:dyDescent="0.2">
      <c r="B482" s="2"/>
      <c r="C482" s="6"/>
    </row>
    <row r="483" spans="2:3" x14ac:dyDescent="0.2">
      <c r="B483" s="2"/>
      <c r="C483" s="6"/>
    </row>
    <row r="484" spans="2:3" x14ac:dyDescent="0.2">
      <c r="B484" s="2"/>
      <c r="C484" s="6"/>
    </row>
    <row r="485" spans="2:3" x14ac:dyDescent="0.2">
      <c r="B485" s="2"/>
      <c r="C485" s="6"/>
    </row>
    <row r="486" spans="2:3" x14ac:dyDescent="0.2">
      <c r="B486" s="2"/>
      <c r="C486" s="6"/>
    </row>
    <row r="487" spans="2:3" x14ac:dyDescent="0.2">
      <c r="B487" s="2"/>
      <c r="C487" s="6"/>
    </row>
    <row r="488" spans="2:3" x14ac:dyDescent="0.2">
      <c r="B488" s="2"/>
      <c r="C488" s="6"/>
    </row>
    <row r="489" spans="2:3" x14ac:dyDescent="0.2">
      <c r="B489" s="2"/>
      <c r="C489" s="6"/>
    </row>
    <row r="490" spans="2:3" x14ac:dyDescent="0.2">
      <c r="B490" s="2"/>
      <c r="C490" s="6"/>
    </row>
    <row r="491" spans="2:3" x14ac:dyDescent="0.2">
      <c r="B491" s="2"/>
      <c r="C491" s="6"/>
    </row>
    <row r="492" spans="2:3" x14ac:dyDescent="0.2">
      <c r="B492" s="2"/>
      <c r="C492" s="6"/>
    </row>
    <row r="493" spans="2:3" x14ac:dyDescent="0.2">
      <c r="B493" s="2"/>
      <c r="C493" s="6"/>
    </row>
    <row r="494" spans="2:3" x14ac:dyDescent="0.2">
      <c r="B494" s="2"/>
      <c r="C494" s="6"/>
    </row>
    <row r="495" spans="2:3" x14ac:dyDescent="0.2">
      <c r="B495" s="2"/>
      <c r="C495" s="6"/>
    </row>
    <row r="496" spans="2:3" x14ac:dyDescent="0.2">
      <c r="B496" s="2"/>
      <c r="C496" s="6"/>
    </row>
    <row r="497" spans="2:3" x14ac:dyDescent="0.2">
      <c r="B497" s="2"/>
      <c r="C497" s="6"/>
    </row>
    <row r="498" spans="2:3" x14ac:dyDescent="0.2">
      <c r="B498" s="2"/>
      <c r="C498" s="6"/>
    </row>
    <row r="499" spans="2:3" x14ac:dyDescent="0.2">
      <c r="B499" s="2"/>
      <c r="C499" s="6"/>
    </row>
    <row r="500" spans="2:3" x14ac:dyDescent="0.2">
      <c r="B500" s="2"/>
      <c r="C500" s="6"/>
    </row>
    <row r="501" spans="2:3" x14ac:dyDescent="0.2">
      <c r="B501" s="2"/>
      <c r="C501" s="6"/>
    </row>
    <row r="502" spans="2:3" x14ac:dyDescent="0.2">
      <c r="B502" s="2"/>
      <c r="C502" s="6"/>
    </row>
    <row r="503" spans="2:3" x14ac:dyDescent="0.2">
      <c r="B503" s="2"/>
      <c r="C503" s="6"/>
    </row>
    <row r="504" spans="2:3" x14ac:dyDescent="0.2">
      <c r="B504" s="2"/>
      <c r="C504" s="6"/>
    </row>
    <row r="505" spans="2:3" x14ac:dyDescent="0.2">
      <c r="B505" s="2"/>
      <c r="C505" s="6"/>
    </row>
    <row r="506" spans="2:3" x14ac:dyDescent="0.2">
      <c r="B506" s="2"/>
      <c r="C506" s="6"/>
    </row>
    <row r="507" spans="2:3" x14ac:dyDescent="0.2">
      <c r="B507" s="2"/>
      <c r="C507" s="6"/>
    </row>
    <row r="508" spans="2:3" x14ac:dyDescent="0.2">
      <c r="B508" s="2"/>
      <c r="C508" s="6"/>
    </row>
    <row r="509" spans="2:3" x14ac:dyDescent="0.2">
      <c r="B509" s="2"/>
      <c r="C509" s="6"/>
    </row>
    <row r="510" spans="2:3" x14ac:dyDescent="0.2">
      <c r="B510" s="2"/>
      <c r="C510" s="6"/>
    </row>
    <row r="511" spans="2:3" x14ac:dyDescent="0.2">
      <c r="B511" s="2"/>
      <c r="C511" s="6"/>
    </row>
    <row r="512" spans="2:3" x14ac:dyDescent="0.2">
      <c r="B512" s="2"/>
      <c r="C512" s="6"/>
    </row>
    <row r="513" spans="2:3" x14ac:dyDescent="0.2">
      <c r="B513" s="2"/>
      <c r="C513" s="6"/>
    </row>
    <row r="514" spans="2:3" x14ac:dyDescent="0.2">
      <c r="B514" s="2"/>
      <c r="C514" s="6"/>
    </row>
    <row r="515" spans="2:3" x14ac:dyDescent="0.2">
      <c r="B515" s="2"/>
      <c r="C515" s="6"/>
    </row>
    <row r="516" spans="2:3" x14ac:dyDescent="0.2">
      <c r="B516" s="2"/>
      <c r="C516" s="6"/>
    </row>
    <row r="517" spans="2:3" x14ac:dyDescent="0.2">
      <c r="B517" s="2"/>
      <c r="C517" s="6"/>
    </row>
    <row r="518" spans="2:3" x14ac:dyDescent="0.2">
      <c r="B518" s="2"/>
      <c r="C518" s="6"/>
    </row>
    <row r="519" spans="2:3" x14ac:dyDescent="0.2">
      <c r="B519" s="2"/>
      <c r="C519" s="6"/>
    </row>
    <row r="520" spans="2:3" x14ac:dyDescent="0.2">
      <c r="B520" s="2"/>
      <c r="C520" s="6"/>
    </row>
    <row r="521" spans="2:3" x14ac:dyDescent="0.2">
      <c r="B521" s="2"/>
      <c r="C521" s="6"/>
    </row>
    <row r="522" spans="2:3" x14ac:dyDescent="0.2">
      <c r="B522" s="2"/>
      <c r="C522" s="6"/>
    </row>
    <row r="523" spans="2:3" x14ac:dyDescent="0.2">
      <c r="B523" s="2"/>
      <c r="C523" s="6"/>
    </row>
    <row r="524" spans="2:3" x14ac:dyDescent="0.2">
      <c r="B524" s="2"/>
      <c r="C524" s="6"/>
    </row>
    <row r="525" spans="2:3" x14ac:dyDescent="0.2">
      <c r="B525" s="2"/>
      <c r="C525" s="6"/>
    </row>
    <row r="526" spans="2:3" x14ac:dyDescent="0.2">
      <c r="B526" s="2"/>
      <c r="C526" s="6"/>
    </row>
    <row r="527" spans="2:3" x14ac:dyDescent="0.2">
      <c r="B527" s="2"/>
      <c r="C527" s="6"/>
    </row>
    <row r="528" spans="2:3" x14ac:dyDescent="0.2">
      <c r="B528" s="2"/>
      <c r="C528" s="6"/>
    </row>
    <row r="529" spans="2:3" x14ac:dyDescent="0.2">
      <c r="B529" s="2"/>
      <c r="C529" s="6"/>
    </row>
    <row r="530" spans="2:3" x14ac:dyDescent="0.2">
      <c r="B530" s="2"/>
      <c r="C530" s="6"/>
    </row>
    <row r="531" spans="2:3" x14ac:dyDescent="0.2">
      <c r="B531" s="2"/>
      <c r="C531" s="6"/>
    </row>
    <row r="532" spans="2:3" x14ac:dyDescent="0.2">
      <c r="B532" s="2"/>
      <c r="C532" s="6"/>
    </row>
    <row r="533" spans="2:3" x14ac:dyDescent="0.2">
      <c r="B533" s="2"/>
      <c r="C533" s="6"/>
    </row>
    <row r="534" spans="2:3" x14ac:dyDescent="0.2">
      <c r="B534" s="2"/>
      <c r="C534" s="6"/>
    </row>
    <row r="535" spans="2:3" x14ac:dyDescent="0.2">
      <c r="B535" s="2"/>
      <c r="C535" s="6"/>
    </row>
    <row r="536" spans="2:3" x14ac:dyDescent="0.2">
      <c r="B536" s="2"/>
      <c r="C536" s="6"/>
    </row>
    <row r="537" spans="2:3" x14ac:dyDescent="0.2">
      <c r="B537" s="2"/>
      <c r="C537" s="6"/>
    </row>
    <row r="538" spans="2:3" x14ac:dyDescent="0.2">
      <c r="B538" s="2"/>
      <c r="C538" s="6"/>
    </row>
    <row r="539" spans="2:3" x14ac:dyDescent="0.2">
      <c r="B539" s="2"/>
      <c r="C539" s="6"/>
    </row>
    <row r="540" spans="2:3" x14ac:dyDescent="0.2">
      <c r="B540" s="2"/>
      <c r="C540" s="6"/>
    </row>
    <row r="541" spans="2:3" x14ac:dyDescent="0.2">
      <c r="B541" s="2"/>
      <c r="C541" s="6"/>
    </row>
    <row r="542" spans="2:3" x14ac:dyDescent="0.2">
      <c r="B542" s="2"/>
      <c r="C542" s="6"/>
    </row>
    <row r="543" spans="2:3" x14ac:dyDescent="0.2">
      <c r="B543" s="2"/>
      <c r="C543" s="6"/>
    </row>
    <row r="544" spans="2:3" x14ac:dyDescent="0.2">
      <c r="B544" s="2"/>
      <c r="C544" s="6"/>
    </row>
    <row r="545" spans="2:3" x14ac:dyDescent="0.2">
      <c r="B545" s="2"/>
      <c r="C545" s="6"/>
    </row>
    <row r="546" spans="2:3" x14ac:dyDescent="0.2">
      <c r="B546" s="2"/>
      <c r="C546" s="6"/>
    </row>
    <row r="547" spans="2:3" x14ac:dyDescent="0.2">
      <c r="B547" s="2"/>
      <c r="C547" s="6"/>
    </row>
    <row r="548" spans="2:3" x14ac:dyDescent="0.2">
      <c r="B548" s="2"/>
      <c r="C548" s="6"/>
    </row>
    <row r="549" spans="2:3" x14ac:dyDescent="0.2">
      <c r="B549" s="2"/>
      <c r="C549" s="6"/>
    </row>
    <row r="550" spans="2:3" x14ac:dyDescent="0.2">
      <c r="B550" s="2"/>
      <c r="C550" s="6"/>
    </row>
    <row r="551" spans="2:3" x14ac:dyDescent="0.2">
      <c r="B551" s="2"/>
      <c r="C551" s="6"/>
    </row>
    <row r="552" spans="2:3" x14ac:dyDescent="0.2">
      <c r="B552" s="2"/>
      <c r="C552" s="6"/>
    </row>
    <row r="553" spans="2:3" x14ac:dyDescent="0.2">
      <c r="B553" s="2"/>
      <c r="C553" s="6"/>
    </row>
    <row r="554" spans="2:3" x14ac:dyDescent="0.2">
      <c r="B554" s="2"/>
      <c r="C554" s="6"/>
    </row>
    <row r="555" spans="2:3" x14ac:dyDescent="0.2">
      <c r="B555" s="2"/>
      <c r="C555" s="6"/>
    </row>
    <row r="556" spans="2:3" x14ac:dyDescent="0.2">
      <c r="B556" s="2"/>
      <c r="C556" s="6"/>
    </row>
    <row r="557" spans="2:3" x14ac:dyDescent="0.2">
      <c r="B557" s="2"/>
      <c r="C557" s="6"/>
    </row>
    <row r="558" spans="2:3" x14ac:dyDescent="0.2">
      <c r="B558" s="2"/>
      <c r="C558" s="6"/>
    </row>
    <row r="559" spans="2:3" x14ac:dyDescent="0.2">
      <c r="B559" s="2"/>
      <c r="C559" s="6"/>
    </row>
    <row r="560" spans="2:3" x14ac:dyDescent="0.2">
      <c r="B560" s="2"/>
      <c r="C560" s="6"/>
    </row>
    <row r="561" spans="2:3" x14ac:dyDescent="0.2">
      <c r="B561" s="2"/>
      <c r="C561" s="6"/>
    </row>
    <row r="562" spans="2:3" x14ac:dyDescent="0.2">
      <c r="B562" s="2"/>
      <c r="C562" s="6"/>
    </row>
    <row r="563" spans="2:3" x14ac:dyDescent="0.2">
      <c r="B563" s="2"/>
      <c r="C563" s="6"/>
    </row>
    <row r="564" spans="2:3" x14ac:dyDescent="0.2">
      <c r="B564" s="2"/>
      <c r="C564" s="6"/>
    </row>
    <row r="565" spans="2:3" x14ac:dyDescent="0.2">
      <c r="B565" s="2"/>
      <c r="C565" s="6"/>
    </row>
    <row r="566" spans="2:3" x14ac:dyDescent="0.2">
      <c r="B566" s="2"/>
      <c r="C566" s="6"/>
    </row>
    <row r="567" spans="2:3" x14ac:dyDescent="0.2">
      <c r="B567" s="2"/>
      <c r="C567" s="6"/>
    </row>
    <row r="568" spans="2:3" x14ac:dyDescent="0.2">
      <c r="B568" s="2"/>
      <c r="C568" s="6"/>
    </row>
    <row r="569" spans="2:3" x14ac:dyDescent="0.2">
      <c r="B569" s="2"/>
      <c r="C569" s="6"/>
    </row>
    <row r="570" spans="2:3" x14ac:dyDescent="0.2">
      <c r="B570" s="2"/>
      <c r="C570" s="6"/>
    </row>
    <row r="571" spans="2:3" x14ac:dyDescent="0.2">
      <c r="B571" s="2"/>
      <c r="C571" s="6"/>
    </row>
    <row r="572" spans="2:3" x14ac:dyDescent="0.2">
      <c r="B572" s="2"/>
      <c r="C572" s="6"/>
    </row>
    <row r="573" spans="2:3" x14ac:dyDescent="0.2">
      <c r="B573" s="2"/>
      <c r="C573" s="6"/>
    </row>
    <row r="574" spans="2:3" x14ac:dyDescent="0.2">
      <c r="B574" s="2"/>
      <c r="C574" s="6"/>
    </row>
    <row r="575" spans="2:3" x14ac:dyDescent="0.2">
      <c r="B575" s="2"/>
      <c r="C575" s="6"/>
    </row>
    <row r="576" spans="2:3" x14ac:dyDescent="0.2">
      <c r="B576" s="2"/>
      <c r="C576" s="6"/>
    </row>
    <row r="577" spans="2:3" x14ac:dyDescent="0.2">
      <c r="B577" s="2"/>
      <c r="C577" s="6"/>
    </row>
    <row r="578" spans="2:3" x14ac:dyDescent="0.2">
      <c r="B578" s="2"/>
      <c r="C578" s="6"/>
    </row>
    <row r="579" spans="2:3" x14ac:dyDescent="0.2">
      <c r="B579" s="2"/>
      <c r="C579" s="6"/>
    </row>
    <row r="580" spans="2:3" x14ac:dyDescent="0.2">
      <c r="B580" s="2"/>
      <c r="C580" s="6"/>
    </row>
    <row r="581" spans="2:3" x14ac:dyDescent="0.2">
      <c r="B581" s="2"/>
      <c r="C581" s="6"/>
    </row>
    <row r="582" spans="2:3" x14ac:dyDescent="0.2">
      <c r="B582" s="2"/>
      <c r="C582" s="6"/>
    </row>
    <row r="583" spans="2:3" x14ac:dyDescent="0.2">
      <c r="B583" s="2"/>
      <c r="C583" s="6"/>
    </row>
    <row r="584" spans="2:3" x14ac:dyDescent="0.2">
      <c r="B584" s="2"/>
      <c r="C584" s="6"/>
    </row>
    <row r="585" spans="2:3" x14ac:dyDescent="0.2">
      <c r="B585" s="2"/>
      <c r="C585" s="6"/>
    </row>
    <row r="586" spans="2:3" x14ac:dyDescent="0.2">
      <c r="B586" s="2"/>
      <c r="C586" s="6"/>
    </row>
    <row r="587" spans="2:3" x14ac:dyDescent="0.2">
      <c r="B587" s="2"/>
      <c r="C587" s="6"/>
    </row>
    <row r="588" spans="2:3" x14ac:dyDescent="0.2">
      <c r="B588" s="2"/>
      <c r="C588" s="6"/>
    </row>
    <row r="589" spans="2:3" x14ac:dyDescent="0.2">
      <c r="B589" s="2"/>
      <c r="C589" s="6"/>
    </row>
    <row r="590" spans="2:3" x14ac:dyDescent="0.2">
      <c r="B590" s="2"/>
      <c r="C590" s="6"/>
    </row>
    <row r="591" spans="2:3" x14ac:dyDescent="0.2">
      <c r="B591" s="2"/>
      <c r="C591" s="6"/>
    </row>
    <row r="592" spans="2:3" x14ac:dyDescent="0.2">
      <c r="B592" s="2"/>
      <c r="C592" s="6"/>
    </row>
    <row r="593" spans="2:3" x14ac:dyDescent="0.2">
      <c r="B593" s="2"/>
      <c r="C593" s="6"/>
    </row>
    <row r="594" spans="2:3" x14ac:dyDescent="0.2">
      <c r="B594" s="2"/>
      <c r="C594" s="6"/>
    </row>
    <row r="595" spans="2:3" x14ac:dyDescent="0.2">
      <c r="B595" s="2"/>
      <c r="C595" s="6"/>
    </row>
    <row r="596" spans="2:3" x14ac:dyDescent="0.2">
      <c r="B596" s="2"/>
      <c r="C596" s="6"/>
    </row>
    <row r="597" spans="2:3" x14ac:dyDescent="0.2">
      <c r="B597" s="2"/>
      <c r="C597" s="6"/>
    </row>
    <row r="598" spans="2:3" x14ac:dyDescent="0.2">
      <c r="B598" s="2"/>
      <c r="C598" s="6"/>
    </row>
    <row r="599" spans="2:3" x14ac:dyDescent="0.2">
      <c r="B599" s="2"/>
      <c r="C599" s="6"/>
    </row>
    <row r="600" spans="2:3" x14ac:dyDescent="0.2">
      <c r="B600" s="2"/>
      <c r="C600" s="6"/>
    </row>
    <row r="601" spans="2:3" x14ac:dyDescent="0.2">
      <c r="B601" s="2"/>
      <c r="C601" s="6"/>
    </row>
    <row r="602" spans="2:3" x14ac:dyDescent="0.2">
      <c r="B602" s="2"/>
      <c r="C602" s="6"/>
    </row>
    <row r="603" spans="2:3" x14ac:dyDescent="0.2">
      <c r="B603" s="2"/>
      <c r="C603" s="6"/>
    </row>
    <row r="604" spans="2:3" x14ac:dyDescent="0.2">
      <c r="B604" s="2"/>
      <c r="C604" s="6"/>
    </row>
    <row r="605" spans="2:3" x14ac:dyDescent="0.2">
      <c r="B605" s="2"/>
      <c r="C605" s="6"/>
    </row>
    <row r="606" spans="2:3" x14ac:dyDescent="0.2">
      <c r="B606" s="2"/>
      <c r="C606" s="6"/>
    </row>
    <row r="607" spans="2:3" x14ac:dyDescent="0.2">
      <c r="B607" s="2"/>
      <c r="C607" s="6"/>
    </row>
    <row r="608" spans="2:3" x14ac:dyDescent="0.2">
      <c r="B608" s="2"/>
      <c r="C608" s="6"/>
    </row>
    <row r="609" spans="2:3" x14ac:dyDescent="0.2">
      <c r="B609" s="2"/>
      <c r="C609" s="6"/>
    </row>
    <row r="610" spans="2:3" x14ac:dyDescent="0.2">
      <c r="B610" s="2"/>
      <c r="C610" s="6"/>
    </row>
    <row r="611" spans="2:3" x14ac:dyDescent="0.2">
      <c r="B611" s="2"/>
      <c r="C611" s="6"/>
    </row>
    <row r="612" spans="2:3" x14ac:dyDescent="0.2">
      <c r="B612" s="2"/>
      <c r="C612" s="6"/>
    </row>
    <row r="613" spans="2:3" x14ac:dyDescent="0.2">
      <c r="B613" s="2"/>
      <c r="C613" s="6"/>
    </row>
    <row r="614" spans="2:3" x14ac:dyDescent="0.2">
      <c r="B614" s="2"/>
      <c r="C614" s="6"/>
    </row>
    <row r="615" spans="2:3" x14ac:dyDescent="0.2">
      <c r="B615" s="2"/>
      <c r="C615" s="6"/>
    </row>
    <row r="616" spans="2:3" x14ac:dyDescent="0.2">
      <c r="B616" s="2"/>
      <c r="C616" s="6"/>
    </row>
    <row r="617" spans="2:3" x14ac:dyDescent="0.2">
      <c r="B617" s="2"/>
      <c r="C617" s="6"/>
    </row>
    <row r="618" spans="2:3" x14ac:dyDescent="0.2">
      <c r="B618" s="2"/>
      <c r="C618" s="6"/>
    </row>
    <row r="619" spans="2:3" x14ac:dyDescent="0.2">
      <c r="B619" s="2"/>
      <c r="C619" s="6"/>
    </row>
    <row r="620" spans="2:3" x14ac:dyDescent="0.2">
      <c r="B620" s="2"/>
      <c r="C620" s="6"/>
    </row>
    <row r="621" spans="2:3" x14ac:dyDescent="0.2">
      <c r="B621" s="2"/>
      <c r="C621" s="6"/>
    </row>
    <row r="622" spans="2:3" x14ac:dyDescent="0.2">
      <c r="B622" s="2"/>
      <c r="C622" s="6"/>
    </row>
    <row r="623" spans="2:3" x14ac:dyDescent="0.2">
      <c r="B623" s="2"/>
      <c r="C623" s="6"/>
    </row>
    <row r="624" spans="2:3" x14ac:dyDescent="0.2">
      <c r="B624" s="2"/>
      <c r="C624" s="6"/>
    </row>
    <row r="625" spans="2:3" x14ac:dyDescent="0.2">
      <c r="B625" s="2"/>
      <c r="C625" s="6"/>
    </row>
    <row r="626" spans="2:3" x14ac:dyDescent="0.2">
      <c r="B626" s="2"/>
      <c r="C626" s="6"/>
    </row>
    <row r="627" spans="2:3" x14ac:dyDescent="0.2">
      <c r="B627" s="2"/>
      <c r="C627" s="6"/>
    </row>
    <row r="628" spans="2:3" x14ac:dyDescent="0.2">
      <c r="B628" s="2"/>
      <c r="C628" s="6"/>
    </row>
    <row r="629" spans="2:3" x14ac:dyDescent="0.2">
      <c r="B629" s="2"/>
      <c r="C629" s="6"/>
    </row>
    <row r="630" spans="2:3" x14ac:dyDescent="0.2">
      <c r="B630" s="2"/>
      <c r="C630" s="6"/>
    </row>
    <row r="631" spans="2:3" x14ac:dyDescent="0.2">
      <c r="B631" s="2"/>
      <c r="C631" s="6"/>
    </row>
    <row r="632" spans="2:3" x14ac:dyDescent="0.2">
      <c r="B632" s="2"/>
      <c r="C632" s="6"/>
    </row>
    <row r="633" spans="2:3" x14ac:dyDescent="0.2">
      <c r="B633" s="2"/>
      <c r="C633" s="6"/>
    </row>
    <row r="634" spans="2:3" x14ac:dyDescent="0.2">
      <c r="B634" s="2"/>
      <c r="C634" s="6"/>
    </row>
    <row r="635" spans="2:3" x14ac:dyDescent="0.2">
      <c r="B635" s="2"/>
      <c r="C635" s="6"/>
    </row>
    <row r="636" spans="2:3" x14ac:dyDescent="0.2">
      <c r="B636" s="2"/>
      <c r="C636" s="6"/>
    </row>
    <row r="637" spans="2:3" x14ac:dyDescent="0.2">
      <c r="B637" s="2"/>
      <c r="C637" s="6"/>
    </row>
    <row r="638" spans="2:3" x14ac:dyDescent="0.2">
      <c r="B638" s="2"/>
      <c r="C638" s="6"/>
    </row>
    <row r="639" spans="2:3" x14ac:dyDescent="0.2">
      <c r="B639" s="2"/>
      <c r="C639" s="6"/>
    </row>
    <row r="640" spans="2:3" x14ac:dyDescent="0.2">
      <c r="B640" s="2"/>
      <c r="C640" s="6"/>
    </row>
    <row r="641" spans="2:3" x14ac:dyDescent="0.2">
      <c r="B641" s="2"/>
      <c r="C641" s="6"/>
    </row>
    <row r="642" spans="2:3" x14ac:dyDescent="0.2">
      <c r="B642" s="2"/>
      <c r="C642" s="6"/>
    </row>
    <row r="643" spans="2:3" x14ac:dyDescent="0.2">
      <c r="B643" s="2"/>
      <c r="C643" s="6"/>
    </row>
    <row r="644" spans="2:3" x14ac:dyDescent="0.2">
      <c r="B644" s="2"/>
      <c r="C644" s="6"/>
    </row>
    <row r="645" spans="2:3" x14ac:dyDescent="0.2">
      <c r="B645" s="2"/>
      <c r="C645" s="6"/>
    </row>
    <row r="646" spans="2:3" x14ac:dyDescent="0.2">
      <c r="B646" s="2"/>
      <c r="C646" s="6"/>
    </row>
    <row r="647" spans="2:3" x14ac:dyDescent="0.2">
      <c r="B647" s="2"/>
      <c r="C647" s="6"/>
    </row>
    <row r="648" spans="2:3" x14ac:dyDescent="0.2">
      <c r="B648" s="2"/>
      <c r="C648" s="6"/>
    </row>
    <row r="649" spans="2:3" x14ac:dyDescent="0.2">
      <c r="B649" s="2"/>
      <c r="C649" s="6"/>
    </row>
    <row r="650" spans="2:3" x14ac:dyDescent="0.2">
      <c r="B650" s="2"/>
      <c r="C650" s="6"/>
    </row>
    <row r="651" spans="2:3" x14ac:dyDescent="0.2">
      <c r="B651" s="2"/>
      <c r="C651" s="6"/>
    </row>
    <row r="652" spans="2:3" x14ac:dyDescent="0.2">
      <c r="B652" s="2"/>
      <c r="C652" s="6"/>
    </row>
    <row r="653" spans="2:3" x14ac:dyDescent="0.2">
      <c r="B653" s="2"/>
      <c r="C653" s="6"/>
    </row>
    <row r="654" spans="2:3" x14ac:dyDescent="0.2">
      <c r="B654" s="2"/>
      <c r="C654" s="6"/>
    </row>
    <row r="655" spans="2:3" x14ac:dyDescent="0.2">
      <c r="B655" s="2"/>
      <c r="C655" s="6"/>
    </row>
    <row r="656" spans="2:3" x14ac:dyDescent="0.2">
      <c r="B656" s="2"/>
      <c r="C656" s="6"/>
    </row>
    <row r="657" spans="2:3" x14ac:dyDescent="0.2">
      <c r="B657" s="2"/>
      <c r="C657" s="6"/>
    </row>
    <row r="658" spans="2:3" x14ac:dyDescent="0.2">
      <c r="B658" s="2"/>
      <c r="C658" s="6"/>
    </row>
    <row r="659" spans="2:3" x14ac:dyDescent="0.2">
      <c r="B659" s="2"/>
      <c r="C659" s="6"/>
    </row>
    <row r="660" spans="2:3" x14ac:dyDescent="0.2">
      <c r="B660" s="2"/>
      <c r="C660" s="6"/>
    </row>
    <row r="661" spans="2:3" x14ac:dyDescent="0.2">
      <c r="B661" s="2"/>
      <c r="C661" s="6"/>
    </row>
    <row r="662" spans="2:3" x14ac:dyDescent="0.2">
      <c r="B662" s="2"/>
      <c r="C662" s="6"/>
    </row>
    <row r="663" spans="2:3" x14ac:dyDescent="0.2">
      <c r="B663" s="2"/>
      <c r="C663" s="6"/>
    </row>
    <row r="664" spans="2:3" x14ac:dyDescent="0.2">
      <c r="B664" s="2"/>
      <c r="C664" s="6"/>
    </row>
    <row r="665" spans="2:3" x14ac:dyDescent="0.2">
      <c r="B665" s="2"/>
      <c r="C665" s="6"/>
    </row>
    <row r="666" spans="2:3" x14ac:dyDescent="0.2">
      <c r="B666" s="2"/>
      <c r="C666" s="6"/>
    </row>
    <row r="667" spans="2:3" x14ac:dyDescent="0.2">
      <c r="B667" s="2"/>
      <c r="C667" s="6"/>
    </row>
    <row r="668" spans="2:3" x14ac:dyDescent="0.2">
      <c r="B668" s="2"/>
      <c r="C668" s="6"/>
    </row>
    <row r="669" spans="2:3" x14ac:dyDescent="0.2">
      <c r="B669" s="2"/>
      <c r="C669" s="6"/>
    </row>
    <row r="670" spans="2:3" x14ac:dyDescent="0.2">
      <c r="B670" s="2"/>
      <c r="C670" s="6"/>
    </row>
    <row r="671" spans="2:3" x14ac:dyDescent="0.2">
      <c r="B671" s="2"/>
      <c r="C671" s="6"/>
    </row>
    <row r="672" spans="2:3" x14ac:dyDescent="0.2">
      <c r="B672" s="2"/>
      <c r="C672" s="6"/>
    </row>
    <row r="673" spans="2:3" x14ac:dyDescent="0.2">
      <c r="B673" s="2"/>
      <c r="C673" s="6"/>
    </row>
    <row r="674" spans="2:3" x14ac:dyDescent="0.2">
      <c r="B674" s="2"/>
      <c r="C674" s="6"/>
    </row>
    <row r="675" spans="2:3" x14ac:dyDescent="0.2">
      <c r="B675" s="2"/>
      <c r="C675" s="6"/>
    </row>
    <row r="676" spans="2:3" x14ac:dyDescent="0.2">
      <c r="B676" s="2"/>
      <c r="C676" s="6"/>
    </row>
    <row r="677" spans="2:3" x14ac:dyDescent="0.2">
      <c r="B677" s="2"/>
      <c r="C677" s="6"/>
    </row>
    <row r="678" spans="2:3" x14ac:dyDescent="0.2">
      <c r="B678" s="2"/>
      <c r="C678" s="6"/>
    </row>
    <row r="679" spans="2:3" x14ac:dyDescent="0.2">
      <c r="B679" s="2"/>
      <c r="C679" s="6"/>
    </row>
    <row r="680" spans="2:3" x14ac:dyDescent="0.2">
      <c r="B680" s="2"/>
      <c r="C680" s="6"/>
    </row>
    <row r="681" spans="2:3" x14ac:dyDescent="0.2">
      <c r="B681" s="2"/>
      <c r="C681" s="6"/>
    </row>
    <row r="682" spans="2:3" x14ac:dyDescent="0.2">
      <c r="B682" s="2"/>
      <c r="C682" s="6"/>
    </row>
    <row r="683" spans="2:3" x14ac:dyDescent="0.2">
      <c r="B683" s="2"/>
      <c r="C683" s="6"/>
    </row>
    <row r="684" spans="2:3" x14ac:dyDescent="0.2">
      <c r="B684" s="2"/>
      <c r="C684" s="6"/>
    </row>
    <row r="685" spans="2:3" x14ac:dyDescent="0.2">
      <c r="B685" s="2"/>
      <c r="C685" s="6"/>
    </row>
    <row r="686" spans="2:3" x14ac:dyDescent="0.2">
      <c r="B686" s="2"/>
      <c r="C686" s="6"/>
    </row>
    <row r="687" spans="2:3" x14ac:dyDescent="0.2">
      <c r="B687" s="2"/>
      <c r="C687" s="6"/>
    </row>
    <row r="688" spans="2:3" x14ac:dyDescent="0.2">
      <c r="B688" s="2"/>
      <c r="C688" s="6"/>
    </row>
    <row r="689" spans="2:3" x14ac:dyDescent="0.2">
      <c r="B689" s="2"/>
      <c r="C689" s="6"/>
    </row>
    <row r="690" spans="2:3" x14ac:dyDescent="0.2">
      <c r="B690" s="2"/>
      <c r="C690" s="6"/>
    </row>
    <row r="691" spans="2:3" x14ac:dyDescent="0.2">
      <c r="B691" s="2"/>
      <c r="C691" s="6"/>
    </row>
    <row r="692" spans="2:3" x14ac:dyDescent="0.2">
      <c r="B692" s="2"/>
      <c r="C692" s="6"/>
    </row>
    <row r="693" spans="2:3" x14ac:dyDescent="0.2">
      <c r="B693" s="2"/>
      <c r="C693" s="6"/>
    </row>
    <row r="694" spans="2:3" x14ac:dyDescent="0.2">
      <c r="B694" s="2"/>
      <c r="C694" s="6"/>
    </row>
    <row r="695" spans="2:3" x14ac:dyDescent="0.2">
      <c r="B695" s="2"/>
      <c r="C695" s="6"/>
    </row>
    <row r="696" spans="2:3" x14ac:dyDescent="0.2">
      <c r="B696" s="2"/>
      <c r="C696" s="6"/>
    </row>
    <row r="697" spans="2:3" x14ac:dyDescent="0.2">
      <c r="B697" s="2"/>
      <c r="C697" s="6"/>
    </row>
    <row r="698" spans="2:3" x14ac:dyDescent="0.2">
      <c r="B698" s="2"/>
      <c r="C698" s="6"/>
    </row>
    <row r="699" spans="2:3" x14ac:dyDescent="0.2">
      <c r="B699" s="2"/>
      <c r="C699" s="6"/>
    </row>
    <row r="700" spans="2:3" x14ac:dyDescent="0.2">
      <c r="B700" s="2"/>
      <c r="C700" s="6"/>
    </row>
    <row r="701" spans="2:3" x14ac:dyDescent="0.2">
      <c r="B701" s="2"/>
      <c r="C701" s="6"/>
    </row>
    <row r="702" spans="2:3" x14ac:dyDescent="0.2">
      <c r="B702" s="2"/>
      <c r="C702" s="6"/>
    </row>
    <row r="703" spans="2:3" x14ac:dyDescent="0.2">
      <c r="B703" s="2"/>
      <c r="C703" s="6"/>
    </row>
    <row r="704" spans="2:3" x14ac:dyDescent="0.2">
      <c r="B704" s="2"/>
      <c r="C704" s="6"/>
    </row>
    <row r="705" spans="2:3" x14ac:dyDescent="0.2">
      <c r="B705" s="2"/>
      <c r="C705" s="6"/>
    </row>
    <row r="706" spans="2:3" x14ac:dyDescent="0.2">
      <c r="B706" s="2"/>
      <c r="C706" s="6"/>
    </row>
    <row r="707" spans="2:3" x14ac:dyDescent="0.2">
      <c r="B707" s="2"/>
      <c r="C707" s="6"/>
    </row>
    <row r="708" spans="2:3" x14ac:dyDescent="0.2">
      <c r="B708" s="2"/>
      <c r="C708" s="6"/>
    </row>
    <row r="709" spans="2:3" x14ac:dyDescent="0.2">
      <c r="B709" s="2"/>
      <c r="C709" s="6"/>
    </row>
    <row r="710" spans="2:3" x14ac:dyDescent="0.2">
      <c r="B710" s="2"/>
      <c r="C710" s="6"/>
    </row>
    <row r="711" spans="2:3" x14ac:dyDescent="0.2">
      <c r="B711" s="2"/>
      <c r="C711" s="6"/>
    </row>
    <row r="712" spans="2:3" x14ac:dyDescent="0.2">
      <c r="B712" s="2"/>
      <c r="C712" s="6"/>
    </row>
    <row r="713" spans="2:3" x14ac:dyDescent="0.2">
      <c r="B713" s="2"/>
      <c r="C713" s="6"/>
    </row>
    <row r="714" spans="2:3" x14ac:dyDescent="0.2">
      <c r="B714" s="2"/>
      <c r="C714" s="6"/>
    </row>
    <row r="715" spans="2:3" x14ac:dyDescent="0.2">
      <c r="B715" s="2"/>
      <c r="C715" s="6"/>
    </row>
    <row r="716" spans="2:3" x14ac:dyDescent="0.2">
      <c r="B716" s="2"/>
      <c r="C716" s="6"/>
    </row>
    <row r="717" spans="2:3" x14ac:dyDescent="0.2">
      <c r="B717" s="2"/>
      <c r="C717" s="6"/>
    </row>
    <row r="718" spans="2:3" x14ac:dyDescent="0.2">
      <c r="B718" s="2"/>
      <c r="C718" s="6"/>
    </row>
    <row r="719" spans="2:3" x14ac:dyDescent="0.2">
      <c r="B719" s="2"/>
      <c r="C719" s="6"/>
    </row>
    <row r="720" spans="2:3" x14ac:dyDescent="0.2">
      <c r="B720" s="2"/>
      <c r="C720" s="6"/>
    </row>
    <row r="721" spans="2:3" x14ac:dyDescent="0.2">
      <c r="B721" s="2"/>
      <c r="C721" s="6"/>
    </row>
    <row r="722" spans="2:3" x14ac:dyDescent="0.2">
      <c r="B722" s="2"/>
      <c r="C722" s="6"/>
    </row>
    <row r="723" spans="2:3" x14ac:dyDescent="0.2">
      <c r="B723" s="2"/>
      <c r="C723" s="6"/>
    </row>
    <row r="724" spans="2:3" x14ac:dyDescent="0.2">
      <c r="B724" s="2"/>
      <c r="C724" s="6"/>
    </row>
    <row r="725" spans="2:3" x14ac:dyDescent="0.2">
      <c r="B725" s="2"/>
      <c r="C725" s="6"/>
    </row>
    <row r="726" spans="2:3" x14ac:dyDescent="0.2">
      <c r="B726" s="2"/>
      <c r="C726" s="6"/>
    </row>
    <row r="727" spans="2:3" x14ac:dyDescent="0.2">
      <c r="B727" s="2"/>
      <c r="C727" s="6"/>
    </row>
    <row r="728" spans="2:3" x14ac:dyDescent="0.2">
      <c r="B728" s="2"/>
      <c r="C728" s="6"/>
    </row>
    <row r="729" spans="2:3" x14ac:dyDescent="0.2">
      <c r="B729" s="2"/>
      <c r="C729" s="6"/>
    </row>
    <row r="730" spans="2:3" x14ac:dyDescent="0.2">
      <c r="B730" s="2"/>
      <c r="C730" s="6"/>
    </row>
    <row r="731" spans="2:3" x14ac:dyDescent="0.2">
      <c r="B731" s="2"/>
      <c r="C731" s="6"/>
    </row>
    <row r="732" spans="2:3" x14ac:dyDescent="0.2">
      <c r="B732" s="2"/>
      <c r="C732" s="6"/>
    </row>
    <row r="733" spans="2:3" x14ac:dyDescent="0.2">
      <c r="B733" s="2"/>
      <c r="C733" s="6"/>
    </row>
    <row r="734" spans="2:3" x14ac:dyDescent="0.2">
      <c r="B734" s="2"/>
      <c r="C734" s="6"/>
    </row>
    <row r="735" spans="2:3" x14ac:dyDescent="0.2">
      <c r="B735" s="2"/>
      <c r="C735" s="6"/>
    </row>
    <row r="736" spans="2:3" x14ac:dyDescent="0.2">
      <c r="B736" s="2"/>
      <c r="C736" s="6"/>
    </row>
    <row r="737" spans="2:3" x14ac:dyDescent="0.2">
      <c r="B737" s="2"/>
      <c r="C737" s="6"/>
    </row>
    <row r="738" spans="2:3" x14ac:dyDescent="0.2">
      <c r="B738" s="2"/>
      <c r="C738" s="6"/>
    </row>
    <row r="739" spans="2:3" x14ac:dyDescent="0.2">
      <c r="B739" s="2"/>
      <c r="C739" s="6"/>
    </row>
    <row r="740" spans="2:3" x14ac:dyDescent="0.2">
      <c r="B740" s="2"/>
      <c r="C740" s="6"/>
    </row>
    <row r="741" spans="2:3" x14ac:dyDescent="0.2">
      <c r="B741" s="2"/>
      <c r="C741" s="6"/>
    </row>
    <row r="742" spans="2:3" x14ac:dyDescent="0.2">
      <c r="B742" s="2"/>
      <c r="C742" s="6"/>
    </row>
    <row r="743" spans="2:3" x14ac:dyDescent="0.2">
      <c r="B743" s="2"/>
      <c r="C743" s="6"/>
    </row>
    <row r="744" spans="2:3" x14ac:dyDescent="0.2">
      <c r="B744" s="2"/>
      <c r="C744" s="6"/>
    </row>
    <row r="745" spans="2:3" x14ac:dyDescent="0.2">
      <c r="B745" s="2"/>
      <c r="C745" s="6"/>
    </row>
    <row r="746" spans="2:3" x14ac:dyDescent="0.2">
      <c r="B746" s="2"/>
      <c r="C746" s="6"/>
    </row>
    <row r="747" spans="2:3" x14ac:dyDescent="0.2">
      <c r="B747" s="2"/>
      <c r="C747" s="6"/>
    </row>
    <row r="748" spans="2:3" x14ac:dyDescent="0.2">
      <c r="B748" s="2"/>
      <c r="C748" s="6"/>
    </row>
    <row r="749" spans="2:3" x14ac:dyDescent="0.2">
      <c r="B749" s="2"/>
      <c r="C749" s="6"/>
    </row>
    <row r="750" spans="2:3" x14ac:dyDescent="0.2">
      <c r="B750" s="2"/>
      <c r="C750" s="6"/>
    </row>
    <row r="751" spans="2:3" x14ac:dyDescent="0.2">
      <c r="B751" s="2"/>
      <c r="C751" s="6"/>
    </row>
    <row r="752" spans="2:3" x14ac:dyDescent="0.2">
      <c r="B752" s="2"/>
      <c r="C752" s="6"/>
    </row>
    <row r="753" spans="2:3" x14ac:dyDescent="0.2">
      <c r="B753" s="2"/>
      <c r="C753" s="6"/>
    </row>
    <row r="754" spans="2:3" x14ac:dyDescent="0.2">
      <c r="B754" s="2"/>
      <c r="C754" s="6"/>
    </row>
    <row r="755" spans="2:3" x14ac:dyDescent="0.2">
      <c r="B755" s="2"/>
      <c r="C755" s="6"/>
    </row>
    <row r="756" spans="2:3" x14ac:dyDescent="0.2">
      <c r="B756" s="2"/>
      <c r="C756" s="6"/>
    </row>
    <row r="757" spans="2:3" x14ac:dyDescent="0.2">
      <c r="B757" s="2"/>
      <c r="C757" s="6"/>
    </row>
    <row r="758" spans="2:3" x14ac:dyDescent="0.2">
      <c r="B758" s="2"/>
      <c r="C758" s="6"/>
    </row>
    <row r="759" spans="2:3" x14ac:dyDescent="0.2">
      <c r="B759" s="2"/>
      <c r="C759" s="6"/>
    </row>
    <row r="760" spans="2:3" x14ac:dyDescent="0.2">
      <c r="B760" s="2"/>
      <c r="C760" s="6"/>
    </row>
    <row r="761" spans="2:3" x14ac:dyDescent="0.2">
      <c r="B761" s="2"/>
      <c r="C761" s="6"/>
    </row>
    <row r="762" spans="2:3" x14ac:dyDescent="0.2">
      <c r="B762" s="2"/>
      <c r="C762" s="6"/>
    </row>
    <row r="763" spans="2:3" x14ac:dyDescent="0.2">
      <c r="B763" s="2"/>
      <c r="C763" s="6"/>
    </row>
    <row r="764" spans="2:3" x14ac:dyDescent="0.2">
      <c r="B764" s="2"/>
      <c r="C764" s="6"/>
    </row>
    <row r="765" spans="2:3" x14ac:dyDescent="0.2">
      <c r="B765" s="2"/>
      <c r="C765" s="6"/>
    </row>
    <row r="766" spans="2:3" x14ac:dyDescent="0.2">
      <c r="B766" s="2"/>
      <c r="C766" s="6"/>
    </row>
    <row r="767" spans="2:3" x14ac:dyDescent="0.2">
      <c r="B767" s="2"/>
      <c r="C767" s="6"/>
    </row>
    <row r="768" spans="2:3" x14ac:dyDescent="0.2">
      <c r="B768" s="2"/>
      <c r="C768" s="6"/>
    </row>
    <row r="769" spans="2:3" x14ac:dyDescent="0.2">
      <c r="B769" s="2"/>
      <c r="C769" s="6"/>
    </row>
    <row r="770" spans="2:3" x14ac:dyDescent="0.2">
      <c r="B770" s="2"/>
      <c r="C770" s="6"/>
    </row>
    <row r="771" spans="2:3" x14ac:dyDescent="0.2">
      <c r="B771" s="2"/>
      <c r="C771" s="6"/>
    </row>
    <row r="772" spans="2:3" x14ac:dyDescent="0.2">
      <c r="B772" s="2"/>
      <c r="C772" s="6"/>
    </row>
    <row r="773" spans="2:3" x14ac:dyDescent="0.2">
      <c r="B773" s="2"/>
      <c r="C773" s="6"/>
    </row>
    <row r="774" spans="2:3" x14ac:dyDescent="0.2">
      <c r="B774" s="2"/>
      <c r="C774" s="6"/>
    </row>
    <row r="775" spans="2:3" x14ac:dyDescent="0.2">
      <c r="B775" s="2"/>
      <c r="C775" s="6"/>
    </row>
    <row r="776" spans="2:3" x14ac:dyDescent="0.2">
      <c r="B776" s="2"/>
      <c r="C776" s="6"/>
    </row>
    <row r="777" spans="2:3" x14ac:dyDescent="0.2">
      <c r="B777" s="2"/>
      <c r="C777" s="6"/>
    </row>
    <row r="778" spans="2:3" x14ac:dyDescent="0.2">
      <c r="B778" s="2"/>
      <c r="C778" s="6"/>
    </row>
    <row r="779" spans="2:3" x14ac:dyDescent="0.2">
      <c r="B779" s="2"/>
      <c r="C779" s="6"/>
    </row>
    <row r="780" spans="2:3" x14ac:dyDescent="0.2">
      <c r="B780" s="2"/>
      <c r="C780" s="6"/>
    </row>
    <row r="781" spans="2:3" x14ac:dyDescent="0.2">
      <c r="B781" s="2"/>
      <c r="C781" s="6"/>
    </row>
    <row r="782" spans="2:3" x14ac:dyDescent="0.2">
      <c r="B782" s="2"/>
      <c r="C782" s="6"/>
    </row>
    <row r="783" spans="2:3" x14ac:dyDescent="0.2">
      <c r="B783" s="2"/>
      <c r="C783" s="6"/>
    </row>
    <row r="784" spans="2:3" x14ac:dyDescent="0.2">
      <c r="B784" s="2"/>
      <c r="C784" s="6"/>
    </row>
    <row r="785" spans="2:3" x14ac:dyDescent="0.2">
      <c r="B785" s="2"/>
      <c r="C785" s="6"/>
    </row>
    <row r="786" spans="2:3" x14ac:dyDescent="0.2">
      <c r="B786" s="2"/>
      <c r="C786" s="6"/>
    </row>
    <row r="787" spans="2:3" x14ac:dyDescent="0.2">
      <c r="B787" s="2"/>
      <c r="C787" s="6"/>
    </row>
    <row r="788" spans="2:3" x14ac:dyDescent="0.2">
      <c r="B788" s="2"/>
      <c r="C788" s="6"/>
    </row>
    <row r="789" spans="2:3" x14ac:dyDescent="0.2">
      <c r="B789" s="2"/>
      <c r="C789" s="6"/>
    </row>
    <row r="790" spans="2:3" x14ac:dyDescent="0.2">
      <c r="B790" s="2"/>
      <c r="C790" s="6"/>
    </row>
    <row r="791" spans="2:3" x14ac:dyDescent="0.2">
      <c r="B791" s="2"/>
      <c r="C791" s="6"/>
    </row>
    <row r="792" spans="2:3" x14ac:dyDescent="0.2">
      <c r="B792" s="2"/>
      <c r="C792" s="6"/>
    </row>
    <row r="793" spans="2:3" x14ac:dyDescent="0.2">
      <c r="B793" s="2"/>
      <c r="C793" s="6"/>
    </row>
    <row r="794" spans="2:3" x14ac:dyDescent="0.2">
      <c r="B794" s="2"/>
      <c r="C794" s="6"/>
    </row>
    <row r="795" spans="2:3" x14ac:dyDescent="0.2">
      <c r="B795" s="2"/>
      <c r="C795" s="6"/>
    </row>
    <row r="796" spans="2:3" x14ac:dyDescent="0.2">
      <c r="B796" s="2"/>
      <c r="C796" s="6"/>
    </row>
    <row r="797" spans="2:3" x14ac:dyDescent="0.2">
      <c r="B797" s="2"/>
      <c r="C797" s="6"/>
    </row>
    <row r="798" spans="2:3" x14ac:dyDescent="0.2">
      <c r="B798" s="2"/>
      <c r="C798" s="6"/>
    </row>
    <row r="799" spans="2:3" x14ac:dyDescent="0.2">
      <c r="B799" s="2"/>
      <c r="C799" s="6"/>
    </row>
    <row r="800" spans="2:3" x14ac:dyDescent="0.2">
      <c r="B800" s="2"/>
      <c r="C800" s="6"/>
    </row>
    <row r="801" spans="2:3" x14ac:dyDescent="0.2">
      <c r="B801" s="2"/>
      <c r="C801" s="6"/>
    </row>
    <row r="802" spans="2:3" x14ac:dyDescent="0.2">
      <c r="B802" s="2"/>
      <c r="C802" s="6"/>
    </row>
    <row r="803" spans="2:3" x14ac:dyDescent="0.2">
      <c r="B803" s="2"/>
      <c r="C803" s="6"/>
    </row>
    <row r="804" spans="2:3" x14ac:dyDescent="0.2">
      <c r="B804" s="2"/>
      <c r="C804" s="6"/>
    </row>
    <row r="805" spans="2:3" x14ac:dyDescent="0.2">
      <c r="B805" s="2"/>
      <c r="C805" s="6"/>
    </row>
    <row r="806" spans="2:3" x14ac:dyDescent="0.2">
      <c r="B806" s="2"/>
      <c r="C806" s="6"/>
    </row>
    <row r="807" spans="2:3" x14ac:dyDescent="0.2">
      <c r="B807" s="2"/>
      <c r="C807" s="6"/>
    </row>
    <row r="808" spans="2:3" x14ac:dyDescent="0.2">
      <c r="B808" s="2"/>
      <c r="C808" s="6"/>
    </row>
    <row r="809" spans="2:3" x14ac:dyDescent="0.2">
      <c r="B809" s="2"/>
      <c r="C809" s="6"/>
    </row>
    <row r="810" spans="2:3" x14ac:dyDescent="0.2">
      <c r="B810" s="2"/>
      <c r="C810" s="6"/>
    </row>
    <row r="811" spans="2:3" x14ac:dyDescent="0.2">
      <c r="B811" s="2"/>
      <c r="C811" s="6"/>
    </row>
    <row r="812" spans="2:3" x14ac:dyDescent="0.2">
      <c r="B812" s="2"/>
      <c r="C812" s="6"/>
    </row>
    <row r="813" spans="2:3" x14ac:dyDescent="0.2">
      <c r="B813" s="2"/>
      <c r="C813" s="6"/>
    </row>
    <row r="814" spans="2:3" x14ac:dyDescent="0.2">
      <c r="B814" s="2"/>
      <c r="C814" s="6"/>
    </row>
    <row r="815" spans="2:3" x14ac:dyDescent="0.2">
      <c r="B815" s="2"/>
      <c r="C815" s="6"/>
    </row>
    <row r="816" spans="2:3" x14ac:dyDescent="0.2">
      <c r="B816" s="2"/>
      <c r="C816" s="6"/>
    </row>
    <row r="817" spans="2:3" x14ac:dyDescent="0.2">
      <c r="B817" s="2"/>
      <c r="C817" s="6"/>
    </row>
    <row r="818" spans="2:3" x14ac:dyDescent="0.2">
      <c r="B818" s="2"/>
      <c r="C818" s="6"/>
    </row>
    <row r="819" spans="2:3" x14ac:dyDescent="0.2">
      <c r="B819" s="2"/>
      <c r="C819" s="6"/>
    </row>
    <row r="820" spans="2:3" x14ac:dyDescent="0.2">
      <c r="B820" s="2"/>
      <c r="C820" s="6"/>
    </row>
    <row r="821" spans="2:3" x14ac:dyDescent="0.2">
      <c r="B821" s="2"/>
      <c r="C821" s="6"/>
    </row>
    <row r="822" spans="2:3" x14ac:dyDescent="0.2">
      <c r="B822" s="2"/>
      <c r="C822" s="6"/>
    </row>
    <row r="823" spans="2:3" x14ac:dyDescent="0.2">
      <c r="B823" s="2"/>
      <c r="C823" s="6"/>
    </row>
    <row r="824" spans="2:3" x14ac:dyDescent="0.2">
      <c r="B824" s="2"/>
      <c r="C824" s="6"/>
    </row>
    <row r="825" spans="2:3" x14ac:dyDescent="0.2">
      <c r="B825" s="2"/>
      <c r="C825" s="6"/>
    </row>
    <row r="826" spans="2:3" x14ac:dyDescent="0.2">
      <c r="B826" s="2"/>
      <c r="C826" s="6"/>
    </row>
    <row r="827" spans="2:3" x14ac:dyDescent="0.2">
      <c r="B827" s="2"/>
      <c r="C827" s="6"/>
    </row>
    <row r="828" spans="2:3" x14ac:dyDescent="0.2">
      <c r="B828" s="2"/>
      <c r="C828" s="6"/>
    </row>
    <row r="829" spans="2:3" x14ac:dyDescent="0.2">
      <c r="B829" s="2"/>
      <c r="C829" s="6"/>
    </row>
    <row r="830" spans="2:3" x14ac:dyDescent="0.2">
      <c r="B830" s="2"/>
      <c r="C830" s="6"/>
    </row>
    <row r="831" spans="2:3" x14ac:dyDescent="0.2">
      <c r="B831" s="2"/>
      <c r="C831" s="6"/>
    </row>
    <row r="832" spans="2:3" x14ac:dyDescent="0.2">
      <c r="B832" s="2"/>
      <c r="C832" s="6"/>
    </row>
    <row r="833" spans="2:3" x14ac:dyDescent="0.2">
      <c r="B833" s="2"/>
      <c r="C833" s="6"/>
    </row>
    <row r="834" spans="2:3" x14ac:dyDescent="0.2">
      <c r="B834" s="2"/>
      <c r="C834" s="6"/>
    </row>
    <row r="835" spans="2:3" x14ac:dyDescent="0.2">
      <c r="B835" s="2"/>
      <c r="C835" s="6"/>
    </row>
    <row r="836" spans="2:3" x14ac:dyDescent="0.2">
      <c r="B836" s="2"/>
      <c r="C836" s="6"/>
    </row>
    <row r="837" spans="2:3" x14ac:dyDescent="0.2">
      <c r="B837" s="2"/>
      <c r="C837" s="6"/>
    </row>
    <row r="838" spans="2:3" x14ac:dyDescent="0.2">
      <c r="B838" s="2"/>
      <c r="C838" s="6"/>
    </row>
    <row r="839" spans="2:3" x14ac:dyDescent="0.2">
      <c r="B839" s="2"/>
      <c r="C839" s="6"/>
    </row>
    <row r="840" spans="2:3" x14ac:dyDescent="0.2">
      <c r="B840" s="2"/>
      <c r="C840" s="6"/>
    </row>
    <row r="841" spans="2:3" x14ac:dyDescent="0.2">
      <c r="B841" s="2"/>
      <c r="C841" s="6"/>
    </row>
    <row r="842" spans="2:3" x14ac:dyDescent="0.2">
      <c r="B842" s="2"/>
      <c r="C842" s="6"/>
    </row>
    <row r="843" spans="2:3" x14ac:dyDescent="0.2">
      <c r="B843" s="2"/>
      <c r="C843" s="6"/>
    </row>
    <row r="844" spans="2:3" x14ac:dyDescent="0.2">
      <c r="B844" s="2"/>
      <c r="C844" s="6"/>
    </row>
    <row r="845" spans="2:3" x14ac:dyDescent="0.2">
      <c r="B845" s="2"/>
      <c r="C845" s="6"/>
    </row>
    <row r="846" spans="2:3" x14ac:dyDescent="0.2">
      <c r="B846" s="2"/>
      <c r="C846" s="6"/>
    </row>
    <row r="847" spans="2:3" x14ac:dyDescent="0.2">
      <c r="B847" s="2"/>
      <c r="C847" s="6"/>
    </row>
    <row r="848" spans="2:3" x14ac:dyDescent="0.2">
      <c r="B848" s="2"/>
      <c r="C848" s="6"/>
    </row>
    <row r="849" spans="2:3" x14ac:dyDescent="0.2">
      <c r="B849" s="2"/>
      <c r="C849" s="6"/>
    </row>
    <row r="850" spans="2:3" x14ac:dyDescent="0.2">
      <c r="B850" s="2"/>
      <c r="C850" s="6"/>
    </row>
    <row r="851" spans="2:3" x14ac:dyDescent="0.2">
      <c r="B851" s="2"/>
      <c r="C851" s="6"/>
    </row>
    <row r="852" spans="2:3" x14ac:dyDescent="0.2">
      <c r="B852" s="2"/>
      <c r="C852" s="6"/>
    </row>
    <row r="853" spans="2:3" x14ac:dyDescent="0.2">
      <c r="B853" s="2"/>
      <c r="C853" s="6"/>
    </row>
    <row r="854" spans="2:3" x14ac:dyDescent="0.2">
      <c r="B854" s="2"/>
      <c r="C854" s="6"/>
    </row>
    <row r="855" spans="2:3" x14ac:dyDescent="0.2">
      <c r="B855" s="2"/>
      <c r="C855" s="6"/>
    </row>
    <row r="856" spans="2:3" x14ac:dyDescent="0.2">
      <c r="B856" s="2"/>
      <c r="C856" s="6"/>
    </row>
    <row r="857" spans="2:3" x14ac:dyDescent="0.2">
      <c r="B857" s="2"/>
      <c r="C857" s="6"/>
    </row>
    <row r="858" spans="2:3" x14ac:dyDescent="0.2">
      <c r="B858" s="2"/>
      <c r="C858" s="6"/>
    </row>
    <row r="859" spans="2:3" x14ac:dyDescent="0.2">
      <c r="B859" s="2"/>
      <c r="C859" s="6"/>
    </row>
    <row r="860" spans="2:3" x14ac:dyDescent="0.2">
      <c r="B860" s="2"/>
      <c r="C860" s="6"/>
    </row>
    <row r="861" spans="2:3" x14ac:dyDescent="0.2">
      <c r="B861" s="2"/>
      <c r="C861" s="6"/>
    </row>
    <row r="862" spans="2:3" x14ac:dyDescent="0.2">
      <c r="B862" s="2"/>
      <c r="C862" s="6"/>
    </row>
    <row r="863" spans="2:3" x14ac:dyDescent="0.2">
      <c r="B863" s="2"/>
      <c r="C863" s="6"/>
    </row>
    <row r="864" spans="2:3" x14ac:dyDescent="0.2">
      <c r="B864" s="2"/>
      <c r="C864" s="6"/>
    </row>
    <row r="865" spans="2:3" x14ac:dyDescent="0.2">
      <c r="B865" s="2"/>
      <c r="C865" s="6"/>
    </row>
    <row r="866" spans="2:3" x14ac:dyDescent="0.2">
      <c r="B866" s="2"/>
      <c r="C866" s="6"/>
    </row>
    <row r="867" spans="2:3" x14ac:dyDescent="0.2">
      <c r="B867" s="2"/>
      <c r="C867" s="6"/>
    </row>
    <row r="868" spans="2:3" x14ac:dyDescent="0.2">
      <c r="B868" s="2"/>
      <c r="C868" s="6"/>
    </row>
    <row r="869" spans="2:3" x14ac:dyDescent="0.2">
      <c r="B869" s="2"/>
      <c r="C869" s="6"/>
    </row>
    <row r="870" spans="2:3" x14ac:dyDescent="0.2">
      <c r="B870" s="2"/>
      <c r="C870" s="6"/>
    </row>
    <row r="871" spans="2:3" x14ac:dyDescent="0.2">
      <c r="B871" s="2"/>
      <c r="C871" s="6"/>
    </row>
    <row r="872" spans="2:3" x14ac:dyDescent="0.2">
      <c r="B872" s="2"/>
      <c r="C872" s="6"/>
    </row>
    <row r="873" spans="2:3" x14ac:dyDescent="0.2">
      <c r="B873" s="2"/>
      <c r="C873" s="6"/>
    </row>
    <row r="874" spans="2:3" x14ac:dyDescent="0.2">
      <c r="B874" s="2"/>
      <c r="C874" s="6"/>
    </row>
    <row r="875" spans="2:3" x14ac:dyDescent="0.2">
      <c r="B875" s="2"/>
      <c r="C875" s="6"/>
    </row>
    <row r="876" spans="2:3" x14ac:dyDescent="0.2">
      <c r="B876" s="2"/>
      <c r="C876" s="6"/>
    </row>
    <row r="877" spans="2:3" x14ac:dyDescent="0.2">
      <c r="B877" s="2"/>
      <c r="C877" s="6"/>
    </row>
    <row r="878" spans="2:3" x14ac:dyDescent="0.2">
      <c r="B878" s="2"/>
      <c r="C878" s="6"/>
    </row>
    <row r="879" spans="2:3" x14ac:dyDescent="0.2">
      <c r="B879" s="2"/>
      <c r="C879" s="6"/>
    </row>
    <row r="880" spans="2:3" x14ac:dyDescent="0.2">
      <c r="B880" s="2"/>
      <c r="C880" s="6"/>
    </row>
    <row r="881" spans="2:3" x14ac:dyDescent="0.2">
      <c r="B881" s="2"/>
      <c r="C881" s="6"/>
    </row>
    <row r="882" spans="2:3" x14ac:dyDescent="0.2">
      <c r="B882" s="2"/>
      <c r="C882" s="6"/>
    </row>
    <row r="883" spans="2:3" x14ac:dyDescent="0.2">
      <c r="B883" s="2"/>
      <c r="C883" s="6"/>
    </row>
    <row r="884" spans="2:3" x14ac:dyDescent="0.2">
      <c r="B884" s="2"/>
      <c r="C884" s="6"/>
    </row>
    <row r="885" spans="2:3" x14ac:dyDescent="0.2">
      <c r="B885" s="2"/>
      <c r="C885" s="6"/>
    </row>
    <row r="886" spans="2:3" x14ac:dyDescent="0.2">
      <c r="B886" s="2"/>
      <c r="C886" s="6"/>
    </row>
    <row r="887" spans="2:3" x14ac:dyDescent="0.2">
      <c r="B887" s="2"/>
      <c r="C887" s="6"/>
    </row>
    <row r="888" spans="2:3" x14ac:dyDescent="0.2">
      <c r="B888" s="2"/>
      <c r="C888" s="6"/>
    </row>
    <row r="889" spans="2:3" x14ac:dyDescent="0.2">
      <c r="B889" s="2"/>
      <c r="C889" s="6"/>
    </row>
    <row r="890" spans="2:3" x14ac:dyDescent="0.2">
      <c r="B890" s="2"/>
      <c r="C890" s="6"/>
    </row>
    <row r="891" spans="2:3" x14ac:dyDescent="0.2">
      <c r="B891" s="2"/>
      <c r="C891" s="6"/>
    </row>
    <row r="892" spans="2:3" x14ac:dyDescent="0.2">
      <c r="B892" s="2"/>
      <c r="C892" s="6"/>
    </row>
    <row r="893" spans="2:3" x14ac:dyDescent="0.2">
      <c r="B893" s="2"/>
      <c r="C893" s="6"/>
    </row>
    <row r="894" spans="2:3" x14ac:dyDescent="0.2">
      <c r="B894" s="2"/>
      <c r="C894" s="6"/>
    </row>
    <row r="895" spans="2:3" x14ac:dyDescent="0.2">
      <c r="B895" s="2"/>
      <c r="C895" s="6"/>
    </row>
    <row r="896" spans="2:3" x14ac:dyDescent="0.2">
      <c r="B896" s="2"/>
      <c r="C896" s="6"/>
    </row>
    <row r="897" spans="2:3" x14ac:dyDescent="0.2">
      <c r="B897" s="2"/>
      <c r="C897" s="6"/>
    </row>
    <row r="898" spans="2:3" x14ac:dyDescent="0.2">
      <c r="B898" s="2"/>
      <c r="C898" s="6"/>
    </row>
    <row r="899" spans="2:3" x14ac:dyDescent="0.2">
      <c r="B899" s="2"/>
      <c r="C899" s="6"/>
    </row>
    <row r="900" spans="2:3" x14ac:dyDescent="0.2">
      <c r="B900" s="2"/>
      <c r="C900" s="6"/>
    </row>
    <row r="901" spans="2:3" x14ac:dyDescent="0.2">
      <c r="B901" s="2"/>
      <c r="C901" s="6"/>
    </row>
    <row r="902" spans="2:3" x14ac:dyDescent="0.2">
      <c r="B902" s="2"/>
      <c r="C902" s="6"/>
    </row>
    <row r="903" spans="2:3" x14ac:dyDescent="0.2">
      <c r="B903" s="2"/>
      <c r="C903" s="6"/>
    </row>
    <row r="904" spans="2:3" x14ac:dyDescent="0.2">
      <c r="B904" s="2"/>
      <c r="C904" s="6"/>
    </row>
    <row r="905" spans="2:3" x14ac:dyDescent="0.2">
      <c r="B905" s="2"/>
      <c r="C905" s="6"/>
    </row>
    <row r="906" spans="2:3" x14ac:dyDescent="0.2">
      <c r="B906" s="2"/>
      <c r="C906" s="6"/>
    </row>
    <row r="907" spans="2:3" x14ac:dyDescent="0.2">
      <c r="B907" s="2"/>
      <c r="C907" s="6"/>
    </row>
    <row r="908" spans="2:3" x14ac:dyDescent="0.2">
      <c r="B908" s="2"/>
      <c r="C908" s="6"/>
    </row>
    <row r="909" spans="2:3" x14ac:dyDescent="0.2">
      <c r="B909" s="2"/>
      <c r="C909" s="6"/>
    </row>
    <row r="910" spans="2:3" x14ac:dyDescent="0.2">
      <c r="B910" s="2"/>
      <c r="C910" s="6"/>
    </row>
    <row r="911" spans="2:3" x14ac:dyDescent="0.2">
      <c r="B911" s="2"/>
      <c r="C911" s="6"/>
    </row>
    <row r="912" spans="2:3" x14ac:dyDescent="0.2">
      <c r="B912" s="2"/>
      <c r="C912" s="6"/>
    </row>
    <row r="913" spans="2:3" x14ac:dyDescent="0.2">
      <c r="B913" s="2"/>
      <c r="C913" s="6"/>
    </row>
    <row r="914" spans="2:3" x14ac:dyDescent="0.2">
      <c r="B914" s="2"/>
      <c r="C914" s="6"/>
    </row>
    <row r="915" spans="2:3" x14ac:dyDescent="0.2">
      <c r="B915" s="2"/>
      <c r="C915" s="6"/>
    </row>
    <row r="916" spans="2:3" x14ac:dyDescent="0.2">
      <c r="B916" s="2"/>
      <c r="C916" s="6"/>
    </row>
    <row r="917" spans="2:3" x14ac:dyDescent="0.2">
      <c r="B917" s="2"/>
      <c r="C917" s="6"/>
    </row>
    <row r="918" spans="2:3" x14ac:dyDescent="0.2">
      <c r="B918" s="2"/>
      <c r="C918" s="6"/>
    </row>
    <row r="919" spans="2:3" x14ac:dyDescent="0.2">
      <c r="B919" s="2"/>
      <c r="C919" s="6"/>
    </row>
    <row r="920" spans="2:3" x14ac:dyDescent="0.2">
      <c r="B920" s="2"/>
      <c r="C920" s="6"/>
    </row>
    <row r="921" spans="2:3" x14ac:dyDescent="0.2">
      <c r="B921" s="2"/>
      <c r="C921" s="6"/>
    </row>
    <row r="922" spans="2:3" x14ac:dyDescent="0.2">
      <c r="B922" s="2"/>
      <c r="C922" s="6"/>
    </row>
    <row r="923" spans="2:3" x14ac:dyDescent="0.2">
      <c r="B923" s="2"/>
      <c r="C923" s="6"/>
    </row>
    <row r="924" spans="2:3" x14ac:dyDescent="0.2">
      <c r="B924" s="2"/>
      <c r="C924" s="6"/>
    </row>
    <row r="925" spans="2:3" x14ac:dyDescent="0.2">
      <c r="B925" s="2"/>
      <c r="C925" s="6"/>
    </row>
    <row r="926" spans="2:3" x14ac:dyDescent="0.2">
      <c r="B926" s="2"/>
      <c r="C926" s="6"/>
    </row>
    <row r="927" spans="2:3" x14ac:dyDescent="0.2">
      <c r="B927" s="2"/>
      <c r="C927" s="6"/>
    </row>
    <row r="928" spans="2:3" x14ac:dyDescent="0.2">
      <c r="B928" s="2"/>
      <c r="C928" s="6"/>
    </row>
    <row r="929" spans="2:3" x14ac:dyDescent="0.2">
      <c r="B929" s="2"/>
      <c r="C929" s="6"/>
    </row>
    <row r="930" spans="2:3" x14ac:dyDescent="0.2">
      <c r="B930" s="2"/>
      <c r="C930" s="6"/>
    </row>
    <row r="931" spans="2:3" x14ac:dyDescent="0.2">
      <c r="B931" s="2"/>
      <c r="C931" s="6"/>
    </row>
    <row r="932" spans="2:3" x14ac:dyDescent="0.2">
      <c r="B932" s="2"/>
      <c r="C932" s="6"/>
    </row>
    <row r="933" spans="2:3" x14ac:dyDescent="0.2">
      <c r="B933" s="2"/>
      <c r="C933" s="6"/>
    </row>
    <row r="934" spans="2:3" x14ac:dyDescent="0.2">
      <c r="B934" s="2"/>
      <c r="C934" s="6"/>
    </row>
    <row r="935" spans="2:3" x14ac:dyDescent="0.2">
      <c r="B935" s="2"/>
      <c r="C935" s="6"/>
    </row>
    <row r="936" spans="2:3" x14ac:dyDescent="0.2">
      <c r="B936" s="2"/>
      <c r="C936" s="6"/>
    </row>
    <row r="937" spans="2:3" x14ac:dyDescent="0.2">
      <c r="B937" s="2"/>
      <c r="C937" s="6"/>
    </row>
    <row r="938" spans="2:3" x14ac:dyDescent="0.2">
      <c r="B938" s="2"/>
      <c r="C938" s="6"/>
    </row>
    <row r="939" spans="2:3" x14ac:dyDescent="0.2">
      <c r="B939" s="2"/>
      <c r="C939" s="6"/>
    </row>
    <row r="940" spans="2:3" x14ac:dyDescent="0.2">
      <c r="B940" s="2"/>
      <c r="C940" s="6"/>
    </row>
    <row r="941" spans="2:3" x14ac:dyDescent="0.2">
      <c r="B941" s="2"/>
      <c r="C941" s="6"/>
    </row>
    <row r="942" spans="2:3" x14ac:dyDescent="0.2">
      <c r="B942" s="2"/>
      <c r="C942" s="6"/>
    </row>
    <row r="943" spans="2:3" x14ac:dyDescent="0.2">
      <c r="B943" s="2"/>
      <c r="C943" s="6"/>
    </row>
    <row r="944" spans="2:3" x14ac:dyDescent="0.2">
      <c r="B944" s="2"/>
      <c r="C944" s="6"/>
    </row>
    <row r="945" spans="2:3" x14ac:dyDescent="0.2">
      <c r="B945" s="2"/>
      <c r="C945" s="6"/>
    </row>
    <row r="946" spans="2:3" x14ac:dyDescent="0.2">
      <c r="B946" s="2"/>
      <c r="C946" s="6"/>
    </row>
    <row r="947" spans="2:3" x14ac:dyDescent="0.2">
      <c r="B947" s="2"/>
      <c r="C947" s="6"/>
    </row>
    <row r="948" spans="2:3" x14ac:dyDescent="0.2">
      <c r="B948" s="2"/>
      <c r="C948" s="6"/>
    </row>
    <row r="949" spans="2:3" x14ac:dyDescent="0.2">
      <c r="B949" s="2"/>
      <c r="C949" s="6"/>
    </row>
    <row r="950" spans="2:3" x14ac:dyDescent="0.2">
      <c r="B950" s="2"/>
      <c r="C950" s="6"/>
    </row>
    <row r="951" spans="2:3" x14ac:dyDescent="0.2">
      <c r="B951" s="2"/>
      <c r="C951" s="6"/>
    </row>
    <row r="952" spans="2:3" x14ac:dyDescent="0.2">
      <c r="B952" s="2"/>
      <c r="C952" s="6"/>
    </row>
    <row r="953" spans="2:3" x14ac:dyDescent="0.2">
      <c r="B953" s="2"/>
      <c r="C953" s="6"/>
    </row>
    <row r="954" spans="2:3" x14ac:dyDescent="0.2">
      <c r="B954" s="2"/>
      <c r="C954" s="6"/>
    </row>
    <row r="955" spans="2:3" x14ac:dyDescent="0.2">
      <c r="B955" s="2"/>
      <c r="C955" s="6"/>
    </row>
    <row r="956" spans="2:3" x14ac:dyDescent="0.2">
      <c r="B956" s="2"/>
      <c r="C956" s="6"/>
    </row>
    <row r="957" spans="2:3" x14ac:dyDescent="0.2">
      <c r="B957" s="2"/>
      <c r="C957" s="6"/>
    </row>
    <row r="958" spans="2:3" x14ac:dyDescent="0.2">
      <c r="B958" s="2"/>
      <c r="C958" s="6"/>
    </row>
    <row r="959" spans="2:3" x14ac:dyDescent="0.2">
      <c r="B959" s="2"/>
      <c r="C959" s="6"/>
    </row>
    <row r="960" spans="2:3" x14ac:dyDescent="0.2">
      <c r="B960" s="2"/>
      <c r="C960" s="6"/>
    </row>
    <row r="961" spans="2:3" x14ac:dyDescent="0.2">
      <c r="B961" s="2"/>
      <c r="C961" s="6"/>
    </row>
    <row r="962" spans="2:3" x14ac:dyDescent="0.2">
      <c r="B962" s="2"/>
      <c r="C962" s="6"/>
    </row>
    <row r="963" spans="2:3" x14ac:dyDescent="0.2">
      <c r="B963" s="2"/>
      <c r="C963" s="6"/>
    </row>
    <row r="964" spans="2:3" x14ac:dyDescent="0.2">
      <c r="B964" s="2"/>
      <c r="C964" s="6"/>
    </row>
    <row r="965" spans="2:3" x14ac:dyDescent="0.2">
      <c r="B965" s="2"/>
      <c r="C965" s="6"/>
    </row>
    <row r="966" spans="2:3" x14ac:dyDescent="0.2">
      <c r="B966" s="2"/>
      <c r="C966" s="6"/>
    </row>
    <row r="967" spans="2:3" x14ac:dyDescent="0.2">
      <c r="B967" s="2"/>
      <c r="C967" s="6"/>
    </row>
    <row r="968" spans="2:3" x14ac:dyDescent="0.2">
      <c r="B968" s="2"/>
      <c r="C968" s="6"/>
    </row>
    <row r="969" spans="2:3" x14ac:dyDescent="0.2">
      <c r="B969" s="2"/>
      <c r="C969" s="6"/>
    </row>
    <row r="970" spans="2:3" x14ac:dyDescent="0.2">
      <c r="B970" s="2"/>
      <c r="C970" s="6"/>
    </row>
    <row r="971" spans="2:3" x14ac:dyDescent="0.2">
      <c r="B971" s="2"/>
      <c r="C971" s="6"/>
    </row>
    <row r="972" spans="2:3" x14ac:dyDescent="0.2">
      <c r="B972" s="2"/>
      <c r="C972" s="6"/>
    </row>
    <row r="973" spans="2:3" x14ac:dyDescent="0.2">
      <c r="B973" s="2"/>
      <c r="C973" s="6"/>
    </row>
    <row r="974" spans="2:3" x14ac:dyDescent="0.2">
      <c r="B974" s="2"/>
      <c r="C974" s="6"/>
    </row>
    <row r="975" spans="2:3" x14ac:dyDescent="0.2">
      <c r="B975" s="2"/>
      <c r="C975" s="6"/>
    </row>
    <row r="976" spans="2:3" x14ac:dyDescent="0.2">
      <c r="B976" s="2"/>
      <c r="C976" s="6"/>
    </row>
    <row r="977" spans="2:3" x14ac:dyDescent="0.2">
      <c r="B977" s="2"/>
      <c r="C977" s="6"/>
    </row>
    <row r="978" spans="2:3" x14ac:dyDescent="0.2">
      <c r="B978" s="2"/>
      <c r="C978" s="6"/>
    </row>
    <row r="979" spans="2:3" x14ac:dyDescent="0.2">
      <c r="B979" s="2"/>
      <c r="C979" s="6"/>
    </row>
    <row r="980" spans="2:3" x14ac:dyDescent="0.2">
      <c r="B980" s="2"/>
      <c r="C980" s="6"/>
    </row>
    <row r="981" spans="2:3" x14ac:dyDescent="0.2">
      <c r="B981" s="2"/>
      <c r="C981" s="6"/>
    </row>
    <row r="982" spans="2:3" x14ac:dyDescent="0.2">
      <c r="B982" s="2"/>
      <c r="C982" s="6"/>
    </row>
    <row r="983" spans="2:3" x14ac:dyDescent="0.2">
      <c r="B983" s="2"/>
      <c r="C983" s="6"/>
    </row>
    <row r="984" spans="2:3" x14ac:dyDescent="0.2">
      <c r="B984" s="2"/>
      <c r="C984" s="6"/>
    </row>
    <row r="985" spans="2:3" x14ac:dyDescent="0.2">
      <c r="B985" s="2"/>
      <c r="C985" s="6"/>
    </row>
    <row r="986" spans="2:3" x14ac:dyDescent="0.2">
      <c r="B986" s="2"/>
      <c r="C986" s="6"/>
    </row>
    <row r="987" spans="2:3" x14ac:dyDescent="0.2">
      <c r="B987" s="2"/>
      <c r="C987" s="6"/>
    </row>
    <row r="988" spans="2:3" x14ac:dyDescent="0.2">
      <c r="B988" s="2"/>
      <c r="C988" s="6"/>
    </row>
    <row r="989" spans="2:3" x14ac:dyDescent="0.2">
      <c r="B989" s="2"/>
      <c r="C989" s="6"/>
    </row>
    <row r="990" spans="2:3" x14ac:dyDescent="0.2">
      <c r="B990" s="2"/>
      <c r="C990" s="6"/>
    </row>
    <row r="991" spans="2:3" x14ac:dyDescent="0.2">
      <c r="B991" s="2"/>
      <c r="C991" s="6"/>
    </row>
    <row r="992" spans="2:3" x14ac:dyDescent="0.2">
      <c r="B992" s="2"/>
      <c r="C992" s="6"/>
    </row>
    <row r="993" spans="2:3" x14ac:dyDescent="0.2">
      <c r="B993" s="2"/>
      <c r="C993" s="6"/>
    </row>
    <row r="994" spans="2:3" x14ac:dyDescent="0.2">
      <c r="B994" s="2"/>
      <c r="C994" s="6"/>
    </row>
    <row r="995" spans="2:3" x14ac:dyDescent="0.2">
      <c r="B995" s="2"/>
      <c r="C995" s="6"/>
    </row>
    <row r="996" spans="2:3" x14ac:dyDescent="0.2">
      <c r="B996" s="2"/>
      <c r="C996" s="6"/>
    </row>
    <row r="997" spans="2:3" x14ac:dyDescent="0.2">
      <c r="B997" s="2"/>
      <c r="C997" s="6"/>
    </row>
    <row r="998" spans="2:3" x14ac:dyDescent="0.2">
      <c r="B998" s="2"/>
      <c r="C998" s="6"/>
    </row>
    <row r="999" spans="2:3" x14ac:dyDescent="0.2">
      <c r="B999" s="2"/>
      <c r="C999" s="6"/>
    </row>
    <row r="1000" spans="2:3" x14ac:dyDescent="0.2">
      <c r="B1000" s="2"/>
      <c r="C1000" s="6"/>
    </row>
    <row r="1001" spans="2:3" x14ac:dyDescent="0.2">
      <c r="B1001" s="2"/>
      <c r="C1001" s="6"/>
    </row>
    <row r="1002" spans="2:3" x14ac:dyDescent="0.2">
      <c r="B1002" s="2"/>
      <c r="C1002" s="6"/>
    </row>
    <row r="1003" spans="2:3" x14ac:dyDescent="0.2">
      <c r="B1003" s="2"/>
      <c r="C1003" s="6"/>
    </row>
    <row r="1004" spans="2:3" x14ac:dyDescent="0.2">
      <c r="B1004" s="2"/>
      <c r="C1004" s="6"/>
    </row>
    <row r="1005" spans="2:3" x14ac:dyDescent="0.2">
      <c r="B1005" s="2"/>
      <c r="C1005" s="6"/>
    </row>
    <row r="1006" spans="2:3" x14ac:dyDescent="0.2">
      <c r="B1006" s="2"/>
      <c r="C1006" s="6"/>
    </row>
    <row r="1007" spans="2:3" x14ac:dyDescent="0.2">
      <c r="B1007" s="2"/>
      <c r="C1007" s="6"/>
    </row>
    <row r="1008" spans="2:3" x14ac:dyDescent="0.2">
      <c r="B1008" s="2"/>
      <c r="C1008" s="6"/>
    </row>
    <row r="1009" spans="2:3" x14ac:dyDescent="0.2">
      <c r="B1009" s="2"/>
      <c r="C1009" s="6"/>
    </row>
    <row r="1010" spans="2:3" x14ac:dyDescent="0.2">
      <c r="B1010" s="2"/>
      <c r="C1010" s="6"/>
    </row>
    <row r="1011" spans="2:3" x14ac:dyDescent="0.2">
      <c r="B1011" s="2"/>
      <c r="C1011" s="6"/>
    </row>
    <row r="1012" spans="2:3" x14ac:dyDescent="0.2">
      <c r="B1012" s="2"/>
      <c r="C1012" s="6"/>
    </row>
    <row r="1013" spans="2:3" x14ac:dyDescent="0.2">
      <c r="B1013" s="2"/>
      <c r="C1013" s="6"/>
    </row>
    <row r="1014" spans="2:3" x14ac:dyDescent="0.2">
      <c r="B1014" s="2"/>
      <c r="C1014" s="6"/>
    </row>
    <row r="1015" spans="2:3" x14ac:dyDescent="0.2">
      <c r="B1015" s="2"/>
      <c r="C1015" s="6"/>
    </row>
    <row r="1016" spans="2:3" x14ac:dyDescent="0.2">
      <c r="B1016" s="2"/>
      <c r="C1016" s="6"/>
    </row>
    <row r="1017" spans="2:3" x14ac:dyDescent="0.2">
      <c r="B1017" s="2"/>
      <c r="C1017" s="6"/>
    </row>
    <row r="1018" spans="2:3" x14ac:dyDescent="0.2">
      <c r="B1018" s="2"/>
      <c r="C1018" s="6"/>
    </row>
    <row r="1019" spans="2:3" x14ac:dyDescent="0.2">
      <c r="B1019" s="2"/>
      <c r="C1019" s="6"/>
    </row>
    <row r="1020" spans="2:3" x14ac:dyDescent="0.2">
      <c r="B1020" s="2"/>
      <c r="C1020" s="6"/>
    </row>
    <row r="1021" spans="2:3" x14ac:dyDescent="0.2">
      <c r="B1021" s="2"/>
      <c r="C1021" s="6"/>
    </row>
    <row r="1022" spans="2:3" x14ac:dyDescent="0.2">
      <c r="B1022" s="2"/>
      <c r="C1022" s="6"/>
    </row>
    <row r="1023" spans="2:3" x14ac:dyDescent="0.2">
      <c r="B1023" s="2"/>
      <c r="C1023" s="6"/>
    </row>
    <row r="1024" spans="2:3" x14ac:dyDescent="0.2">
      <c r="B1024" s="2"/>
      <c r="C1024" s="6"/>
    </row>
    <row r="1025" spans="2:3" x14ac:dyDescent="0.2">
      <c r="B1025" s="2"/>
      <c r="C1025" s="6"/>
    </row>
    <row r="1026" spans="2:3" x14ac:dyDescent="0.2">
      <c r="B1026" s="2"/>
      <c r="C1026" s="6"/>
    </row>
    <row r="1027" spans="2:3" x14ac:dyDescent="0.2">
      <c r="B1027" s="2"/>
      <c r="C1027" s="6"/>
    </row>
    <row r="1028" spans="2:3" x14ac:dyDescent="0.2">
      <c r="B1028" s="2"/>
      <c r="C1028" s="6"/>
    </row>
    <row r="1029" spans="2:3" x14ac:dyDescent="0.2">
      <c r="B1029" s="2"/>
      <c r="C1029" s="6"/>
    </row>
    <row r="1030" spans="2:3" x14ac:dyDescent="0.2">
      <c r="B1030" s="2"/>
      <c r="C1030" s="6"/>
    </row>
    <row r="1031" spans="2:3" x14ac:dyDescent="0.2">
      <c r="B1031" s="2"/>
      <c r="C1031" s="6"/>
    </row>
    <row r="1032" spans="2:3" x14ac:dyDescent="0.2">
      <c r="B1032" s="2"/>
      <c r="C1032" s="6"/>
    </row>
    <row r="1033" spans="2:3" x14ac:dyDescent="0.2">
      <c r="B1033" s="2"/>
      <c r="C1033" s="6"/>
    </row>
    <row r="1034" spans="2:3" x14ac:dyDescent="0.2">
      <c r="B1034" s="2"/>
      <c r="C1034" s="6"/>
    </row>
    <row r="1035" spans="2:3" x14ac:dyDescent="0.2">
      <c r="B1035" s="2"/>
      <c r="C1035" s="6"/>
    </row>
    <row r="1036" spans="2:3" x14ac:dyDescent="0.2">
      <c r="B1036" s="2"/>
      <c r="C1036" s="6"/>
    </row>
    <row r="1037" spans="2:3" x14ac:dyDescent="0.2">
      <c r="B1037" s="2"/>
      <c r="C1037" s="6"/>
    </row>
    <row r="1038" spans="2:3" x14ac:dyDescent="0.2">
      <c r="B1038" s="2"/>
      <c r="C1038" s="6"/>
    </row>
    <row r="1039" spans="2:3" x14ac:dyDescent="0.2">
      <c r="B1039" s="2"/>
      <c r="C1039" s="6"/>
    </row>
    <row r="1040" spans="2:3" x14ac:dyDescent="0.2">
      <c r="B1040" s="2"/>
      <c r="C1040" s="6"/>
    </row>
    <row r="1041" spans="2:3" x14ac:dyDescent="0.2">
      <c r="B1041" s="2"/>
      <c r="C1041" s="6"/>
    </row>
    <row r="1042" spans="2:3" x14ac:dyDescent="0.2">
      <c r="B1042" s="2"/>
      <c r="C1042" s="6"/>
    </row>
    <row r="1043" spans="2:3" x14ac:dyDescent="0.2">
      <c r="B1043" s="2"/>
      <c r="C1043" s="6"/>
    </row>
    <row r="1044" spans="2:3" x14ac:dyDescent="0.2">
      <c r="B1044" s="2"/>
      <c r="C1044" s="6"/>
    </row>
    <row r="1045" spans="2:3" x14ac:dyDescent="0.2">
      <c r="B1045" s="2"/>
      <c r="C1045" s="6"/>
    </row>
    <row r="1046" spans="2:3" x14ac:dyDescent="0.2">
      <c r="B1046" s="2"/>
      <c r="C1046" s="6"/>
    </row>
    <row r="1047" spans="2:3" x14ac:dyDescent="0.2">
      <c r="B1047" s="2"/>
      <c r="C1047" s="6"/>
    </row>
    <row r="1048" spans="2:3" x14ac:dyDescent="0.2">
      <c r="B1048" s="2"/>
      <c r="C1048" s="6"/>
    </row>
    <row r="1049" spans="2:3" x14ac:dyDescent="0.2">
      <c r="B1049" s="2"/>
      <c r="C1049" s="6"/>
    </row>
    <row r="1050" spans="2:3" x14ac:dyDescent="0.2">
      <c r="B1050" s="2"/>
      <c r="C1050" s="6"/>
    </row>
    <row r="1051" spans="2:3" x14ac:dyDescent="0.2">
      <c r="B1051" s="2"/>
      <c r="C1051" s="6"/>
    </row>
    <row r="1052" spans="2:3" x14ac:dyDescent="0.2">
      <c r="B1052" s="2"/>
      <c r="C1052" s="6"/>
    </row>
    <row r="1053" spans="2:3" x14ac:dyDescent="0.2">
      <c r="B1053" s="2"/>
      <c r="C1053" s="6"/>
    </row>
    <row r="1054" spans="2:3" x14ac:dyDescent="0.2">
      <c r="B1054" s="2"/>
      <c r="C1054" s="6"/>
    </row>
    <row r="1055" spans="2:3" x14ac:dyDescent="0.2">
      <c r="B1055" s="2"/>
      <c r="C1055" s="6"/>
    </row>
    <row r="1056" spans="2:3" x14ac:dyDescent="0.2">
      <c r="B1056" s="2"/>
      <c r="C1056" s="6"/>
    </row>
    <row r="1057" spans="2:3" x14ac:dyDescent="0.2">
      <c r="B1057" s="2"/>
      <c r="C1057" s="6"/>
    </row>
    <row r="1058" spans="2:3" x14ac:dyDescent="0.2">
      <c r="B1058" s="2"/>
      <c r="C1058" s="6"/>
    </row>
    <row r="1059" spans="2:3" x14ac:dyDescent="0.2">
      <c r="B1059" s="2"/>
      <c r="C1059" s="6"/>
    </row>
    <row r="1060" spans="2:3" x14ac:dyDescent="0.2">
      <c r="B1060" s="2"/>
      <c r="C1060" s="6"/>
    </row>
    <row r="1061" spans="2:3" x14ac:dyDescent="0.2">
      <c r="B1061" s="2"/>
      <c r="C1061" s="6"/>
    </row>
    <row r="1062" spans="2:3" x14ac:dyDescent="0.2">
      <c r="B1062" s="2"/>
      <c r="C1062" s="6"/>
    </row>
    <row r="1063" spans="2:3" x14ac:dyDescent="0.2">
      <c r="B1063" s="2"/>
      <c r="C1063" s="6"/>
    </row>
    <row r="1064" spans="2:3" x14ac:dyDescent="0.2">
      <c r="B1064" s="2"/>
      <c r="C1064" s="6"/>
    </row>
    <row r="1065" spans="2:3" x14ac:dyDescent="0.2">
      <c r="B1065" s="2"/>
      <c r="C1065" s="6"/>
    </row>
    <row r="1066" spans="2:3" x14ac:dyDescent="0.2">
      <c r="B1066" s="2"/>
      <c r="C1066" s="6"/>
    </row>
    <row r="1067" spans="2:3" x14ac:dyDescent="0.2">
      <c r="B1067" s="2"/>
      <c r="C1067" s="6"/>
    </row>
    <row r="1068" spans="2:3" x14ac:dyDescent="0.2">
      <c r="B1068" s="2"/>
      <c r="C1068" s="6"/>
    </row>
    <row r="1069" spans="2:3" x14ac:dyDescent="0.2">
      <c r="B1069" s="2"/>
      <c r="C1069" s="6"/>
    </row>
    <row r="1070" spans="2:3" x14ac:dyDescent="0.2">
      <c r="B1070" s="2"/>
      <c r="C1070" s="6"/>
    </row>
    <row r="1071" spans="2:3" x14ac:dyDescent="0.2">
      <c r="B1071" s="2"/>
      <c r="C1071" s="6"/>
    </row>
    <row r="1072" spans="2:3" x14ac:dyDescent="0.2">
      <c r="B1072" s="2"/>
      <c r="C1072" s="6"/>
    </row>
    <row r="1073" spans="2:3" x14ac:dyDescent="0.2">
      <c r="B1073" s="2"/>
      <c r="C1073" s="6"/>
    </row>
    <row r="1074" spans="2:3" x14ac:dyDescent="0.2">
      <c r="B1074" s="2"/>
      <c r="C1074" s="6"/>
    </row>
    <row r="1075" spans="2:3" x14ac:dyDescent="0.2">
      <c r="B1075" s="2"/>
      <c r="C1075" s="6"/>
    </row>
    <row r="1076" spans="2:3" x14ac:dyDescent="0.2">
      <c r="B1076" s="2"/>
      <c r="C1076" s="6"/>
    </row>
    <row r="1077" spans="2:3" x14ac:dyDescent="0.2">
      <c r="B1077" s="2"/>
      <c r="C1077" s="6"/>
    </row>
    <row r="1078" spans="2:3" x14ac:dyDescent="0.2">
      <c r="B1078" s="2"/>
      <c r="C1078" s="6"/>
    </row>
    <row r="1079" spans="2:3" x14ac:dyDescent="0.2">
      <c r="B1079" s="2"/>
      <c r="C1079" s="6"/>
    </row>
    <row r="1080" spans="2:3" x14ac:dyDescent="0.2">
      <c r="B1080" s="2"/>
      <c r="C1080" s="6"/>
    </row>
    <row r="1081" spans="2:3" x14ac:dyDescent="0.2">
      <c r="B1081" s="2"/>
      <c r="C1081" s="6"/>
    </row>
    <row r="1082" spans="2:3" x14ac:dyDescent="0.2">
      <c r="B1082" s="2"/>
      <c r="C1082" s="6"/>
    </row>
    <row r="1083" spans="2:3" x14ac:dyDescent="0.2">
      <c r="B1083" s="2"/>
      <c r="C1083" s="6"/>
    </row>
    <row r="1084" spans="2:3" x14ac:dyDescent="0.2">
      <c r="B1084" s="2"/>
      <c r="C1084" s="6"/>
    </row>
    <row r="1085" spans="2:3" x14ac:dyDescent="0.2">
      <c r="B1085" s="2"/>
      <c r="C1085" s="6"/>
    </row>
    <row r="1086" spans="2:3" x14ac:dyDescent="0.2">
      <c r="B1086" s="2"/>
      <c r="C1086" s="6"/>
    </row>
    <row r="1087" spans="2:3" x14ac:dyDescent="0.2">
      <c r="B1087" s="2"/>
      <c r="C1087" s="6"/>
    </row>
    <row r="1088" spans="2:3" x14ac:dyDescent="0.2">
      <c r="B1088" s="2"/>
      <c r="C1088" s="6"/>
    </row>
    <row r="1089" spans="2:3" x14ac:dyDescent="0.2">
      <c r="B1089" s="2"/>
      <c r="C1089" s="6"/>
    </row>
    <row r="1090" spans="2:3" x14ac:dyDescent="0.2">
      <c r="B1090" s="2"/>
      <c r="C1090" s="6"/>
    </row>
    <row r="1091" spans="2:3" x14ac:dyDescent="0.2">
      <c r="B1091" s="2"/>
      <c r="C1091" s="6"/>
    </row>
    <row r="1092" spans="2:3" x14ac:dyDescent="0.2">
      <c r="B1092" s="2"/>
      <c r="C1092" s="6"/>
    </row>
    <row r="1093" spans="2:3" x14ac:dyDescent="0.2">
      <c r="B1093" s="2"/>
      <c r="C1093" s="6"/>
    </row>
    <row r="1094" spans="2:3" x14ac:dyDescent="0.2">
      <c r="B1094" s="2"/>
      <c r="C1094" s="6"/>
    </row>
    <row r="1095" spans="2:3" x14ac:dyDescent="0.2">
      <c r="B1095" s="2"/>
      <c r="C1095" s="6"/>
    </row>
    <row r="1096" spans="2:3" x14ac:dyDescent="0.2">
      <c r="B1096" s="2"/>
      <c r="C1096" s="6"/>
    </row>
    <row r="1097" spans="2:3" x14ac:dyDescent="0.2">
      <c r="B1097" s="2"/>
      <c r="C1097" s="6"/>
    </row>
    <row r="1098" spans="2:3" x14ac:dyDescent="0.2">
      <c r="B1098" s="2"/>
      <c r="C1098" s="6"/>
    </row>
    <row r="1099" spans="2:3" x14ac:dyDescent="0.2">
      <c r="B1099" s="2"/>
      <c r="C1099" s="6"/>
    </row>
    <row r="1100" spans="2:3" x14ac:dyDescent="0.2">
      <c r="B1100" s="2"/>
      <c r="C1100" s="6"/>
    </row>
    <row r="1101" spans="2:3" x14ac:dyDescent="0.2">
      <c r="B1101" s="2"/>
      <c r="C1101" s="6"/>
    </row>
    <row r="1102" spans="2:3" x14ac:dyDescent="0.2">
      <c r="B1102" s="2"/>
      <c r="C1102" s="6"/>
    </row>
    <row r="1103" spans="2:3" x14ac:dyDescent="0.2">
      <c r="B1103" s="2"/>
      <c r="C1103" s="6"/>
    </row>
    <row r="1104" spans="2:3" x14ac:dyDescent="0.2">
      <c r="B1104" s="2"/>
      <c r="C1104" s="6"/>
    </row>
    <row r="1105" spans="2:3" x14ac:dyDescent="0.2">
      <c r="B1105" s="2"/>
      <c r="C1105" s="6"/>
    </row>
    <row r="1106" spans="2:3" x14ac:dyDescent="0.2">
      <c r="B1106" s="2"/>
      <c r="C1106" s="6"/>
    </row>
    <row r="1107" spans="2:3" x14ac:dyDescent="0.2">
      <c r="B1107" s="2"/>
      <c r="C1107" s="6"/>
    </row>
    <row r="1108" spans="2:3" x14ac:dyDescent="0.2">
      <c r="B1108" s="2"/>
      <c r="C1108" s="6"/>
    </row>
    <row r="1109" spans="2:3" x14ac:dyDescent="0.2">
      <c r="B1109" s="2"/>
      <c r="C1109" s="6"/>
    </row>
    <row r="1110" spans="2:3" x14ac:dyDescent="0.2">
      <c r="B1110" s="2"/>
      <c r="C1110" s="6"/>
    </row>
    <row r="1111" spans="2:3" x14ac:dyDescent="0.2">
      <c r="B1111" s="2"/>
      <c r="C1111" s="6"/>
    </row>
    <row r="1112" spans="2:3" x14ac:dyDescent="0.2">
      <c r="B1112" s="2"/>
      <c r="C1112" s="6"/>
    </row>
    <row r="1113" spans="2:3" x14ac:dyDescent="0.2">
      <c r="B1113" s="2"/>
      <c r="C1113" s="6"/>
    </row>
    <row r="1114" spans="2:3" x14ac:dyDescent="0.2">
      <c r="B1114" s="2"/>
      <c r="C1114" s="6"/>
    </row>
    <row r="1115" spans="2:3" x14ac:dyDescent="0.2">
      <c r="B1115" s="2"/>
      <c r="C1115" s="6"/>
    </row>
    <row r="1116" spans="2:3" x14ac:dyDescent="0.2">
      <c r="B1116" s="2"/>
      <c r="C1116" s="6"/>
    </row>
    <row r="1117" spans="2:3" x14ac:dyDescent="0.2">
      <c r="B1117" s="2"/>
      <c r="C1117" s="6"/>
    </row>
    <row r="1118" spans="2:3" x14ac:dyDescent="0.2">
      <c r="B1118" s="2"/>
      <c r="C1118" s="6"/>
    </row>
    <row r="1119" spans="2:3" x14ac:dyDescent="0.2">
      <c r="B1119" s="2"/>
      <c r="C1119" s="6"/>
    </row>
    <row r="1120" spans="2:3" x14ac:dyDescent="0.2">
      <c r="B1120" s="2"/>
      <c r="C1120" s="6"/>
    </row>
    <row r="1121" spans="2:3" x14ac:dyDescent="0.2">
      <c r="B1121" s="2"/>
      <c r="C1121" s="6"/>
    </row>
    <row r="1122" spans="2:3" x14ac:dyDescent="0.2">
      <c r="B1122" s="2"/>
      <c r="C1122" s="6"/>
    </row>
    <row r="1123" spans="2:3" x14ac:dyDescent="0.2">
      <c r="B1123" s="2"/>
      <c r="C1123" s="6"/>
    </row>
    <row r="1124" spans="2:3" x14ac:dyDescent="0.2">
      <c r="B1124" s="2"/>
      <c r="C1124" s="6"/>
    </row>
    <row r="1125" spans="2:3" x14ac:dyDescent="0.2">
      <c r="B1125" s="2"/>
      <c r="C1125" s="6"/>
    </row>
    <row r="1126" spans="2:3" x14ac:dyDescent="0.2">
      <c r="B1126" s="2"/>
      <c r="C1126" s="6"/>
    </row>
    <row r="1127" spans="2:3" x14ac:dyDescent="0.2">
      <c r="B1127" s="2"/>
      <c r="C1127" s="6"/>
    </row>
    <row r="1128" spans="2:3" x14ac:dyDescent="0.2">
      <c r="B1128" s="2"/>
      <c r="C1128" s="6"/>
    </row>
    <row r="1129" spans="2:3" x14ac:dyDescent="0.2">
      <c r="B1129" s="2"/>
      <c r="C1129" s="6"/>
    </row>
    <row r="1130" spans="2:3" x14ac:dyDescent="0.2">
      <c r="B1130" s="2"/>
      <c r="C1130" s="6"/>
    </row>
    <row r="1131" spans="2:3" x14ac:dyDescent="0.2">
      <c r="B1131" s="2"/>
      <c r="C1131" s="6"/>
    </row>
    <row r="1132" spans="2:3" x14ac:dyDescent="0.2">
      <c r="B1132" s="2"/>
      <c r="C1132" s="6"/>
    </row>
    <row r="1133" spans="2:3" x14ac:dyDescent="0.2">
      <c r="B1133" s="2"/>
      <c r="C1133" s="6"/>
    </row>
    <row r="1134" spans="2:3" x14ac:dyDescent="0.2">
      <c r="B1134" s="2"/>
      <c r="C1134" s="6"/>
    </row>
    <row r="1135" spans="2:3" x14ac:dyDescent="0.2">
      <c r="B1135" s="2"/>
      <c r="C1135" s="6"/>
    </row>
    <row r="1136" spans="2:3" x14ac:dyDescent="0.2">
      <c r="B1136" s="2"/>
      <c r="C1136" s="6"/>
    </row>
    <row r="1137" spans="2:3" x14ac:dyDescent="0.2">
      <c r="B1137" s="2"/>
      <c r="C1137" s="6"/>
    </row>
    <row r="1138" spans="2:3" x14ac:dyDescent="0.2">
      <c r="B1138" s="2"/>
      <c r="C1138" s="6"/>
    </row>
    <row r="1139" spans="2:3" x14ac:dyDescent="0.2">
      <c r="B1139" s="2"/>
      <c r="C1139" s="6"/>
    </row>
    <row r="1140" spans="2:3" x14ac:dyDescent="0.2">
      <c r="B1140" s="2"/>
      <c r="C1140" s="6"/>
    </row>
    <row r="1141" spans="2:3" x14ac:dyDescent="0.2">
      <c r="B1141" s="2"/>
      <c r="C1141" s="6"/>
    </row>
    <row r="1142" spans="2:3" x14ac:dyDescent="0.2">
      <c r="B1142" s="2"/>
      <c r="C1142" s="6"/>
    </row>
    <row r="1143" spans="2:3" x14ac:dyDescent="0.2">
      <c r="B1143" s="2"/>
      <c r="C1143" s="6"/>
    </row>
    <row r="1144" spans="2:3" x14ac:dyDescent="0.2">
      <c r="B1144" s="2"/>
      <c r="C1144" s="6"/>
    </row>
    <row r="1145" spans="2:3" x14ac:dyDescent="0.2">
      <c r="B1145" s="2"/>
      <c r="C1145" s="6"/>
    </row>
    <row r="1146" spans="2:3" x14ac:dyDescent="0.2">
      <c r="B1146" s="2"/>
      <c r="C1146" s="6"/>
    </row>
    <row r="1147" spans="2:3" x14ac:dyDescent="0.2">
      <c r="B1147" s="2"/>
      <c r="C1147" s="6"/>
    </row>
    <row r="1148" spans="2:3" x14ac:dyDescent="0.2">
      <c r="B1148" s="2"/>
      <c r="C1148" s="6"/>
    </row>
    <row r="1149" spans="2:3" x14ac:dyDescent="0.2">
      <c r="B1149" s="2"/>
      <c r="C1149" s="6"/>
    </row>
    <row r="1150" spans="2:3" x14ac:dyDescent="0.2">
      <c r="B1150" s="2"/>
      <c r="C1150" s="6"/>
    </row>
    <row r="1151" spans="2:3" x14ac:dyDescent="0.2">
      <c r="B1151" s="2"/>
      <c r="C1151" s="6"/>
    </row>
    <row r="1152" spans="2:3" x14ac:dyDescent="0.2">
      <c r="B1152" s="2"/>
      <c r="C1152" s="6"/>
    </row>
    <row r="1153" spans="2:3" x14ac:dyDescent="0.2">
      <c r="B1153" s="2"/>
      <c r="C1153" s="6"/>
    </row>
    <row r="1154" spans="2:3" x14ac:dyDescent="0.2">
      <c r="B1154" s="2"/>
      <c r="C1154" s="6"/>
    </row>
    <row r="1155" spans="2:3" x14ac:dyDescent="0.2">
      <c r="B1155" s="2"/>
      <c r="C1155" s="6"/>
    </row>
    <row r="1156" spans="2:3" x14ac:dyDescent="0.2">
      <c r="B1156" s="2"/>
      <c r="C1156" s="6"/>
    </row>
    <row r="1157" spans="2:3" x14ac:dyDescent="0.2">
      <c r="B1157" s="2"/>
      <c r="C1157" s="6"/>
    </row>
    <row r="1158" spans="2:3" x14ac:dyDescent="0.2">
      <c r="B1158" s="2"/>
      <c r="C1158" s="6"/>
    </row>
    <row r="1159" spans="2:3" x14ac:dyDescent="0.2">
      <c r="B1159" s="2"/>
      <c r="C1159" s="6"/>
    </row>
    <row r="1160" spans="2:3" x14ac:dyDescent="0.2">
      <c r="B1160" s="2"/>
      <c r="C1160" s="6"/>
    </row>
    <row r="1161" spans="2:3" x14ac:dyDescent="0.2">
      <c r="B1161" s="2"/>
      <c r="C1161" s="6"/>
    </row>
    <row r="1162" spans="2:3" x14ac:dyDescent="0.2">
      <c r="B1162" s="2"/>
      <c r="C1162" s="6"/>
    </row>
    <row r="1163" spans="2:3" x14ac:dyDescent="0.2">
      <c r="B1163" s="2"/>
      <c r="C1163" s="6"/>
    </row>
    <row r="1164" spans="2:3" x14ac:dyDescent="0.2">
      <c r="B1164" s="2"/>
      <c r="C1164" s="6"/>
    </row>
    <row r="1165" spans="2:3" x14ac:dyDescent="0.2">
      <c r="B1165" s="2"/>
      <c r="C1165" s="6"/>
    </row>
    <row r="1166" spans="2:3" x14ac:dyDescent="0.2">
      <c r="B1166" s="2"/>
      <c r="C1166" s="6"/>
    </row>
    <row r="1167" spans="2:3" x14ac:dyDescent="0.2">
      <c r="B1167" s="2"/>
      <c r="C1167" s="6"/>
    </row>
    <row r="1168" spans="2:3" x14ac:dyDescent="0.2">
      <c r="B1168" s="2"/>
      <c r="C1168" s="6"/>
    </row>
    <row r="1169" spans="2:3" x14ac:dyDescent="0.2">
      <c r="B1169" s="2"/>
      <c r="C1169" s="6"/>
    </row>
    <row r="1170" spans="2:3" x14ac:dyDescent="0.2">
      <c r="B1170" s="2"/>
      <c r="C1170" s="6"/>
    </row>
    <row r="1171" spans="2:3" x14ac:dyDescent="0.2">
      <c r="B1171" s="2"/>
      <c r="C1171" s="6"/>
    </row>
    <row r="1172" spans="2:3" x14ac:dyDescent="0.2">
      <c r="B1172" s="2"/>
      <c r="C1172" s="6"/>
    </row>
    <row r="1173" spans="2:3" x14ac:dyDescent="0.2">
      <c r="B1173" s="2"/>
      <c r="C1173" s="6"/>
    </row>
    <row r="1174" spans="2:3" x14ac:dyDescent="0.2">
      <c r="B1174" s="2"/>
      <c r="C1174" s="6"/>
    </row>
    <row r="1175" spans="2:3" x14ac:dyDescent="0.2">
      <c r="B1175" s="2"/>
      <c r="C1175" s="6"/>
    </row>
    <row r="1176" spans="2:3" x14ac:dyDescent="0.2">
      <c r="B1176" s="2"/>
      <c r="C1176" s="6"/>
    </row>
    <row r="1177" spans="2:3" x14ac:dyDescent="0.2">
      <c r="B1177" s="2"/>
      <c r="C1177" s="6"/>
    </row>
    <row r="1178" spans="2:3" x14ac:dyDescent="0.2">
      <c r="B1178" s="2"/>
      <c r="C1178" s="6"/>
    </row>
    <row r="1179" spans="2:3" x14ac:dyDescent="0.2">
      <c r="B1179" s="2"/>
      <c r="C1179" s="6"/>
    </row>
    <row r="1180" spans="2:3" x14ac:dyDescent="0.2">
      <c r="B1180" s="2"/>
      <c r="C1180" s="6"/>
    </row>
    <row r="1181" spans="2:3" x14ac:dyDescent="0.2">
      <c r="B1181" s="2"/>
      <c r="C1181" s="6"/>
    </row>
    <row r="1182" spans="2:3" x14ac:dyDescent="0.2">
      <c r="B1182" s="2"/>
      <c r="C1182" s="6"/>
    </row>
    <row r="1183" spans="2:3" x14ac:dyDescent="0.2">
      <c r="B1183" s="2"/>
      <c r="C1183" s="6"/>
    </row>
    <row r="1184" spans="2:3" x14ac:dyDescent="0.2">
      <c r="B1184" s="2"/>
      <c r="C1184" s="6"/>
    </row>
    <row r="1185" spans="2:3" x14ac:dyDescent="0.2">
      <c r="B1185" s="2"/>
      <c r="C1185" s="6"/>
    </row>
    <row r="1186" spans="2:3" x14ac:dyDescent="0.2">
      <c r="B1186" s="2"/>
      <c r="C1186" s="6"/>
    </row>
    <row r="1187" spans="2:3" x14ac:dyDescent="0.2">
      <c r="B1187" s="2"/>
      <c r="C1187" s="6"/>
    </row>
    <row r="1188" spans="2:3" x14ac:dyDescent="0.2">
      <c r="B1188" s="2"/>
      <c r="C1188" s="6"/>
    </row>
    <row r="1189" spans="2:3" x14ac:dyDescent="0.2">
      <c r="B1189" s="2"/>
      <c r="C1189" s="6"/>
    </row>
    <row r="1190" spans="2:3" x14ac:dyDescent="0.2">
      <c r="B1190" s="2"/>
      <c r="C1190" s="6"/>
    </row>
    <row r="1191" spans="2:3" x14ac:dyDescent="0.2">
      <c r="B1191" s="2"/>
      <c r="C1191" s="6"/>
    </row>
    <row r="1192" spans="2:3" x14ac:dyDescent="0.2">
      <c r="B1192" s="2"/>
      <c r="C1192" s="6"/>
    </row>
    <row r="1193" spans="2:3" x14ac:dyDescent="0.2">
      <c r="B1193" s="2"/>
      <c r="C1193" s="6"/>
    </row>
    <row r="1194" spans="2:3" x14ac:dyDescent="0.2">
      <c r="B1194" s="2"/>
      <c r="C1194" s="6"/>
    </row>
    <row r="1195" spans="2:3" x14ac:dyDescent="0.2">
      <c r="B1195" s="2"/>
      <c r="C1195" s="6"/>
    </row>
    <row r="1196" spans="2:3" x14ac:dyDescent="0.2">
      <c r="B1196" s="2"/>
      <c r="C1196" s="6"/>
    </row>
    <row r="1197" spans="2:3" x14ac:dyDescent="0.2">
      <c r="B1197" s="2"/>
      <c r="C1197" s="6"/>
    </row>
    <row r="1198" spans="2:3" x14ac:dyDescent="0.2">
      <c r="B1198" s="2"/>
      <c r="C1198" s="6"/>
    </row>
    <row r="1199" spans="2:3" x14ac:dyDescent="0.2">
      <c r="B1199" s="2"/>
      <c r="C1199" s="6"/>
    </row>
    <row r="1200" spans="2:3" x14ac:dyDescent="0.2">
      <c r="B1200" s="2"/>
      <c r="C1200" s="6"/>
    </row>
    <row r="1201" spans="2:3" x14ac:dyDescent="0.2">
      <c r="B1201" s="2"/>
      <c r="C1201" s="6"/>
    </row>
    <row r="1202" spans="2:3" x14ac:dyDescent="0.2">
      <c r="B1202" s="2"/>
      <c r="C1202" s="6"/>
    </row>
    <row r="1203" spans="2:3" x14ac:dyDescent="0.2">
      <c r="B1203" s="2"/>
      <c r="C1203" s="6"/>
    </row>
    <row r="1204" spans="2:3" x14ac:dyDescent="0.2">
      <c r="B1204" s="2"/>
      <c r="C1204" s="6"/>
    </row>
    <row r="1205" spans="2:3" x14ac:dyDescent="0.2">
      <c r="B1205" s="2"/>
      <c r="C1205" s="6"/>
    </row>
    <row r="1206" spans="2:3" x14ac:dyDescent="0.2">
      <c r="B1206" s="2"/>
      <c r="C1206" s="6"/>
    </row>
    <row r="1207" spans="2:3" x14ac:dyDescent="0.2">
      <c r="B1207" s="2"/>
      <c r="C1207" s="6"/>
    </row>
    <row r="1208" spans="2:3" x14ac:dyDescent="0.2">
      <c r="B1208" s="2"/>
      <c r="C1208" s="6"/>
    </row>
    <row r="1209" spans="2:3" x14ac:dyDescent="0.2">
      <c r="B1209" s="2"/>
      <c r="C1209" s="6"/>
    </row>
    <row r="1210" spans="2:3" x14ac:dyDescent="0.2">
      <c r="B1210" s="2"/>
      <c r="C1210" s="6"/>
    </row>
    <row r="1211" spans="2:3" x14ac:dyDescent="0.2">
      <c r="B1211" s="2"/>
      <c r="C1211" s="6"/>
    </row>
    <row r="1212" spans="2:3" x14ac:dyDescent="0.2">
      <c r="B1212" s="2"/>
      <c r="C1212" s="6"/>
    </row>
    <row r="1213" spans="2:3" x14ac:dyDescent="0.2">
      <c r="B1213" s="2"/>
      <c r="C1213" s="6"/>
    </row>
    <row r="1214" spans="2:3" x14ac:dyDescent="0.2">
      <c r="B1214" s="2"/>
      <c r="C1214" s="6"/>
    </row>
    <row r="1215" spans="2:3" x14ac:dyDescent="0.2">
      <c r="B1215" s="2"/>
      <c r="C1215" s="6"/>
    </row>
    <row r="1216" spans="2:3" x14ac:dyDescent="0.2">
      <c r="B1216" s="2"/>
      <c r="C1216" s="6"/>
    </row>
    <row r="1217" spans="2:3" x14ac:dyDescent="0.2">
      <c r="B1217" s="2"/>
      <c r="C1217" s="6"/>
    </row>
    <row r="1218" spans="2:3" x14ac:dyDescent="0.2">
      <c r="B1218" s="2"/>
      <c r="C1218" s="6"/>
    </row>
    <row r="1219" spans="2:3" x14ac:dyDescent="0.2">
      <c r="B1219" s="2"/>
      <c r="C1219" s="6"/>
    </row>
    <row r="1220" spans="2:3" x14ac:dyDescent="0.2">
      <c r="B1220" s="2"/>
      <c r="C1220" s="6"/>
    </row>
    <row r="1221" spans="2:3" x14ac:dyDescent="0.2">
      <c r="B1221" s="2"/>
      <c r="C1221" s="6"/>
    </row>
    <row r="1222" spans="2:3" x14ac:dyDescent="0.2">
      <c r="B1222" s="2"/>
      <c r="C1222" s="6"/>
    </row>
    <row r="1223" spans="2:3" x14ac:dyDescent="0.2">
      <c r="B1223" s="2"/>
      <c r="C1223" s="6"/>
    </row>
    <row r="1224" spans="2:3" x14ac:dyDescent="0.2">
      <c r="B1224" s="2"/>
      <c r="C1224" s="6"/>
    </row>
    <row r="1225" spans="2:3" x14ac:dyDescent="0.2">
      <c r="B1225" s="2"/>
      <c r="C1225" s="6"/>
    </row>
    <row r="1226" spans="2:3" x14ac:dyDescent="0.2">
      <c r="B1226" s="2"/>
      <c r="C1226" s="6"/>
    </row>
    <row r="1227" spans="2:3" x14ac:dyDescent="0.2">
      <c r="B1227" s="2"/>
      <c r="C1227" s="6"/>
    </row>
    <row r="1228" spans="2:3" x14ac:dyDescent="0.2">
      <c r="B1228" s="2"/>
      <c r="C1228" s="6"/>
    </row>
    <row r="1229" spans="2:3" x14ac:dyDescent="0.2">
      <c r="B1229" s="2"/>
      <c r="C1229" s="6"/>
    </row>
    <row r="1230" spans="2:3" x14ac:dyDescent="0.2">
      <c r="B1230" s="2"/>
      <c r="C1230" s="6"/>
    </row>
    <row r="1231" spans="2:3" x14ac:dyDescent="0.2">
      <c r="B1231" s="2"/>
      <c r="C1231" s="6"/>
    </row>
    <row r="1232" spans="2:3" x14ac:dyDescent="0.2">
      <c r="B1232" s="2"/>
      <c r="C1232" s="6"/>
    </row>
    <row r="1233" spans="2:3" x14ac:dyDescent="0.2">
      <c r="B1233" s="2"/>
      <c r="C1233" s="6"/>
    </row>
    <row r="1234" spans="2:3" x14ac:dyDescent="0.2">
      <c r="B1234" s="2"/>
      <c r="C1234" s="6"/>
    </row>
    <row r="1235" spans="2:3" x14ac:dyDescent="0.2">
      <c r="B1235" s="2"/>
      <c r="C1235" s="6"/>
    </row>
    <row r="1236" spans="2:3" x14ac:dyDescent="0.2">
      <c r="B1236" s="2"/>
      <c r="C1236" s="6"/>
    </row>
    <row r="1237" spans="2:3" x14ac:dyDescent="0.2">
      <c r="B1237" s="2"/>
      <c r="C1237" s="6"/>
    </row>
    <row r="1238" spans="2:3" x14ac:dyDescent="0.2">
      <c r="B1238" s="2"/>
      <c r="C1238" s="6"/>
    </row>
    <row r="1239" spans="2:3" x14ac:dyDescent="0.2">
      <c r="B1239" s="2"/>
      <c r="C1239" s="6"/>
    </row>
    <row r="1240" spans="2:3" x14ac:dyDescent="0.2">
      <c r="B1240" s="2"/>
      <c r="C1240" s="6"/>
    </row>
    <row r="1241" spans="2:3" x14ac:dyDescent="0.2">
      <c r="B1241" s="2"/>
      <c r="C1241" s="6"/>
    </row>
    <row r="1242" spans="2:3" x14ac:dyDescent="0.2">
      <c r="B1242" s="2"/>
      <c r="C1242" s="6"/>
    </row>
    <row r="1243" spans="2:3" x14ac:dyDescent="0.2">
      <c r="B1243" s="2"/>
      <c r="C1243" s="6"/>
    </row>
    <row r="1244" spans="2:3" x14ac:dyDescent="0.2">
      <c r="B1244" s="2"/>
      <c r="C1244" s="6"/>
    </row>
    <row r="1245" spans="2:3" x14ac:dyDescent="0.2">
      <c r="B1245" s="2"/>
      <c r="C1245" s="6"/>
    </row>
    <row r="1246" spans="2:3" x14ac:dyDescent="0.2">
      <c r="B1246" s="2"/>
      <c r="C1246" s="6"/>
    </row>
    <row r="1247" spans="2:3" x14ac:dyDescent="0.2">
      <c r="B1247" s="2"/>
      <c r="C1247" s="6"/>
    </row>
    <row r="1248" spans="2:3" x14ac:dyDescent="0.2">
      <c r="B1248" s="2"/>
      <c r="C1248" s="6"/>
    </row>
    <row r="1249" spans="2:3" x14ac:dyDescent="0.2">
      <c r="B1249" s="2"/>
      <c r="C1249" s="6"/>
    </row>
    <row r="1250" spans="2:3" x14ac:dyDescent="0.2">
      <c r="B1250" s="2"/>
      <c r="C1250" s="6"/>
    </row>
    <row r="1251" spans="2:3" x14ac:dyDescent="0.2">
      <c r="B1251" s="2"/>
      <c r="C1251" s="6"/>
    </row>
    <row r="1252" spans="2:3" x14ac:dyDescent="0.2">
      <c r="B1252" s="2"/>
      <c r="C1252" s="6"/>
    </row>
    <row r="1253" spans="2:3" x14ac:dyDescent="0.2">
      <c r="B1253" s="2"/>
      <c r="C1253" s="6"/>
    </row>
    <row r="1254" spans="2:3" x14ac:dyDescent="0.2">
      <c r="B1254" s="2"/>
      <c r="C1254" s="6"/>
    </row>
    <row r="1255" spans="2:3" x14ac:dyDescent="0.2">
      <c r="B1255" s="2"/>
      <c r="C1255" s="6"/>
    </row>
    <row r="1256" spans="2:3" x14ac:dyDescent="0.2">
      <c r="B1256" s="2"/>
      <c r="C1256" s="6"/>
    </row>
    <row r="1257" spans="2:3" x14ac:dyDescent="0.2">
      <c r="B1257" s="2"/>
      <c r="C1257" s="6"/>
    </row>
    <row r="1258" spans="2:3" x14ac:dyDescent="0.2">
      <c r="B1258" s="2"/>
      <c r="C1258" s="6"/>
    </row>
    <row r="1259" spans="2:3" x14ac:dyDescent="0.2">
      <c r="B1259" s="2"/>
      <c r="C1259" s="6"/>
    </row>
    <row r="1260" spans="2:3" x14ac:dyDescent="0.2">
      <c r="B1260" s="2"/>
      <c r="C1260" s="6"/>
    </row>
    <row r="1261" spans="2:3" x14ac:dyDescent="0.2">
      <c r="B1261" s="2"/>
      <c r="C1261" s="6"/>
    </row>
    <row r="1262" spans="2:3" x14ac:dyDescent="0.2">
      <c r="B1262" s="2"/>
      <c r="C1262" s="6"/>
    </row>
    <row r="1263" spans="2:3" x14ac:dyDescent="0.2">
      <c r="B1263" s="2"/>
      <c r="C1263" s="6"/>
    </row>
    <row r="1264" spans="2:3" x14ac:dyDescent="0.2">
      <c r="B1264" s="2"/>
      <c r="C1264" s="6"/>
    </row>
    <row r="1265" spans="2:3" x14ac:dyDescent="0.2">
      <c r="B1265" s="2"/>
      <c r="C1265" s="6"/>
    </row>
    <row r="1266" spans="2:3" x14ac:dyDescent="0.2">
      <c r="B1266" s="2"/>
      <c r="C1266" s="6"/>
    </row>
    <row r="1267" spans="2:3" x14ac:dyDescent="0.2">
      <c r="B1267" s="2"/>
      <c r="C1267" s="6"/>
    </row>
    <row r="1268" spans="2:3" x14ac:dyDescent="0.2">
      <c r="B1268" s="2"/>
      <c r="C1268" s="6"/>
    </row>
    <row r="1269" spans="2:3" x14ac:dyDescent="0.2">
      <c r="B1269" s="2"/>
      <c r="C1269" s="6"/>
    </row>
    <row r="1270" spans="2:3" x14ac:dyDescent="0.2">
      <c r="B1270" s="2"/>
      <c r="C1270" s="6"/>
    </row>
    <row r="1271" spans="2:3" x14ac:dyDescent="0.2">
      <c r="B1271" s="2"/>
      <c r="C1271" s="6"/>
    </row>
    <row r="1272" spans="2:3" x14ac:dyDescent="0.2">
      <c r="B1272" s="2"/>
      <c r="C1272" s="6"/>
    </row>
    <row r="1273" spans="2:3" x14ac:dyDescent="0.2">
      <c r="B1273" s="2"/>
      <c r="C1273" s="6"/>
    </row>
    <row r="1274" spans="2:3" x14ac:dyDescent="0.2">
      <c r="B1274" s="2"/>
      <c r="C1274" s="6"/>
    </row>
    <row r="1275" spans="2:3" x14ac:dyDescent="0.2">
      <c r="B1275" s="2"/>
      <c r="C1275" s="6"/>
    </row>
    <row r="1276" spans="2:3" x14ac:dyDescent="0.2">
      <c r="B1276" s="2"/>
      <c r="C1276" s="6"/>
    </row>
    <row r="1277" spans="2:3" x14ac:dyDescent="0.2">
      <c r="B1277" s="2"/>
      <c r="C1277" s="6"/>
    </row>
    <row r="1278" spans="2:3" x14ac:dyDescent="0.2">
      <c r="B1278" s="2"/>
      <c r="C1278" s="6"/>
    </row>
    <row r="1279" spans="2:3" x14ac:dyDescent="0.2">
      <c r="B1279" s="2"/>
      <c r="C1279" s="6"/>
    </row>
    <row r="1280" spans="2:3" x14ac:dyDescent="0.2">
      <c r="B1280" s="2"/>
      <c r="C1280" s="6"/>
    </row>
    <row r="1281" spans="2:3" x14ac:dyDescent="0.2">
      <c r="B1281" s="2"/>
      <c r="C1281" s="6"/>
    </row>
    <row r="1282" spans="2:3" x14ac:dyDescent="0.2">
      <c r="B1282" s="2"/>
      <c r="C1282" s="6"/>
    </row>
    <row r="1283" spans="2:3" x14ac:dyDescent="0.2">
      <c r="B1283" s="2"/>
      <c r="C1283" s="6"/>
    </row>
    <row r="1284" spans="2:3" x14ac:dyDescent="0.2">
      <c r="B1284" s="2"/>
      <c r="C1284" s="6"/>
    </row>
    <row r="1285" spans="2:3" x14ac:dyDescent="0.2">
      <c r="B1285" s="2"/>
      <c r="C1285" s="6"/>
    </row>
    <row r="1286" spans="2:3" x14ac:dyDescent="0.2">
      <c r="B1286" s="2"/>
      <c r="C1286" s="6"/>
    </row>
    <row r="1287" spans="2:3" x14ac:dyDescent="0.2">
      <c r="B1287" s="2"/>
      <c r="C1287" s="6"/>
    </row>
    <row r="1288" spans="2:3" x14ac:dyDescent="0.2">
      <c r="B1288" s="2"/>
      <c r="C1288" s="6"/>
    </row>
    <row r="1289" spans="2:3" x14ac:dyDescent="0.2">
      <c r="B1289" s="2"/>
      <c r="C1289" s="6"/>
    </row>
    <row r="1290" spans="2:3" x14ac:dyDescent="0.2">
      <c r="B1290" s="2"/>
      <c r="C1290" s="6"/>
    </row>
    <row r="1291" spans="2:3" x14ac:dyDescent="0.2">
      <c r="B1291" s="2"/>
      <c r="C1291" s="6"/>
    </row>
    <row r="1292" spans="2:3" x14ac:dyDescent="0.2">
      <c r="B1292" s="2"/>
      <c r="C1292" s="6"/>
    </row>
    <row r="1293" spans="2:3" x14ac:dyDescent="0.2">
      <c r="B1293" s="2"/>
      <c r="C1293" s="6"/>
    </row>
    <row r="1294" spans="2:3" x14ac:dyDescent="0.2">
      <c r="B1294" s="2"/>
      <c r="C1294" s="6"/>
    </row>
    <row r="1295" spans="2:3" x14ac:dyDescent="0.2">
      <c r="B1295" s="2"/>
      <c r="C1295" s="6"/>
    </row>
    <row r="1296" spans="2:3" x14ac:dyDescent="0.2">
      <c r="B1296" s="2"/>
      <c r="C1296" s="6"/>
    </row>
    <row r="1297" spans="2:3" x14ac:dyDescent="0.2">
      <c r="B1297" s="2"/>
      <c r="C1297" s="6"/>
    </row>
    <row r="1298" spans="2:3" x14ac:dyDescent="0.2">
      <c r="B1298" s="2"/>
      <c r="C1298" s="6"/>
    </row>
    <row r="1299" spans="2:3" x14ac:dyDescent="0.2">
      <c r="B1299" s="2"/>
      <c r="C1299" s="6"/>
    </row>
    <row r="1300" spans="2:3" x14ac:dyDescent="0.2">
      <c r="B1300" s="2"/>
      <c r="C1300" s="6"/>
    </row>
    <row r="1301" spans="2:3" x14ac:dyDescent="0.2">
      <c r="B1301" s="2"/>
      <c r="C1301" s="6"/>
    </row>
    <row r="1302" spans="2:3" x14ac:dyDescent="0.2">
      <c r="B1302" s="2"/>
      <c r="C1302" s="6"/>
    </row>
    <row r="1303" spans="2:3" x14ac:dyDescent="0.2">
      <c r="B1303" s="2"/>
      <c r="C1303" s="6"/>
    </row>
    <row r="1304" spans="2:3" x14ac:dyDescent="0.2">
      <c r="B1304" s="2"/>
      <c r="C1304" s="6"/>
    </row>
    <row r="1305" spans="2:3" x14ac:dyDescent="0.2">
      <c r="B1305" s="2"/>
      <c r="C1305" s="6"/>
    </row>
    <row r="1306" spans="2:3" x14ac:dyDescent="0.2">
      <c r="B1306" s="2"/>
      <c r="C1306" s="6"/>
    </row>
    <row r="1307" spans="2:3" x14ac:dyDescent="0.2">
      <c r="B1307" s="2"/>
      <c r="C1307" s="6"/>
    </row>
    <row r="1308" spans="2:3" x14ac:dyDescent="0.2">
      <c r="B1308" s="2"/>
      <c r="C1308" s="6"/>
    </row>
    <row r="1309" spans="2:3" x14ac:dyDescent="0.2">
      <c r="B1309" s="2"/>
      <c r="C1309" s="6"/>
    </row>
    <row r="1310" spans="2:3" x14ac:dyDescent="0.2">
      <c r="B1310" s="2"/>
      <c r="C1310" s="6"/>
    </row>
    <row r="1311" spans="2:3" x14ac:dyDescent="0.2">
      <c r="B1311" s="2"/>
      <c r="C1311" s="6"/>
    </row>
    <row r="1312" spans="2:3" x14ac:dyDescent="0.2">
      <c r="B1312" s="2"/>
      <c r="C1312" s="6"/>
    </row>
    <row r="1313" spans="2:3" x14ac:dyDescent="0.2">
      <c r="B1313" s="2"/>
      <c r="C1313" s="6"/>
    </row>
    <row r="1314" spans="2:3" x14ac:dyDescent="0.2">
      <c r="B1314" s="2"/>
      <c r="C1314" s="6"/>
    </row>
    <row r="1315" spans="2:3" x14ac:dyDescent="0.2">
      <c r="B1315" s="2"/>
      <c r="C1315" s="6"/>
    </row>
    <row r="1316" spans="2:3" x14ac:dyDescent="0.2">
      <c r="B1316" s="2"/>
      <c r="C1316" s="6"/>
    </row>
    <row r="1317" spans="2:3" x14ac:dyDescent="0.2">
      <c r="B1317" s="2"/>
      <c r="C1317" s="6"/>
    </row>
    <row r="1318" spans="2:3" x14ac:dyDescent="0.2">
      <c r="B1318" s="2"/>
      <c r="C1318" s="6"/>
    </row>
    <row r="1319" spans="2:3" x14ac:dyDescent="0.2">
      <c r="B1319" s="2"/>
      <c r="C1319" s="6"/>
    </row>
    <row r="1320" spans="2:3" x14ac:dyDescent="0.2">
      <c r="B1320" s="2"/>
      <c r="C1320" s="6"/>
    </row>
    <row r="1321" spans="2:3" x14ac:dyDescent="0.2">
      <c r="B1321" s="2"/>
      <c r="C1321" s="6"/>
    </row>
    <row r="1322" spans="2:3" x14ac:dyDescent="0.2">
      <c r="B1322" s="2"/>
      <c r="C1322" s="6"/>
    </row>
    <row r="1323" spans="2:3" x14ac:dyDescent="0.2">
      <c r="B1323" s="2"/>
      <c r="C1323" s="6"/>
    </row>
    <row r="1324" spans="2:3" x14ac:dyDescent="0.2">
      <c r="B1324" s="2"/>
      <c r="C1324" s="6"/>
    </row>
    <row r="1325" spans="2:3" x14ac:dyDescent="0.2">
      <c r="B1325" s="2"/>
      <c r="C1325" s="6"/>
    </row>
    <row r="1326" spans="2:3" x14ac:dyDescent="0.2">
      <c r="B1326" s="2"/>
      <c r="C1326" s="6"/>
    </row>
    <row r="1327" spans="2:3" x14ac:dyDescent="0.2">
      <c r="B1327" s="2"/>
      <c r="C1327" s="6"/>
    </row>
    <row r="1328" spans="2:3" x14ac:dyDescent="0.2">
      <c r="B1328" s="2"/>
      <c r="C1328" s="6"/>
    </row>
    <row r="1329" spans="2:3" x14ac:dyDescent="0.2">
      <c r="B1329" s="2"/>
      <c r="C1329" s="6"/>
    </row>
    <row r="1330" spans="2:3" x14ac:dyDescent="0.2">
      <c r="B1330" s="2"/>
      <c r="C1330" s="6"/>
    </row>
    <row r="1331" spans="2:3" x14ac:dyDescent="0.2">
      <c r="B1331" s="2"/>
      <c r="C1331" s="6"/>
    </row>
    <row r="1332" spans="2:3" x14ac:dyDescent="0.2">
      <c r="B1332" s="2"/>
      <c r="C1332" s="6"/>
    </row>
    <row r="1333" spans="2:3" x14ac:dyDescent="0.2">
      <c r="B1333" s="2"/>
      <c r="C1333" s="6"/>
    </row>
    <row r="1334" spans="2:3" x14ac:dyDescent="0.2">
      <c r="B1334" s="2"/>
      <c r="C1334" s="6"/>
    </row>
    <row r="1335" spans="2:3" x14ac:dyDescent="0.2">
      <c r="B1335" s="2"/>
      <c r="C1335" s="6"/>
    </row>
    <row r="1336" spans="2:3" x14ac:dyDescent="0.2">
      <c r="B1336" s="2"/>
      <c r="C1336" s="6"/>
    </row>
    <row r="1337" spans="2:3" x14ac:dyDescent="0.2">
      <c r="B1337" s="2"/>
      <c r="C1337" s="6"/>
    </row>
    <row r="1338" spans="2:3" x14ac:dyDescent="0.2">
      <c r="B1338" s="2"/>
      <c r="C1338" s="6"/>
    </row>
    <row r="1339" spans="2:3" x14ac:dyDescent="0.2">
      <c r="B1339" s="2"/>
      <c r="C1339" s="6"/>
    </row>
    <row r="1340" spans="2:3" x14ac:dyDescent="0.2">
      <c r="B1340" s="2"/>
      <c r="C1340" s="6"/>
    </row>
    <row r="1341" spans="2:3" x14ac:dyDescent="0.2">
      <c r="B1341" s="2"/>
      <c r="C1341" s="6"/>
    </row>
    <row r="1342" spans="2:3" x14ac:dyDescent="0.2">
      <c r="B1342" s="2"/>
      <c r="C1342" s="6"/>
    </row>
    <row r="1343" spans="2:3" x14ac:dyDescent="0.2">
      <c r="B1343" s="2"/>
      <c r="C1343" s="6"/>
    </row>
    <row r="1344" spans="2:3" x14ac:dyDescent="0.2">
      <c r="B1344" s="2"/>
      <c r="C1344" s="6"/>
    </row>
    <row r="1345" spans="2:3" x14ac:dyDescent="0.2">
      <c r="B1345" s="2"/>
      <c r="C1345" s="6"/>
    </row>
    <row r="1346" spans="2:3" x14ac:dyDescent="0.2">
      <c r="B1346" s="2"/>
      <c r="C1346" s="6"/>
    </row>
    <row r="1347" spans="2:3" x14ac:dyDescent="0.2">
      <c r="B1347" s="2"/>
      <c r="C1347" s="6"/>
    </row>
    <row r="1348" spans="2:3" x14ac:dyDescent="0.2">
      <c r="B1348" s="2"/>
      <c r="C1348" s="6"/>
    </row>
    <row r="1349" spans="2:3" x14ac:dyDescent="0.2">
      <c r="B1349" s="2"/>
      <c r="C1349" s="6"/>
    </row>
    <row r="1350" spans="2:3" x14ac:dyDescent="0.2">
      <c r="B1350" s="2"/>
      <c r="C1350" s="6"/>
    </row>
    <row r="1351" spans="2:3" x14ac:dyDescent="0.2">
      <c r="B1351" s="2"/>
      <c r="C1351" s="6"/>
    </row>
    <row r="1352" spans="2:3" x14ac:dyDescent="0.2">
      <c r="B1352" s="2"/>
      <c r="C1352" s="6"/>
    </row>
    <row r="1353" spans="2:3" x14ac:dyDescent="0.2">
      <c r="B1353" s="2"/>
      <c r="C1353" s="6"/>
    </row>
    <row r="1354" spans="2:3" x14ac:dyDescent="0.2">
      <c r="B1354" s="2"/>
      <c r="C1354" s="6"/>
    </row>
    <row r="1355" spans="2:3" x14ac:dyDescent="0.2">
      <c r="B1355" s="2"/>
      <c r="C1355" s="6"/>
    </row>
    <row r="1356" spans="2:3" x14ac:dyDescent="0.2">
      <c r="B1356" s="2"/>
      <c r="C1356" s="6"/>
    </row>
    <row r="1357" spans="2:3" x14ac:dyDescent="0.2">
      <c r="B1357" s="2"/>
      <c r="C1357" s="6"/>
    </row>
    <row r="1358" spans="2:3" x14ac:dyDescent="0.2">
      <c r="B1358" s="2"/>
      <c r="C1358" s="6"/>
    </row>
    <row r="1359" spans="2:3" x14ac:dyDescent="0.2">
      <c r="B1359" s="2"/>
      <c r="C1359" s="6"/>
    </row>
    <row r="1360" spans="2:3" x14ac:dyDescent="0.2">
      <c r="B1360" s="2"/>
      <c r="C1360" s="6"/>
    </row>
    <row r="1361" spans="2:3" x14ac:dyDescent="0.2">
      <c r="B1361" s="2"/>
      <c r="C1361" s="6"/>
    </row>
    <row r="1362" spans="2:3" x14ac:dyDescent="0.2">
      <c r="B1362" s="2"/>
      <c r="C1362" s="6"/>
    </row>
    <row r="1363" spans="2:3" x14ac:dyDescent="0.2">
      <c r="B1363" s="2"/>
      <c r="C1363" s="6"/>
    </row>
    <row r="1364" spans="2:3" x14ac:dyDescent="0.2">
      <c r="B1364" s="2"/>
      <c r="C1364" s="6"/>
    </row>
    <row r="1365" spans="2:3" x14ac:dyDescent="0.2">
      <c r="B1365" s="2"/>
      <c r="C1365" s="6"/>
    </row>
    <row r="1366" spans="2:3" x14ac:dyDescent="0.2">
      <c r="B1366" s="2"/>
      <c r="C1366" s="6"/>
    </row>
    <row r="1367" spans="2:3" x14ac:dyDescent="0.2">
      <c r="B1367" s="2"/>
      <c r="C1367" s="6"/>
    </row>
    <row r="1368" spans="2:3" x14ac:dyDescent="0.2">
      <c r="B1368" s="2"/>
      <c r="C1368" s="6"/>
    </row>
    <row r="1369" spans="2:3" x14ac:dyDescent="0.2">
      <c r="B1369" s="2"/>
      <c r="C1369" s="6"/>
    </row>
    <row r="1370" spans="2:3" x14ac:dyDescent="0.2">
      <c r="B1370" s="2"/>
      <c r="C1370" s="6"/>
    </row>
    <row r="1371" spans="2:3" x14ac:dyDescent="0.2">
      <c r="B1371" s="2"/>
      <c r="C1371" s="6"/>
    </row>
    <row r="1372" spans="2:3" x14ac:dyDescent="0.2">
      <c r="B1372" s="2"/>
      <c r="C1372" s="6"/>
    </row>
    <row r="1373" spans="2:3" x14ac:dyDescent="0.2">
      <c r="B1373" s="2"/>
      <c r="C1373" s="6"/>
    </row>
    <row r="1374" spans="2:3" x14ac:dyDescent="0.2">
      <c r="B1374" s="2"/>
      <c r="C1374" s="6"/>
    </row>
    <row r="1375" spans="2:3" x14ac:dyDescent="0.2">
      <c r="B1375" s="2"/>
      <c r="C1375" s="6"/>
    </row>
    <row r="1376" spans="2:3" x14ac:dyDescent="0.2">
      <c r="B1376" s="2"/>
      <c r="C1376" s="6"/>
    </row>
    <row r="1377" spans="2:3" x14ac:dyDescent="0.2">
      <c r="B1377" s="2"/>
      <c r="C1377" s="6"/>
    </row>
    <row r="1378" spans="2:3" x14ac:dyDescent="0.2">
      <c r="B1378" s="2"/>
      <c r="C1378" s="6"/>
    </row>
    <row r="1379" spans="2:3" x14ac:dyDescent="0.2">
      <c r="B1379" s="2"/>
      <c r="C1379" s="6"/>
    </row>
    <row r="1380" spans="2:3" x14ac:dyDescent="0.2">
      <c r="B1380" s="2"/>
      <c r="C1380" s="6"/>
    </row>
    <row r="1381" spans="2:3" x14ac:dyDescent="0.2">
      <c r="B1381" s="2"/>
      <c r="C1381" s="6"/>
    </row>
    <row r="1382" spans="2:3" x14ac:dyDescent="0.2">
      <c r="B1382" s="2"/>
      <c r="C1382" s="6"/>
    </row>
    <row r="1383" spans="2:3" x14ac:dyDescent="0.2">
      <c r="B1383" s="2"/>
      <c r="C1383" s="6"/>
    </row>
    <row r="1384" spans="2:3" x14ac:dyDescent="0.2">
      <c r="B1384" s="2"/>
      <c r="C1384" s="6"/>
    </row>
    <row r="1385" spans="2:3" x14ac:dyDescent="0.2">
      <c r="B1385" s="2"/>
      <c r="C1385" s="6"/>
    </row>
    <row r="1386" spans="2:3" x14ac:dyDescent="0.2">
      <c r="B1386" s="2"/>
      <c r="C1386" s="6"/>
    </row>
    <row r="1387" spans="2:3" x14ac:dyDescent="0.2">
      <c r="B1387" s="2"/>
      <c r="C1387" s="6"/>
    </row>
    <row r="1388" spans="2:3" x14ac:dyDescent="0.2">
      <c r="B1388" s="2"/>
      <c r="C1388" s="6"/>
    </row>
    <row r="1389" spans="2:3" x14ac:dyDescent="0.2">
      <c r="B1389" s="2"/>
      <c r="C1389" s="6"/>
    </row>
    <row r="1390" spans="2:3" x14ac:dyDescent="0.2">
      <c r="B1390" s="2"/>
      <c r="C1390" s="6"/>
    </row>
    <row r="1391" spans="2:3" x14ac:dyDescent="0.2">
      <c r="B1391" s="2"/>
      <c r="C1391" s="6"/>
    </row>
    <row r="1392" spans="2:3" x14ac:dyDescent="0.2">
      <c r="B1392" s="2"/>
      <c r="C1392" s="6"/>
    </row>
    <row r="1393" spans="2:3" x14ac:dyDescent="0.2">
      <c r="B1393" s="2"/>
      <c r="C1393" s="6"/>
    </row>
    <row r="1394" spans="2:3" x14ac:dyDescent="0.2">
      <c r="B1394" s="2"/>
      <c r="C1394" s="6"/>
    </row>
    <row r="1395" spans="2:3" x14ac:dyDescent="0.2">
      <c r="B1395" s="2"/>
      <c r="C1395" s="6"/>
    </row>
    <row r="1396" spans="2:3" x14ac:dyDescent="0.2">
      <c r="B1396" s="2"/>
      <c r="C1396" s="6"/>
    </row>
    <row r="1397" spans="2:3" x14ac:dyDescent="0.2">
      <c r="B1397" s="2"/>
      <c r="C1397" s="6"/>
    </row>
    <row r="1398" spans="2:3" x14ac:dyDescent="0.2">
      <c r="B1398" s="2"/>
      <c r="C1398" s="6"/>
    </row>
    <row r="1399" spans="2:3" x14ac:dyDescent="0.2">
      <c r="B1399" s="2"/>
      <c r="C1399" s="6"/>
    </row>
    <row r="1400" spans="2:3" x14ac:dyDescent="0.2">
      <c r="B1400" s="2"/>
      <c r="C1400" s="6"/>
    </row>
    <row r="1401" spans="2:3" x14ac:dyDescent="0.2">
      <c r="B1401" s="2"/>
      <c r="C1401" s="6"/>
    </row>
    <row r="1402" spans="2:3" x14ac:dyDescent="0.2">
      <c r="B1402" s="2"/>
      <c r="C1402" s="6"/>
    </row>
    <row r="1403" spans="2:3" x14ac:dyDescent="0.2">
      <c r="B1403" s="2"/>
      <c r="C1403" s="6"/>
    </row>
    <row r="1404" spans="2:3" x14ac:dyDescent="0.2">
      <c r="B1404" s="2"/>
      <c r="C1404" s="6"/>
    </row>
    <row r="1405" spans="2:3" x14ac:dyDescent="0.2">
      <c r="B1405" s="2"/>
      <c r="C1405" s="6"/>
    </row>
    <row r="1406" spans="2:3" x14ac:dyDescent="0.2">
      <c r="B1406" s="2"/>
      <c r="C1406" s="6"/>
    </row>
    <row r="1407" spans="2:3" x14ac:dyDescent="0.2">
      <c r="B1407" s="2"/>
      <c r="C1407" s="6"/>
    </row>
    <row r="1408" spans="2:3" x14ac:dyDescent="0.2">
      <c r="B1408" s="2"/>
      <c r="C1408" s="6"/>
    </row>
    <row r="1409" spans="2:3" x14ac:dyDescent="0.2">
      <c r="B1409" s="2"/>
      <c r="C1409" s="6"/>
    </row>
    <row r="1410" spans="2:3" x14ac:dyDescent="0.2">
      <c r="B1410" s="2"/>
      <c r="C1410" s="6"/>
    </row>
    <row r="1411" spans="2:3" x14ac:dyDescent="0.2">
      <c r="B1411" s="2"/>
      <c r="C1411" s="6"/>
    </row>
    <row r="1412" spans="2:3" x14ac:dyDescent="0.2">
      <c r="B1412" s="2"/>
      <c r="C1412" s="6"/>
    </row>
    <row r="1413" spans="2:3" x14ac:dyDescent="0.2">
      <c r="B1413" s="2"/>
      <c r="C1413" s="6"/>
    </row>
    <row r="1414" spans="2:3" x14ac:dyDescent="0.2">
      <c r="B1414" s="2"/>
      <c r="C1414" s="6"/>
    </row>
    <row r="1415" spans="2:3" x14ac:dyDescent="0.2">
      <c r="B1415" s="2"/>
      <c r="C1415" s="6"/>
    </row>
    <row r="1416" spans="2:3" x14ac:dyDescent="0.2">
      <c r="B1416" s="2"/>
      <c r="C1416" s="6"/>
    </row>
    <row r="1417" spans="2:3" x14ac:dyDescent="0.2">
      <c r="B1417" s="2"/>
      <c r="C1417" s="6"/>
    </row>
    <row r="1418" spans="2:3" x14ac:dyDescent="0.2">
      <c r="B1418" s="2"/>
      <c r="C1418" s="6"/>
    </row>
    <row r="1419" spans="2:3" x14ac:dyDescent="0.2">
      <c r="B1419" s="2"/>
      <c r="C1419" s="6"/>
    </row>
    <row r="1420" spans="2:3" x14ac:dyDescent="0.2">
      <c r="B1420" s="2"/>
      <c r="C1420" s="6"/>
    </row>
    <row r="1421" spans="2:3" x14ac:dyDescent="0.2">
      <c r="B1421" s="2"/>
      <c r="C1421" s="6"/>
    </row>
    <row r="1422" spans="2:3" x14ac:dyDescent="0.2">
      <c r="B1422" s="2"/>
      <c r="C1422" s="6"/>
    </row>
    <row r="1423" spans="2:3" x14ac:dyDescent="0.2">
      <c r="B1423" s="2"/>
      <c r="C1423" s="6"/>
    </row>
    <row r="1424" spans="2:3" x14ac:dyDescent="0.2">
      <c r="B1424" s="2"/>
      <c r="C1424" s="6"/>
    </row>
    <row r="1425" spans="2:3" x14ac:dyDescent="0.2">
      <c r="B1425" s="2"/>
      <c r="C1425" s="6"/>
    </row>
    <row r="1426" spans="2:3" x14ac:dyDescent="0.2">
      <c r="B1426" s="2"/>
      <c r="C1426" s="6"/>
    </row>
    <row r="1427" spans="2:3" x14ac:dyDescent="0.2">
      <c r="B1427" s="2"/>
      <c r="C1427" s="6"/>
    </row>
    <row r="1428" spans="2:3" x14ac:dyDescent="0.2">
      <c r="B1428" s="2"/>
      <c r="C1428" s="6"/>
    </row>
    <row r="1429" spans="2:3" x14ac:dyDescent="0.2">
      <c r="B1429" s="2"/>
      <c r="C1429" s="6"/>
    </row>
    <row r="1430" spans="2:3" x14ac:dyDescent="0.2">
      <c r="B1430" s="2"/>
      <c r="C1430" s="6"/>
    </row>
    <row r="1431" spans="2:3" x14ac:dyDescent="0.2">
      <c r="B1431" s="2"/>
      <c r="C1431" s="6"/>
    </row>
    <row r="1432" spans="2:3" x14ac:dyDescent="0.2">
      <c r="B1432" s="2"/>
      <c r="C1432" s="6"/>
    </row>
    <row r="1433" spans="2:3" x14ac:dyDescent="0.2">
      <c r="B1433" s="2"/>
      <c r="C1433" s="6"/>
    </row>
    <row r="1434" spans="2:3" x14ac:dyDescent="0.2">
      <c r="B1434" s="2"/>
      <c r="C1434" s="6"/>
    </row>
    <row r="1435" spans="2:3" x14ac:dyDescent="0.2">
      <c r="B1435" s="2"/>
      <c r="C1435" s="6"/>
    </row>
    <row r="1436" spans="2:3" x14ac:dyDescent="0.2">
      <c r="B1436" s="2"/>
      <c r="C1436" s="6"/>
    </row>
    <row r="1437" spans="2:3" x14ac:dyDescent="0.2">
      <c r="B1437" s="2"/>
      <c r="C1437" s="6"/>
    </row>
    <row r="1438" spans="2:3" x14ac:dyDescent="0.2">
      <c r="B1438" s="2"/>
      <c r="C1438" s="6"/>
    </row>
    <row r="1439" spans="2:3" x14ac:dyDescent="0.2">
      <c r="B1439" s="2"/>
      <c r="C1439" s="6"/>
    </row>
    <row r="1440" spans="2:3" x14ac:dyDescent="0.2">
      <c r="B1440" s="2"/>
      <c r="C1440" s="6"/>
    </row>
    <row r="1441" spans="2:3" x14ac:dyDescent="0.2">
      <c r="B1441" s="2"/>
      <c r="C1441" s="6"/>
    </row>
    <row r="1442" spans="2:3" x14ac:dyDescent="0.2">
      <c r="B1442" s="2"/>
      <c r="C1442" s="6"/>
    </row>
    <row r="1443" spans="2:3" x14ac:dyDescent="0.2">
      <c r="B1443" s="2"/>
      <c r="C1443" s="6"/>
    </row>
    <row r="1444" spans="2:3" x14ac:dyDescent="0.2">
      <c r="B1444" s="2"/>
      <c r="C1444" s="6"/>
    </row>
    <row r="1445" spans="2:3" x14ac:dyDescent="0.2">
      <c r="B1445" s="2"/>
      <c r="C1445" s="6"/>
    </row>
    <row r="1446" spans="2:3" x14ac:dyDescent="0.2">
      <c r="B1446" s="2"/>
      <c r="C1446" s="6"/>
    </row>
    <row r="1447" spans="2:3" x14ac:dyDescent="0.2">
      <c r="B1447" s="2"/>
      <c r="C1447" s="6"/>
    </row>
    <row r="1448" spans="2:3" x14ac:dyDescent="0.2">
      <c r="B1448" s="2"/>
      <c r="C1448" s="6"/>
    </row>
    <row r="1449" spans="2:3" x14ac:dyDescent="0.2">
      <c r="B1449" s="2"/>
      <c r="C1449" s="6"/>
    </row>
    <row r="1450" spans="2:3" x14ac:dyDescent="0.2">
      <c r="B1450" s="2"/>
      <c r="C1450" s="6"/>
    </row>
    <row r="1451" spans="2:3" x14ac:dyDescent="0.2">
      <c r="B1451" s="2"/>
      <c r="C1451" s="6"/>
    </row>
    <row r="1452" spans="2:3" x14ac:dyDescent="0.2">
      <c r="B1452" s="2"/>
      <c r="C1452" s="6"/>
    </row>
    <row r="1453" spans="2:3" x14ac:dyDescent="0.2">
      <c r="B1453" s="2"/>
      <c r="C1453" s="6"/>
    </row>
    <row r="1454" spans="2:3" x14ac:dyDescent="0.2">
      <c r="B1454" s="2"/>
      <c r="C1454" s="6"/>
    </row>
    <row r="1455" spans="2:3" x14ac:dyDescent="0.2">
      <c r="B1455" s="2"/>
      <c r="C1455" s="6"/>
    </row>
    <row r="1456" spans="2:3" x14ac:dyDescent="0.2">
      <c r="B1456" s="2"/>
      <c r="C1456" s="6"/>
    </row>
    <row r="1457" spans="2:3" x14ac:dyDescent="0.2">
      <c r="B1457" s="2"/>
      <c r="C1457" s="6"/>
    </row>
    <row r="1458" spans="2:3" x14ac:dyDescent="0.2">
      <c r="B1458" s="2"/>
      <c r="C1458" s="6"/>
    </row>
    <row r="1459" spans="2:3" x14ac:dyDescent="0.2">
      <c r="B1459" s="2"/>
      <c r="C1459" s="6"/>
    </row>
    <row r="1460" spans="2:3" x14ac:dyDescent="0.2">
      <c r="B1460" s="2"/>
      <c r="C1460" s="6"/>
    </row>
    <row r="1461" spans="2:3" x14ac:dyDescent="0.2">
      <c r="B1461" s="2"/>
      <c r="C1461" s="6"/>
    </row>
    <row r="1462" spans="2:3" x14ac:dyDescent="0.2">
      <c r="B1462" s="2"/>
      <c r="C1462" s="6"/>
    </row>
    <row r="1463" spans="2:3" x14ac:dyDescent="0.2">
      <c r="B1463" s="2"/>
      <c r="C1463" s="6"/>
    </row>
    <row r="1464" spans="2:3" x14ac:dyDescent="0.2">
      <c r="B1464" s="2"/>
      <c r="C1464" s="6"/>
    </row>
    <row r="1465" spans="2:3" x14ac:dyDescent="0.2">
      <c r="B1465" s="2"/>
      <c r="C1465" s="6"/>
    </row>
    <row r="1466" spans="2:3" x14ac:dyDescent="0.2">
      <c r="B1466" s="2"/>
      <c r="C1466" s="6"/>
    </row>
    <row r="1467" spans="2:3" x14ac:dyDescent="0.2">
      <c r="B1467" s="2"/>
      <c r="C1467" s="6"/>
    </row>
    <row r="1468" spans="2:3" x14ac:dyDescent="0.2">
      <c r="B1468" s="2"/>
      <c r="C1468" s="6"/>
    </row>
    <row r="1469" spans="2:3" x14ac:dyDescent="0.2">
      <c r="B1469" s="2"/>
      <c r="C1469" s="6"/>
    </row>
    <row r="1470" spans="2:3" x14ac:dyDescent="0.2">
      <c r="B1470" s="2"/>
      <c r="C1470" s="6"/>
    </row>
    <row r="1471" spans="2:3" x14ac:dyDescent="0.2">
      <c r="B1471" s="2"/>
      <c r="C1471" s="6"/>
    </row>
    <row r="1472" spans="2:3" x14ac:dyDescent="0.2">
      <c r="B1472" s="2"/>
      <c r="C1472" s="6"/>
    </row>
    <row r="1473" spans="2:3" x14ac:dyDescent="0.2">
      <c r="B1473" s="2"/>
      <c r="C1473" s="6"/>
    </row>
    <row r="1474" spans="2:3" x14ac:dyDescent="0.2">
      <c r="B1474" s="2"/>
      <c r="C1474" s="6"/>
    </row>
    <row r="1475" spans="2:3" x14ac:dyDescent="0.2">
      <c r="B1475" s="2"/>
      <c r="C1475" s="6"/>
    </row>
    <row r="1476" spans="2:3" x14ac:dyDescent="0.2">
      <c r="B1476" s="2"/>
      <c r="C1476" s="6"/>
    </row>
    <row r="1477" spans="2:3" x14ac:dyDescent="0.2">
      <c r="B1477" s="2"/>
      <c r="C1477" s="6"/>
    </row>
    <row r="1478" spans="2:3" x14ac:dyDescent="0.2">
      <c r="B1478" s="2"/>
      <c r="C1478" s="6"/>
    </row>
    <row r="1479" spans="2:3" x14ac:dyDescent="0.2">
      <c r="B1479" s="2"/>
      <c r="C1479" s="6"/>
    </row>
    <row r="1480" spans="2:3" x14ac:dyDescent="0.2">
      <c r="B1480" s="2"/>
      <c r="C1480" s="6"/>
    </row>
    <row r="1481" spans="2:3" x14ac:dyDescent="0.2">
      <c r="B1481" s="2"/>
      <c r="C1481" s="6"/>
    </row>
    <row r="1482" spans="2:3" x14ac:dyDescent="0.2">
      <c r="B1482" s="2"/>
      <c r="C1482" s="6"/>
    </row>
    <row r="1483" spans="2:3" x14ac:dyDescent="0.2">
      <c r="B1483" s="2"/>
      <c r="C1483" s="6"/>
    </row>
    <row r="1484" spans="2:3" x14ac:dyDescent="0.2">
      <c r="B1484" s="2"/>
      <c r="C1484" s="6"/>
    </row>
    <row r="1485" spans="2:3" x14ac:dyDescent="0.2">
      <c r="B1485" s="2"/>
      <c r="C1485" s="6"/>
    </row>
    <row r="1486" spans="2:3" x14ac:dyDescent="0.2">
      <c r="B1486" s="2"/>
      <c r="C1486" s="6"/>
    </row>
    <row r="1487" spans="2:3" x14ac:dyDescent="0.2">
      <c r="B1487" s="2"/>
      <c r="C1487" s="6"/>
    </row>
    <row r="1488" spans="2:3" x14ac:dyDescent="0.2">
      <c r="B1488" s="2"/>
      <c r="C1488" s="6"/>
    </row>
    <row r="1489" spans="2:3" x14ac:dyDescent="0.2">
      <c r="B1489" s="2"/>
      <c r="C1489" s="6"/>
    </row>
    <row r="1490" spans="2:3" x14ac:dyDescent="0.2">
      <c r="B1490" s="2"/>
      <c r="C1490" s="6"/>
    </row>
    <row r="1491" spans="2:3" x14ac:dyDescent="0.2">
      <c r="B1491" s="2"/>
      <c r="C1491" s="6"/>
    </row>
    <row r="1492" spans="2:3" x14ac:dyDescent="0.2">
      <c r="B1492" s="2"/>
      <c r="C1492" s="6"/>
    </row>
    <row r="1493" spans="2:3" x14ac:dyDescent="0.2">
      <c r="B1493" s="2"/>
      <c r="C1493" s="6"/>
    </row>
    <row r="1494" spans="2:3" x14ac:dyDescent="0.2">
      <c r="B1494" s="2"/>
      <c r="C1494" s="6"/>
    </row>
    <row r="1495" spans="2:3" x14ac:dyDescent="0.2">
      <c r="B1495" s="2"/>
      <c r="C1495" s="6"/>
    </row>
    <row r="1496" spans="2:3" x14ac:dyDescent="0.2">
      <c r="B1496" s="2"/>
      <c r="C1496" s="6"/>
    </row>
    <row r="1497" spans="2:3" x14ac:dyDescent="0.2">
      <c r="B1497" s="2"/>
      <c r="C1497" s="6"/>
    </row>
    <row r="1498" spans="2:3" x14ac:dyDescent="0.2">
      <c r="B1498" s="2"/>
      <c r="C1498" s="6"/>
    </row>
    <row r="1499" spans="2:3" x14ac:dyDescent="0.2">
      <c r="B1499" s="2"/>
      <c r="C1499" s="6"/>
    </row>
    <row r="1500" spans="2:3" x14ac:dyDescent="0.2">
      <c r="B1500" s="2"/>
      <c r="C1500" s="6"/>
    </row>
    <row r="1501" spans="2:3" x14ac:dyDescent="0.2">
      <c r="B1501" s="2"/>
      <c r="C1501" s="6"/>
    </row>
    <row r="1502" spans="2:3" x14ac:dyDescent="0.2">
      <c r="B1502" s="2"/>
      <c r="C1502" s="6"/>
    </row>
    <row r="1503" spans="2:3" x14ac:dyDescent="0.2">
      <c r="B1503" s="2"/>
      <c r="C1503" s="6"/>
    </row>
    <row r="1504" spans="2:3" x14ac:dyDescent="0.2">
      <c r="B1504" s="2"/>
      <c r="C1504" s="6"/>
    </row>
    <row r="1505" spans="2:3" x14ac:dyDescent="0.2">
      <c r="B1505" s="2"/>
      <c r="C1505" s="6"/>
    </row>
    <row r="1506" spans="2:3" x14ac:dyDescent="0.2">
      <c r="B1506" s="2"/>
      <c r="C1506" s="6"/>
    </row>
    <row r="1507" spans="2:3" x14ac:dyDescent="0.2">
      <c r="B1507" s="2"/>
      <c r="C1507" s="6"/>
    </row>
    <row r="1508" spans="2:3" x14ac:dyDescent="0.2">
      <c r="B1508" s="2"/>
      <c r="C1508" s="6"/>
    </row>
    <row r="1509" spans="2:3" x14ac:dyDescent="0.2">
      <c r="B1509" s="2"/>
      <c r="C1509" s="6"/>
    </row>
    <row r="1510" spans="2:3" x14ac:dyDescent="0.2">
      <c r="B1510" s="2"/>
      <c r="C1510" s="6"/>
    </row>
    <row r="1511" spans="2:3" x14ac:dyDescent="0.2">
      <c r="B1511" s="2"/>
      <c r="C1511" s="6"/>
    </row>
    <row r="1512" spans="2:3" x14ac:dyDescent="0.2">
      <c r="B1512" s="2"/>
      <c r="C1512" s="6"/>
    </row>
    <row r="1513" spans="2:3" x14ac:dyDescent="0.2">
      <c r="B1513" s="2"/>
      <c r="C1513" s="6"/>
    </row>
    <row r="1514" spans="2:3" x14ac:dyDescent="0.2">
      <c r="B1514" s="2"/>
      <c r="C1514" s="6"/>
    </row>
    <row r="1515" spans="2:3" x14ac:dyDescent="0.2">
      <c r="B1515" s="2"/>
      <c r="C1515" s="6"/>
    </row>
    <row r="1516" spans="2:3" x14ac:dyDescent="0.2">
      <c r="B1516" s="2"/>
      <c r="C1516" s="6"/>
    </row>
    <row r="1517" spans="2:3" x14ac:dyDescent="0.2">
      <c r="B1517" s="2"/>
      <c r="C1517" s="6"/>
    </row>
    <row r="1518" spans="2:3" x14ac:dyDescent="0.2">
      <c r="B1518" s="2"/>
      <c r="C1518" s="6"/>
    </row>
    <row r="1519" spans="2:3" x14ac:dyDescent="0.2">
      <c r="B1519" s="2"/>
      <c r="C1519" s="6"/>
    </row>
    <row r="1520" spans="2:3" x14ac:dyDescent="0.2">
      <c r="B1520" s="2"/>
      <c r="C1520" s="6"/>
    </row>
    <row r="1521" spans="2:3" x14ac:dyDescent="0.2">
      <c r="B1521" s="2"/>
      <c r="C1521" s="6"/>
    </row>
    <row r="1522" spans="2:3" x14ac:dyDescent="0.2">
      <c r="B1522" s="2"/>
      <c r="C1522" s="6"/>
    </row>
    <row r="1523" spans="2:3" x14ac:dyDescent="0.2">
      <c r="B1523" s="2"/>
      <c r="C1523" s="6"/>
    </row>
    <row r="1524" spans="2:3" x14ac:dyDescent="0.2">
      <c r="B1524" s="2"/>
      <c r="C1524" s="6"/>
    </row>
    <row r="1525" spans="2:3" x14ac:dyDescent="0.2">
      <c r="B1525" s="2"/>
      <c r="C1525" s="6"/>
    </row>
    <row r="1526" spans="2:3" x14ac:dyDescent="0.2">
      <c r="B1526" s="2"/>
      <c r="C1526" s="6"/>
    </row>
    <row r="1527" spans="2:3" x14ac:dyDescent="0.2">
      <c r="B1527" s="2"/>
      <c r="C1527" s="6"/>
    </row>
    <row r="1528" spans="2:3" x14ac:dyDescent="0.2">
      <c r="B1528" s="2"/>
      <c r="C1528" s="6"/>
    </row>
    <row r="1529" spans="2:3" x14ac:dyDescent="0.2">
      <c r="B1529" s="2"/>
      <c r="C1529" s="6"/>
    </row>
    <row r="1530" spans="2:3" x14ac:dyDescent="0.2">
      <c r="B1530" s="2"/>
      <c r="C1530" s="6"/>
    </row>
    <row r="1531" spans="2:3" x14ac:dyDescent="0.2">
      <c r="B1531" s="2"/>
      <c r="C1531" s="6"/>
    </row>
    <row r="1532" spans="2:3" x14ac:dyDescent="0.2">
      <c r="B1532" s="2"/>
      <c r="C1532" s="6"/>
    </row>
    <row r="1533" spans="2:3" x14ac:dyDescent="0.2">
      <c r="B1533" s="2"/>
      <c r="C1533" s="6"/>
    </row>
    <row r="1534" spans="2:3" x14ac:dyDescent="0.2">
      <c r="B1534" s="2"/>
      <c r="C1534" s="6"/>
    </row>
    <row r="1535" spans="2:3" x14ac:dyDescent="0.2">
      <c r="B1535" s="2"/>
      <c r="C1535" s="6"/>
    </row>
    <row r="1536" spans="2:3" x14ac:dyDescent="0.2">
      <c r="B1536" s="2"/>
      <c r="C1536" s="6"/>
    </row>
    <row r="1537" spans="2:3" x14ac:dyDescent="0.2">
      <c r="B1537" s="2"/>
      <c r="C1537" s="6"/>
    </row>
    <row r="1538" spans="2:3" x14ac:dyDescent="0.2">
      <c r="B1538" s="2"/>
      <c r="C1538" s="6"/>
    </row>
    <row r="1539" spans="2:3" x14ac:dyDescent="0.2">
      <c r="B1539" s="2"/>
      <c r="C1539" s="6"/>
    </row>
    <row r="1540" spans="2:3" x14ac:dyDescent="0.2">
      <c r="B1540" s="2"/>
      <c r="C1540" s="6"/>
    </row>
    <row r="1541" spans="2:3" x14ac:dyDescent="0.2">
      <c r="B1541" s="2"/>
      <c r="C1541" s="6"/>
    </row>
    <row r="1542" spans="2:3" x14ac:dyDescent="0.2">
      <c r="B1542" s="2"/>
      <c r="C1542" s="6"/>
    </row>
    <row r="1543" spans="2:3" x14ac:dyDescent="0.2">
      <c r="B1543" s="2"/>
      <c r="C1543" s="6"/>
    </row>
    <row r="1544" spans="2:3" x14ac:dyDescent="0.2">
      <c r="B1544" s="2"/>
      <c r="C1544" s="6"/>
    </row>
    <row r="1545" spans="2:3" x14ac:dyDescent="0.2">
      <c r="B1545" s="2"/>
      <c r="C1545" s="6"/>
    </row>
    <row r="1546" spans="2:3" x14ac:dyDescent="0.2">
      <c r="B1546" s="2"/>
      <c r="C1546" s="6"/>
    </row>
    <row r="1547" spans="2:3" x14ac:dyDescent="0.2">
      <c r="B1547" s="2"/>
      <c r="C1547" s="6"/>
    </row>
    <row r="1548" spans="2:3" x14ac:dyDescent="0.2">
      <c r="B1548" s="2"/>
      <c r="C1548" s="6"/>
    </row>
    <row r="1549" spans="2:3" x14ac:dyDescent="0.2">
      <c r="B1549" s="2"/>
      <c r="C1549" s="6"/>
    </row>
    <row r="1550" spans="2:3" x14ac:dyDescent="0.2">
      <c r="B1550" s="2"/>
      <c r="C1550" s="6"/>
    </row>
    <row r="1551" spans="2:3" x14ac:dyDescent="0.2">
      <c r="B1551" s="2"/>
      <c r="C1551" s="6"/>
    </row>
    <row r="1552" spans="2:3" x14ac:dyDescent="0.2">
      <c r="B1552" s="2"/>
      <c r="C1552" s="6"/>
    </row>
    <row r="1553" spans="2:3" x14ac:dyDescent="0.2">
      <c r="B1553" s="2"/>
      <c r="C1553" s="6"/>
    </row>
    <row r="1554" spans="2:3" x14ac:dyDescent="0.2">
      <c r="B1554" s="2"/>
      <c r="C1554" s="6"/>
    </row>
    <row r="1555" spans="2:3" x14ac:dyDescent="0.2">
      <c r="B1555" s="2"/>
      <c r="C1555" s="6"/>
    </row>
    <row r="1556" spans="2:3" x14ac:dyDescent="0.2">
      <c r="B1556" s="2"/>
      <c r="C1556" s="6"/>
    </row>
    <row r="1557" spans="2:3" x14ac:dyDescent="0.2">
      <c r="B1557" s="2"/>
      <c r="C1557" s="6"/>
    </row>
    <row r="1558" spans="2:3" x14ac:dyDescent="0.2">
      <c r="B1558" s="2"/>
      <c r="C1558" s="6"/>
    </row>
    <row r="1559" spans="2:3" x14ac:dyDescent="0.2">
      <c r="B1559" s="2"/>
      <c r="C1559" s="6"/>
    </row>
    <row r="1560" spans="2:3" x14ac:dyDescent="0.2">
      <c r="B1560" s="2"/>
      <c r="C1560" s="6"/>
    </row>
    <row r="1561" spans="2:3" x14ac:dyDescent="0.2">
      <c r="B1561" s="2"/>
      <c r="C1561" s="6"/>
    </row>
    <row r="1562" spans="2:3" x14ac:dyDescent="0.2">
      <c r="B1562" s="2"/>
      <c r="C1562" s="6"/>
    </row>
    <row r="1563" spans="2:3" x14ac:dyDescent="0.2">
      <c r="B1563" s="2"/>
      <c r="C1563" s="6"/>
    </row>
    <row r="1564" spans="2:3" x14ac:dyDescent="0.2">
      <c r="B1564" s="2"/>
      <c r="C1564" s="6"/>
    </row>
    <row r="1565" spans="2:3" x14ac:dyDescent="0.2">
      <c r="B1565" s="2"/>
      <c r="C1565" s="6"/>
    </row>
    <row r="1566" spans="2:3" x14ac:dyDescent="0.2">
      <c r="B1566" s="2"/>
      <c r="C1566" s="6"/>
    </row>
    <row r="1567" spans="2:3" x14ac:dyDescent="0.2">
      <c r="B1567" s="2"/>
      <c r="C1567" s="6"/>
    </row>
    <row r="1568" spans="2:3" x14ac:dyDescent="0.2">
      <c r="B1568" s="2"/>
      <c r="C1568" s="6"/>
    </row>
    <row r="1569" spans="2:3" x14ac:dyDescent="0.2">
      <c r="B1569" s="2"/>
      <c r="C1569" s="6"/>
    </row>
    <row r="1570" spans="2:3" x14ac:dyDescent="0.2">
      <c r="B1570" s="2"/>
      <c r="C1570" s="6"/>
    </row>
    <row r="1571" spans="2:3" x14ac:dyDescent="0.2">
      <c r="B1571" s="2"/>
      <c r="C1571" s="6"/>
    </row>
    <row r="1572" spans="2:3" x14ac:dyDescent="0.2">
      <c r="B1572" s="2"/>
      <c r="C1572" s="6"/>
    </row>
    <row r="1573" spans="2:3" x14ac:dyDescent="0.2">
      <c r="B1573" s="2"/>
      <c r="C1573" s="6"/>
    </row>
    <row r="1574" spans="2:3" x14ac:dyDescent="0.2">
      <c r="B1574" s="2"/>
      <c r="C1574" s="6"/>
    </row>
    <row r="1575" spans="2:3" x14ac:dyDescent="0.2">
      <c r="B1575" s="2"/>
      <c r="C1575" s="6"/>
    </row>
    <row r="1576" spans="2:3" x14ac:dyDescent="0.2">
      <c r="B1576" s="2"/>
      <c r="C1576" s="6"/>
    </row>
    <row r="1577" spans="2:3" x14ac:dyDescent="0.2">
      <c r="B1577" s="2"/>
      <c r="C1577" s="6"/>
    </row>
    <row r="1578" spans="2:3" x14ac:dyDescent="0.2">
      <c r="B1578" s="2"/>
      <c r="C1578" s="6"/>
    </row>
    <row r="1579" spans="2:3" x14ac:dyDescent="0.2">
      <c r="B1579" s="2"/>
      <c r="C1579" s="6"/>
    </row>
    <row r="1580" spans="2:3" x14ac:dyDescent="0.2">
      <c r="B1580" s="2"/>
      <c r="C1580" s="6"/>
    </row>
    <row r="1581" spans="2:3" x14ac:dyDescent="0.2">
      <c r="B1581" s="2"/>
      <c r="C1581" s="6"/>
    </row>
    <row r="1582" spans="2:3" x14ac:dyDescent="0.2">
      <c r="B1582" s="2"/>
      <c r="C1582" s="6"/>
    </row>
    <row r="1583" spans="2:3" x14ac:dyDescent="0.2">
      <c r="B1583" s="2"/>
      <c r="C1583" s="6"/>
    </row>
    <row r="1584" spans="2:3" x14ac:dyDescent="0.2">
      <c r="B1584" s="2"/>
      <c r="C1584" s="6"/>
    </row>
    <row r="1585" spans="2:3" x14ac:dyDescent="0.2">
      <c r="B1585" s="2"/>
      <c r="C1585" s="6"/>
    </row>
    <row r="1586" spans="2:3" x14ac:dyDescent="0.2">
      <c r="B1586" s="2"/>
      <c r="C1586" s="6"/>
    </row>
    <row r="1587" spans="2:3" x14ac:dyDescent="0.2">
      <c r="B1587" s="2"/>
      <c r="C1587" s="6"/>
    </row>
    <row r="1588" spans="2:3" x14ac:dyDescent="0.2">
      <c r="B1588" s="2"/>
      <c r="C1588" s="6"/>
    </row>
    <row r="1589" spans="2:3" x14ac:dyDescent="0.2">
      <c r="B1589" s="2"/>
      <c r="C1589" s="6"/>
    </row>
    <row r="1590" spans="2:3" x14ac:dyDescent="0.2">
      <c r="B1590" s="2"/>
      <c r="C1590" s="6"/>
    </row>
    <row r="1591" spans="2:3" x14ac:dyDescent="0.2">
      <c r="B1591" s="2"/>
      <c r="C1591" s="6"/>
    </row>
    <row r="1592" spans="2:3" x14ac:dyDescent="0.2">
      <c r="B1592" s="2"/>
      <c r="C1592" s="6"/>
    </row>
    <row r="1593" spans="2:3" x14ac:dyDescent="0.2">
      <c r="B1593" s="2"/>
      <c r="C1593" s="6"/>
    </row>
    <row r="1594" spans="2:3" x14ac:dyDescent="0.2">
      <c r="B1594" s="2"/>
      <c r="C1594" s="6"/>
    </row>
    <row r="1595" spans="2:3" x14ac:dyDescent="0.2">
      <c r="B1595" s="2"/>
      <c r="C1595" s="6"/>
    </row>
    <row r="1596" spans="2:3" x14ac:dyDescent="0.2">
      <c r="B1596" s="2"/>
      <c r="C1596" s="6"/>
    </row>
    <row r="1597" spans="2:3" x14ac:dyDescent="0.2">
      <c r="B1597" s="2"/>
      <c r="C1597" s="6"/>
    </row>
    <row r="1598" spans="2:3" x14ac:dyDescent="0.2">
      <c r="B1598" s="2"/>
      <c r="C1598" s="6"/>
    </row>
    <row r="1599" spans="2:3" x14ac:dyDescent="0.2">
      <c r="B1599" s="2"/>
      <c r="C1599" s="6"/>
    </row>
    <row r="1600" spans="2:3" x14ac:dyDescent="0.2">
      <c r="B1600" s="2"/>
      <c r="C1600" s="6"/>
    </row>
    <row r="1601" spans="2:3" x14ac:dyDescent="0.2">
      <c r="B1601" s="2"/>
      <c r="C1601" s="6"/>
    </row>
    <row r="1602" spans="2:3" x14ac:dyDescent="0.2">
      <c r="B1602" s="2"/>
      <c r="C1602" s="6"/>
    </row>
    <row r="1603" spans="2:3" x14ac:dyDescent="0.2">
      <c r="B1603" s="2"/>
      <c r="C1603" s="6"/>
    </row>
    <row r="1604" spans="2:3" x14ac:dyDescent="0.2">
      <c r="B1604" s="2"/>
      <c r="C1604" s="6"/>
    </row>
    <row r="1605" spans="2:3" x14ac:dyDescent="0.2">
      <c r="B1605" s="2"/>
      <c r="C1605" s="6"/>
    </row>
    <row r="1606" spans="2:3" x14ac:dyDescent="0.2">
      <c r="B1606" s="2"/>
      <c r="C1606" s="6"/>
    </row>
    <row r="1607" spans="2:3" x14ac:dyDescent="0.2">
      <c r="B1607" s="2"/>
      <c r="C1607" s="6"/>
    </row>
    <row r="1608" spans="2:3" x14ac:dyDescent="0.2">
      <c r="B1608" s="2"/>
      <c r="C1608" s="6"/>
    </row>
    <row r="1609" spans="2:3" x14ac:dyDescent="0.2">
      <c r="B1609" s="2"/>
      <c r="C1609" s="6"/>
    </row>
    <row r="1610" spans="2:3" x14ac:dyDescent="0.2">
      <c r="B1610" s="2"/>
      <c r="C1610" s="6"/>
    </row>
    <row r="1611" spans="2:3" x14ac:dyDescent="0.2">
      <c r="B1611" s="2"/>
      <c r="C1611" s="6"/>
    </row>
    <row r="1612" spans="2:3" x14ac:dyDescent="0.2">
      <c r="B1612" s="2"/>
      <c r="C1612" s="6"/>
    </row>
    <row r="1613" spans="2:3" x14ac:dyDescent="0.2">
      <c r="B1613" s="2"/>
      <c r="C1613" s="6"/>
    </row>
    <row r="1614" spans="2:3" x14ac:dyDescent="0.2">
      <c r="B1614" s="2"/>
      <c r="C1614" s="6"/>
    </row>
    <row r="1615" spans="2:3" x14ac:dyDescent="0.2">
      <c r="B1615" s="2"/>
      <c r="C1615" s="6"/>
    </row>
    <row r="1616" spans="2:3" x14ac:dyDescent="0.2">
      <c r="B1616" s="2"/>
      <c r="C1616" s="6"/>
    </row>
    <row r="1617" spans="2:3" x14ac:dyDescent="0.2">
      <c r="B1617" s="2"/>
      <c r="C1617" s="6"/>
    </row>
    <row r="1618" spans="2:3" x14ac:dyDescent="0.2">
      <c r="B1618" s="2"/>
      <c r="C1618" s="6"/>
    </row>
    <row r="1619" spans="2:3" x14ac:dyDescent="0.2">
      <c r="B1619" s="2"/>
      <c r="C1619" s="6"/>
    </row>
    <row r="1620" spans="2:3" x14ac:dyDescent="0.2">
      <c r="B1620" s="2"/>
      <c r="C1620" s="6"/>
    </row>
    <row r="1621" spans="2:3" x14ac:dyDescent="0.2">
      <c r="B1621" s="2"/>
      <c r="C1621" s="6"/>
    </row>
    <row r="1622" spans="2:3" x14ac:dyDescent="0.2">
      <c r="B1622" s="2"/>
      <c r="C1622" s="6"/>
    </row>
    <row r="1623" spans="2:3" x14ac:dyDescent="0.2">
      <c r="B1623" s="2"/>
      <c r="C1623" s="6"/>
    </row>
    <row r="1624" spans="2:3" x14ac:dyDescent="0.2">
      <c r="B1624" s="2"/>
      <c r="C1624" s="6"/>
    </row>
    <row r="1625" spans="2:3" x14ac:dyDescent="0.2">
      <c r="B1625" s="2"/>
      <c r="C1625" s="6"/>
    </row>
    <row r="1626" spans="2:3" x14ac:dyDescent="0.2">
      <c r="B1626" s="2"/>
      <c r="C1626" s="6"/>
    </row>
    <row r="1627" spans="2:3" x14ac:dyDescent="0.2">
      <c r="B1627" s="2"/>
      <c r="C1627" s="6"/>
    </row>
    <row r="1628" spans="2:3" x14ac:dyDescent="0.2">
      <c r="B1628" s="2"/>
      <c r="C1628" s="6"/>
    </row>
    <row r="1629" spans="2:3" x14ac:dyDescent="0.2">
      <c r="B1629" s="2"/>
      <c r="C1629" s="6"/>
    </row>
    <row r="1630" spans="2:3" x14ac:dyDescent="0.2">
      <c r="B1630" s="2"/>
      <c r="C1630" s="6"/>
    </row>
    <row r="1631" spans="2:3" x14ac:dyDescent="0.2">
      <c r="B1631" s="2"/>
      <c r="C1631" s="6"/>
    </row>
    <row r="1632" spans="2:3" x14ac:dyDescent="0.2">
      <c r="B1632" s="2"/>
      <c r="C1632" s="6"/>
    </row>
    <row r="1633" spans="2:3" x14ac:dyDescent="0.2">
      <c r="B1633" s="2"/>
      <c r="C1633" s="6"/>
    </row>
    <row r="1634" spans="2:3" x14ac:dyDescent="0.2">
      <c r="B1634" s="2"/>
      <c r="C1634" s="6"/>
    </row>
    <row r="1635" spans="2:3" x14ac:dyDescent="0.2">
      <c r="B1635" s="2"/>
      <c r="C1635" s="6"/>
    </row>
    <row r="1636" spans="2:3" x14ac:dyDescent="0.2">
      <c r="B1636" s="2"/>
      <c r="C1636" s="6"/>
    </row>
    <row r="1637" spans="2:3" x14ac:dyDescent="0.2">
      <c r="B1637" s="2"/>
      <c r="C1637" s="6"/>
    </row>
    <row r="1638" spans="2:3" x14ac:dyDescent="0.2">
      <c r="B1638" s="2"/>
      <c r="C1638" s="6"/>
    </row>
    <row r="1639" spans="2:3" x14ac:dyDescent="0.2">
      <c r="B1639" s="2"/>
      <c r="C1639" s="6"/>
    </row>
    <row r="1640" spans="2:3" x14ac:dyDescent="0.2">
      <c r="B1640" s="2"/>
      <c r="C1640" s="6"/>
    </row>
    <row r="1641" spans="2:3" x14ac:dyDescent="0.2">
      <c r="B1641" s="2"/>
      <c r="C1641" s="6"/>
    </row>
    <row r="1642" spans="2:3" x14ac:dyDescent="0.2">
      <c r="B1642" s="2"/>
      <c r="C1642" s="6"/>
    </row>
    <row r="1643" spans="2:3" x14ac:dyDescent="0.2">
      <c r="B1643" s="2"/>
      <c r="C1643" s="6"/>
    </row>
    <row r="1644" spans="2:3" x14ac:dyDescent="0.2">
      <c r="B1644" s="2"/>
      <c r="C1644" s="6"/>
    </row>
    <row r="1645" spans="2:3" x14ac:dyDescent="0.2">
      <c r="B1645" s="2"/>
      <c r="C1645" s="6"/>
    </row>
    <row r="1646" spans="2:3" x14ac:dyDescent="0.2">
      <c r="B1646" s="2"/>
      <c r="C1646" s="6"/>
    </row>
    <row r="1647" spans="2:3" x14ac:dyDescent="0.2">
      <c r="B1647" s="2"/>
      <c r="C1647" s="6"/>
    </row>
    <row r="1648" spans="2:3" x14ac:dyDescent="0.2">
      <c r="B1648" s="2"/>
      <c r="C1648" s="6"/>
    </row>
    <row r="1649" spans="2:3" x14ac:dyDescent="0.2">
      <c r="B1649" s="2"/>
      <c r="C1649" s="6"/>
    </row>
    <row r="1650" spans="2:3" x14ac:dyDescent="0.2">
      <c r="B1650" s="2"/>
      <c r="C1650" s="6"/>
    </row>
    <row r="1651" spans="2:3" x14ac:dyDescent="0.2">
      <c r="B1651" s="2"/>
      <c r="C1651" s="6"/>
    </row>
    <row r="1652" spans="2:3" x14ac:dyDescent="0.2">
      <c r="B1652" s="2"/>
      <c r="C1652" s="6"/>
    </row>
    <row r="1653" spans="2:3" x14ac:dyDescent="0.2">
      <c r="B1653" s="2"/>
      <c r="C1653" s="6"/>
    </row>
    <row r="1654" spans="2:3" x14ac:dyDescent="0.2">
      <c r="B1654" s="2"/>
      <c r="C1654" s="6"/>
    </row>
    <row r="1655" spans="2:3" x14ac:dyDescent="0.2">
      <c r="B1655" s="2"/>
      <c r="C1655" s="6"/>
    </row>
    <row r="1656" spans="2:3" x14ac:dyDescent="0.2">
      <c r="B1656" s="2"/>
      <c r="C1656" s="6"/>
    </row>
    <row r="1657" spans="2:3" x14ac:dyDescent="0.2">
      <c r="B1657" s="2"/>
      <c r="C1657" s="6"/>
    </row>
    <row r="1658" spans="2:3" x14ac:dyDescent="0.2">
      <c r="B1658" s="2"/>
      <c r="C1658" s="6"/>
    </row>
    <row r="1659" spans="2:3" x14ac:dyDescent="0.2">
      <c r="B1659" s="2"/>
      <c r="C1659" s="6"/>
    </row>
    <row r="1660" spans="2:3" x14ac:dyDescent="0.2">
      <c r="B1660" s="2"/>
      <c r="C1660" s="6"/>
    </row>
    <row r="1661" spans="2:3" x14ac:dyDescent="0.2">
      <c r="B1661" s="2"/>
      <c r="C1661" s="6"/>
    </row>
    <row r="1662" spans="2:3" x14ac:dyDescent="0.2">
      <c r="B1662" s="2"/>
      <c r="C1662" s="6"/>
    </row>
    <row r="1663" spans="2:3" x14ac:dyDescent="0.2">
      <c r="B1663" s="2"/>
      <c r="C1663" s="6"/>
    </row>
    <row r="1664" spans="2:3" x14ac:dyDescent="0.2">
      <c r="B1664" s="2"/>
      <c r="C1664" s="6"/>
    </row>
    <row r="1665" spans="2:3" x14ac:dyDescent="0.2">
      <c r="B1665" s="2"/>
      <c r="C1665" s="6"/>
    </row>
    <row r="1666" spans="2:3" x14ac:dyDescent="0.2">
      <c r="B1666" s="2"/>
      <c r="C1666" s="6"/>
    </row>
    <row r="1667" spans="2:3" x14ac:dyDescent="0.2">
      <c r="B1667" s="2"/>
      <c r="C1667" s="6"/>
    </row>
    <row r="1668" spans="2:3" x14ac:dyDescent="0.2">
      <c r="B1668" s="2"/>
      <c r="C1668" s="6"/>
    </row>
    <row r="1669" spans="2:3" x14ac:dyDescent="0.2">
      <c r="B1669" s="2"/>
      <c r="C1669" s="6"/>
    </row>
    <row r="1670" spans="2:3" x14ac:dyDescent="0.2">
      <c r="B1670" s="2"/>
      <c r="C1670" s="6"/>
    </row>
    <row r="1671" spans="2:3" x14ac:dyDescent="0.2">
      <c r="B1671" s="2"/>
      <c r="C1671" s="6"/>
    </row>
    <row r="1672" spans="2:3" x14ac:dyDescent="0.2">
      <c r="B1672" s="2"/>
      <c r="C1672" s="6"/>
    </row>
    <row r="1673" spans="2:3" x14ac:dyDescent="0.2">
      <c r="B1673" s="2"/>
      <c r="C1673" s="6"/>
    </row>
    <row r="1674" spans="2:3" x14ac:dyDescent="0.2">
      <c r="B1674" s="2"/>
      <c r="C1674" s="6"/>
    </row>
    <row r="1675" spans="2:3" x14ac:dyDescent="0.2">
      <c r="B1675" s="2"/>
      <c r="C1675" s="6"/>
    </row>
    <row r="1676" spans="2:3" x14ac:dyDescent="0.2">
      <c r="B1676" s="2"/>
      <c r="C1676" s="6"/>
    </row>
    <row r="1677" spans="2:3" x14ac:dyDescent="0.2">
      <c r="B1677" s="2"/>
      <c r="C1677" s="6"/>
    </row>
    <row r="1678" spans="2:3" x14ac:dyDescent="0.2">
      <c r="B1678" s="2"/>
      <c r="C1678" s="6"/>
    </row>
    <row r="1679" spans="2:3" x14ac:dyDescent="0.2">
      <c r="B1679" s="2"/>
      <c r="C1679" s="6"/>
    </row>
    <row r="1680" spans="2:3" x14ac:dyDescent="0.2">
      <c r="B1680" s="2"/>
      <c r="C1680" s="6"/>
    </row>
    <row r="1681" spans="2:3" x14ac:dyDescent="0.2">
      <c r="B1681" s="2"/>
      <c r="C1681" s="6"/>
    </row>
    <row r="1682" spans="2:3" x14ac:dyDescent="0.2">
      <c r="B1682" s="2"/>
      <c r="C1682" s="6"/>
    </row>
    <row r="1683" spans="2:3" x14ac:dyDescent="0.2">
      <c r="B1683" s="2"/>
      <c r="C1683" s="6"/>
    </row>
    <row r="1684" spans="2:3" x14ac:dyDescent="0.2">
      <c r="B1684" s="2"/>
      <c r="C1684" s="6"/>
    </row>
    <row r="1685" spans="2:3" x14ac:dyDescent="0.2">
      <c r="B1685" s="2"/>
      <c r="C1685" s="6"/>
    </row>
    <row r="1686" spans="2:3" x14ac:dyDescent="0.2">
      <c r="B1686" s="2"/>
      <c r="C1686" s="6"/>
    </row>
    <row r="1687" spans="2:3" x14ac:dyDescent="0.2">
      <c r="B1687" s="2"/>
      <c r="C1687" s="6"/>
    </row>
    <row r="1688" spans="2:3" x14ac:dyDescent="0.2">
      <c r="B1688" s="2"/>
      <c r="C1688" s="6"/>
    </row>
    <row r="1689" spans="2:3" x14ac:dyDescent="0.2">
      <c r="B1689" s="2"/>
      <c r="C1689" s="6"/>
    </row>
    <row r="1690" spans="2:3" x14ac:dyDescent="0.2">
      <c r="B1690" s="2"/>
      <c r="C1690" s="6"/>
    </row>
    <row r="1691" spans="2:3" x14ac:dyDescent="0.2">
      <c r="B1691" s="2"/>
      <c r="C1691" s="6"/>
    </row>
    <row r="1692" spans="2:3" x14ac:dyDescent="0.2">
      <c r="B1692" s="2"/>
      <c r="C1692" s="6"/>
    </row>
    <row r="1693" spans="2:3" x14ac:dyDescent="0.2">
      <c r="B1693" s="2"/>
      <c r="C1693" s="6"/>
    </row>
    <row r="1694" spans="2:3" x14ac:dyDescent="0.2">
      <c r="B1694" s="2"/>
      <c r="C1694" s="6"/>
    </row>
    <row r="1695" spans="2:3" x14ac:dyDescent="0.2">
      <c r="B1695" s="2"/>
      <c r="C1695" s="6"/>
    </row>
    <row r="1696" spans="2:3" x14ac:dyDescent="0.2">
      <c r="B1696" s="2"/>
      <c r="C1696" s="6"/>
    </row>
    <row r="1697" spans="2:3" x14ac:dyDescent="0.2">
      <c r="B1697" s="2"/>
      <c r="C1697" s="6"/>
    </row>
    <row r="1698" spans="2:3" x14ac:dyDescent="0.2">
      <c r="B1698" s="2"/>
      <c r="C1698" s="6"/>
    </row>
    <row r="1699" spans="2:3" x14ac:dyDescent="0.2">
      <c r="B1699" s="2"/>
      <c r="C1699" s="6"/>
    </row>
    <row r="1700" spans="2:3" x14ac:dyDescent="0.2">
      <c r="B1700" s="2"/>
      <c r="C1700" s="6"/>
    </row>
    <row r="1701" spans="2:3" x14ac:dyDescent="0.2">
      <c r="B1701" s="2"/>
      <c r="C1701" s="6"/>
    </row>
    <row r="1702" spans="2:3" x14ac:dyDescent="0.2">
      <c r="B1702" s="2"/>
      <c r="C1702" s="6"/>
    </row>
    <row r="1703" spans="2:3" x14ac:dyDescent="0.2">
      <c r="B1703" s="2"/>
      <c r="C1703" s="6"/>
    </row>
    <row r="1704" spans="2:3" x14ac:dyDescent="0.2">
      <c r="B1704" s="2"/>
      <c r="C1704" s="6"/>
    </row>
    <row r="1705" spans="2:3" x14ac:dyDescent="0.2">
      <c r="B1705" s="2"/>
      <c r="C1705" s="6"/>
    </row>
    <row r="1706" spans="2:3" x14ac:dyDescent="0.2">
      <c r="B1706" s="2"/>
      <c r="C1706" s="6"/>
    </row>
    <row r="1707" spans="2:3" x14ac:dyDescent="0.2">
      <c r="B1707" s="2"/>
      <c r="C1707" s="6"/>
    </row>
    <row r="1708" spans="2:3" x14ac:dyDescent="0.2">
      <c r="B1708" s="2"/>
      <c r="C1708" s="6"/>
    </row>
    <row r="1709" spans="2:3" x14ac:dyDescent="0.2">
      <c r="B1709" s="2"/>
      <c r="C1709" s="6"/>
    </row>
    <row r="1710" spans="2:3" x14ac:dyDescent="0.2">
      <c r="B1710" s="2"/>
      <c r="C1710" s="6"/>
    </row>
    <row r="1711" spans="2:3" x14ac:dyDescent="0.2">
      <c r="B1711" s="2"/>
      <c r="C1711" s="6"/>
    </row>
    <row r="1712" spans="2:3" x14ac:dyDescent="0.2">
      <c r="B1712" s="2"/>
      <c r="C1712" s="6"/>
    </row>
    <row r="1713" spans="2:3" x14ac:dyDescent="0.2">
      <c r="B1713" s="2"/>
      <c r="C1713" s="6"/>
    </row>
    <row r="1714" spans="2:3" x14ac:dyDescent="0.2">
      <c r="B1714" s="2"/>
      <c r="C1714" s="6"/>
    </row>
    <row r="1715" spans="2:3" x14ac:dyDescent="0.2">
      <c r="B1715" s="2"/>
      <c r="C1715" s="6"/>
    </row>
    <row r="1716" spans="2:3" x14ac:dyDescent="0.2">
      <c r="B1716" s="2"/>
      <c r="C1716" s="6"/>
    </row>
    <row r="1717" spans="2:3" x14ac:dyDescent="0.2">
      <c r="B1717" s="2"/>
      <c r="C1717" s="6"/>
    </row>
    <row r="1718" spans="2:3" x14ac:dyDescent="0.2">
      <c r="B1718" s="2"/>
      <c r="C1718" s="6"/>
    </row>
    <row r="1719" spans="2:3" x14ac:dyDescent="0.2">
      <c r="B1719" s="2"/>
      <c r="C1719" s="6"/>
    </row>
    <row r="1720" spans="2:3" x14ac:dyDescent="0.2">
      <c r="B1720" s="2"/>
      <c r="C1720" s="6"/>
    </row>
    <row r="1721" spans="2:3" x14ac:dyDescent="0.2">
      <c r="B1721" s="2"/>
      <c r="C1721" s="6"/>
    </row>
    <row r="1722" spans="2:3" x14ac:dyDescent="0.2">
      <c r="B1722" s="2"/>
      <c r="C1722" s="6"/>
    </row>
    <row r="1723" spans="2:3" x14ac:dyDescent="0.2">
      <c r="B1723" s="2"/>
      <c r="C1723" s="6"/>
    </row>
    <row r="1724" spans="2:3" x14ac:dyDescent="0.2">
      <c r="B1724" s="2"/>
      <c r="C1724" s="6"/>
    </row>
    <row r="1725" spans="2:3" x14ac:dyDescent="0.2">
      <c r="B1725" s="2"/>
      <c r="C1725" s="6"/>
    </row>
    <row r="1726" spans="2:3" x14ac:dyDescent="0.2">
      <c r="B1726" s="2"/>
      <c r="C1726" s="6"/>
    </row>
    <row r="1727" spans="2:3" x14ac:dyDescent="0.2">
      <c r="B1727" s="2"/>
      <c r="C1727" s="6"/>
    </row>
    <row r="1728" spans="2:3" x14ac:dyDescent="0.2">
      <c r="B1728" s="2"/>
      <c r="C1728" s="6"/>
    </row>
    <row r="1729" spans="2:3" x14ac:dyDescent="0.2">
      <c r="B1729" s="2"/>
      <c r="C1729" s="6"/>
    </row>
    <row r="1730" spans="2:3" x14ac:dyDescent="0.2">
      <c r="B1730" s="2"/>
      <c r="C1730" s="6"/>
    </row>
    <row r="1731" spans="2:3" x14ac:dyDescent="0.2">
      <c r="B1731" s="2"/>
      <c r="C1731" s="6"/>
    </row>
    <row r="1732" spans="2:3" x14ac:dyDescent="0.2">
      <c r="B1732" s="2"/>
      <c r="C1732" s="6"/>
    </row>
    <row r="1733" spans="2:3" x14ac:dyDescent="0.2">
      <c r="B1733" s="2"/>
      <c r="C1733" s="6"/>
    </row>
    <row r="1734" spans="2:3" x14ac:dyDescent="0.2">
      <c r="B1734" s="2"/>
      <c r="C1734" s="6"/>
    </row>
    <row r="1735" spans="2:3" x14ac:dyDescent="0.2">
      <c r="B1735" s="2"/>
      <c r="C1735" s="6"/>
    </row>
    <row r="1736" spans="2:3" x14ac:dyDescent="0.2">
      <c r="B1736" s="2"/>
      <c r="C1736" s="6"/>
    </row>
    <row r="1737" spans="2:3" x14ac:dyDescent="0.2">
      <c r="B1737" s="2"/>
      <c r="C1737" s="6"/>
    </row>
    <row r="1738" spans="2:3" x14ac:dyDescent="0.2">
      <c r="B1738" s="2"/>
      <c r="C1738" s="6"/>
    </row>
    <row r="1739" spans="2:3" x14ac:dyDescent="0.2">
      <c r="B1739" s="2"/>
      <c r="C1739" s="6"/>
    </row>
    <row r="1740" spans="2:3" x14ac:dyDescent="0.2">
      <c r="B1740" s="2"/>
      <c r="C1740" s="6"/>
    </row>
    <row r="1741" spans="2:3" x14ac:dyDescent="0.2">
      <c r="B1741" s="2"/>
      <c r="C1741" s="6"/>
    </row>
    <row r="1742" spans="2:3" x14ac:dyDescent="0.2">
      <c r="B1742" s="2"/>
      <c r="C1742" s="6"/>
    </row>
    <row r="1743" spans="2:3" x14ac:dyDescent="0.2">
      <c r="B1743" s="2"/>
      <c r="C1743" s="6"/>
    </row>
    <row r="1744" spans="2:3" x14ac:dyDescent="0.2">
      <c r="B1744" s="2"/>
      <c r="C1744" s="6"/>
    </row>
    <row r="1745" spans="2:3" x14ac:dyDescent="0.2">
      <c r="B1745" s="2"/>
      <c r="C1745" s="6"/>
    </row>
    <row r="1746" spans="2:3" x14ac:dyDescent="0.2">
      <c r="B1746" s="2"/>
      <c r="C1746" s="6"/>
    </row>
    <row r="1747" spans="2:3" x14ac:dyDescent="0.2">
      <c r="B1747" s="2"/>
      <c r="C1747" s="6"/>
    </row>
    <row r="1748" spans="2:3" x14ac:dyDescent="0.2">
      <c r="B1748" s="2"/>
      <c r="C1748" s="6"/>
    </row>
    <row r="1749" spans="2:3" x14ac:dyDescent="0.2">
      <c r="B1749" s="2"/>
      <c r="C1749" s="6"/>
    </row>
    <row r="1750" spans="2:3" x14ac:dyDescent="0.2">
      <c r="B1750" s="2"/>
      <c r="C1750" s="6"/>
    </row>
    <row r="1751" spans="2:3" x14ac:dyDescent="0.2">
      <c r="B1751" s="2"/>
      <c r="C1751" s="6"/>
    </row>
    <row r="1752" spans="2:3" x14ac:dyDescent="0.2">
      <c r="B1752" s="2"/>
      <c r="C1752" s="6"/>
    </row>
    <row r="1753" spans="2:3" x14ac:dyDescent="0.2">
      <c r="B1753" s="2"/>
      <c r="C1753" s="6"/>
    </row>
    <row r="1754" spans="2:3" x14ac:dyDescent="0.2">
      <c r="B1754" s="2"/>
      <c r="C1754" s="6"/>
    </row>
    <row r="1755" spans="2:3" x14ac:dyDescent="0.2">
      <c r="B1755" s="2"/>
      <c r="C1755" s="6"/>
    </row>
    <row r="1756" spans="2:3" x14ac:dyDescent="0.2">
      <c r="B1756" s="2"/>
      <c r="C1756" s="6"/>
    </row>
    <row r="1757" spans="2:3" x14ac:dyDescent="0.2">
      <c r="B1757" s="2"/>
      <c r="C1757" s="6"/>
    </row>
    <row r="1758" spans="2:3" x14ac:dyDescent="0.2">
      <c r="B1758" s="2"/>
      <c r="C1758" s="6"/>
    </row>
    <row r="1759" spans="2:3" x14ac:dyDescent="0.2">
      <c r="B1759" s="2"/>
      <c r="C1759" s="6"/>
    </row>
    <row r="1760" spans="2:3" x14ac:dyDescent="0.2">
      <c r="B1760" s="2"/>
      <c r="C1760" s="6"/>
    </row>
    <row r="1761" spans="2:3" x14ac:dyDescent="0.2">
      <c r="B1761" s="2"/>
      <c r="C1761" s="6"/>
    </row>
    <row r="1762" spans="2:3" x14ac:dyDescent="0.2">
      <c r="B1762" s="2"/>
      <c r="C1762" s="6"/>
    </row>
    <row r="1763" spans="2:3" x14ac:dyDescent="0.2">
      <c r="B1763" s="2"/>
      <c r="C1763" s="6"/>
    </row>
    <row r="1764" spans="2:3" x14ac:dyDescent="0.2">
      <c r="B1764" s="2"/>
      <c r="C1764" s="6"/>
    </row>
    <row r="1765" spans="2:3" x14ac:dyDescent="0.2">
      <c r="B1765" s="2"/>
      <c r="C1765" s="6"/>
    </row>
    <row r="1766" spans="2:3" x14ac:dyDescent="0.2">
      <c r="B1766" s="2"/>
      <c r="C1766" s="6"/>
    </row>
    <row r="1767" spans="2:3" x14ac:dyDescent="0.2">
      <c r="B1767" s="2"/>
      <c r="C1767" s="6"/>
    </row>
    <row r="1768" spans="2:3" x14ac:dyDescent="0.2">
      <c r="B1768" s="2"/>
      <c r="C1768" s="6"/>
    </row>
    <row r="1769" spans="2:3" x14ac:dyDescent="0.2">
      <c r="B1769" s="2"/>
      <c r="C1769" s="6"/>
    </row>
    <row r="1770" spans="2:3" x14ac:dyDescent="0.2">
      <c r="B1770" s="2"/>
      <c r="C1770" s="6"/>
    </row>
    <row r="1771" spans="2:3" x14ac:dyDescent="0.2">
      <c r="B1771" s="2"/>
      <c r="C1771" s="6"/>
    </row>
    <row r="1772" spans="2:3" x14ac:dyDescent="0.2">
      <c r="B1772" s="2"/>
      <c r="C1772" s="6"/>
    </row>
    <row r="1773" spans="2:3" x14ac:dyDescent="0.2">
      <c r="B1773" s="2"/>
      <c r="C1773" s="6"/>
    </row>
    <row r="1774" spans="2:3" x14ac:dyDescent="0.2">
      <c r="B1774" s="2"/>
      <c r="C1774" s="6"/>
    </row>
    <row r="1775" spans="2:3" x14ac:dyDescent="0.2">
      <c r="B1775" s="2"/>
      <c r="C1775" s="6"/>
    </row>
    <row r="1776" spans="2:3" x14ac:dyDescent="0.2">
      <c r="B1776" s="2"/>
      <c r="C1776" s="6"/>
    </row>
    <row r="1777" spans="2:3" x14ac:dyDescent="0.2">
      <c r="B1777" s="2"/>
      <c r="C1777" s="6"/>
    </row>
    <row r="1778" spans="2:3" x14ac:dyDescent="0.2">
      <c r="B1778" s="2"/>
      <c r="C1778" s="6"/>
    </row>
    <row r="1779" spans="2:3" x14ac:dyDescent="0.2">
      <c r="B1779" s="2"/>
      <c r="C1779" s="6"/>
    </row>
    <row r="1780" spans="2:3" x14ac:dyDescent="0.2">
      <c r="B1780" s="2"/>
      <c r="C1780" s="6"/>
    </row>
    <row r="1781" spans="2:3" x14ac:dyDescent="0.2">
      <c r="B1781" s="2"/>
      <c r="C1781" s="6"/>
    </row>
    <row r="1782" spans="2:3" x14ac:dyDescent="0.2">
      <c r="B1782" s="2"/>
      <c r="C1782" s="6"/>
    </row>
    <row r="1783" spans="2:3" x14ac:dyDescent="0.2">
      <c r="B1783" s="2"/>
      <c r="C1783" s="6"/>
    </row>
    <row r="1784" spans="2:3" x14ac:dyDescent="0.2">
      <c r="B1784" s="2"/>
      <c r="C1784" s="6"/>
    </row>
    <row r="1785" spans="2:3" x14ac:dyDescent="0.2">
      <c r="B1785" s="2"/>
      <c r="C1785" s="6"/>
    </row>
    <row r="1786" spans="2:3" x14ac:dyDescent="0.2">
      <c r="B1786" s="2"/>
      <c r="C1786" s="6"/>
    </row>
    <row r="1787" spans="2:3" x14ac:dyDescent="0.2">
      <c r="B1787" s="2"/>
      <c r="C1787" s="6"/>
    </row>
    <row r="1788" spans="2:3" x14ac:dyDescent="0.2">
      <c r="B1788" s="2"/>
      <c r="C1788" s="6"/>
    </row>
    <row r="1789" spans="2:3" x14ac:dyDescent="0.2">
      <c r="B1789" s="2"/>
      <c r="C1789" s="6"/>
    </row>
    <row r="1790" spans="2:3" x14ac:dyDescent="0.2">
      <c r="B1790" s="2"/>
      <c r="C1790" s="6"/>
    </row>
    <row r="1791" spans="2:3" x14ac:dyDescent="0.2">
      <c r="B1791" s="2"/>
      <c r="C1791" s="6"/>
    </row>
    <row r="1792" spans="2:3" x14ac:dyDescent="0.2">
      <c r="B1792" s="2"/>
      <c r="C1792" s="6"/>
    </row>
    <row r="1793" spans="2:3" x14ac:dyDescent="0.2">
      <c r="B1793" s="2"/>
      <c r="C1793" s="6"/>
    </row>
    <row r="1794" spans="2:3" x14ac:dyDescent="0.2">
      <c r="B1794" s="2"/>
      <c r="C1794" s="6"/>
    </row>
    <row r="1795" spans="2:3" x14ac:dyDescent="0.2">
      <c r="B1795" s="2"/>
      <c r="C1795" s="6"/>
    </row>
    <row r="1796" spans="2:3" x14ac:dyDescent="0.2">
      <c r="B1796" s="2"/>
      <c r="C1796" s="6"/>
    </row>
    <row r="1797" spans="2:3" x14ac:dyDescent="0.2">
      <c r="B1797" s="2"/>
      <c r="C1797" s="6"/>
    </row>
    <row r="1798" spans="2:3" x14ac:dyDescent="0.2">
      <c r="B1798" s="2"/>
      <c r="C1798" s="6"/>
    </row>
    <row r="1799" spans="2:3" x14ac:dyDescent="0.2">
      <c r="B1799" s="2"/>
      <c r="C1799" s="6"/>
    </row>
    <row r="1800" spans="2:3" x14ac:dyDescent="0.2">
      <c r="B1800" s="2"/>
      <c r="C1800" s="6"/>
    </row>
    <row r="1801" spans="2:3" x14ac:dyDescent="0.2">
      <c r="B1801" s="2"/>
      <c r="C1801" s="6"/>
    </row>
    <row r="1802" spans="2:3" x14ac:dyDescent="0.2">
      <c r="B1802" s="2"/>
      <c r="C1802" s="6"/>
    </row>
    <row r="1803" spans="2:3" x14ac:dyDescent="0.2">
      <c r="B1803" s="2"/>
      <c r="C1803" s="6"/>
    </row>
    <row r="1804" spans="2:3" x14ac:dyDescent="0.2">
      <c r="B1804" s="2"/>
      <c r="C1804" s="6"/>
    </row>
    <row r="1805" spans="2:3" x14ac:dyDescent="0.2">
      <c r="B1805" s="2"/>
      <c r="C1805" s="6"/>
    </row>
    <row r="1806" spans="2:3" x14ac:dyDescent="0.2">
      <c r="B1806" s="2"/>
      <c r="C1806" s="6"/>
    </row>
    <row r="1807" spans="2:3" x14ac:dyDescent="0.2">
      <c r="B1807" s="2"/>
      <c r="C1807" s="6"/>
    </row>
    <row r="1808" spans="2:3" x14ac:dyDescent="0.2">
      <c r="B1808" s="2"/>
      <c r="C1808" s="6"/>
    </row>
    <row r="1809" spans="2:3" x14ac:dyDescent="0.2">
      <c r="B1809" s="2"/>
      <c r="C1809" s="6"/>
    </row>
    <row r="1810" spans="2:3" x14ac:dyDescent="0.2">
      <c r="B1810" s="2"/>
      <c r="C1810" s="6"/>
    </row>
    <row r="1811" spans="2:3" x14ac:dyDescent="0.2">
      <c r="B1811" s="2"/>
      <c r="C1811" s="6"/>
    </row>
    <row r="1812" spans="2:3" x14ac:dyDescent="0.2">
      <c r="B1812" s="2"/>
      <c r="C1812" s="6"/>
    </row>
    <row r="1813" spans="2:3" x14ac:dyDescent="0.2">
      <c r="B1813" s="2"/>
      <c r="C1813" s="6"/>
    </row>
    <row r="1814" spans="2:3" x14ac:dyDescent="0.2">
      <c r="B1814" s="2"/>
      <c r="C1814" s="6"/>
    </row>
    <row r="1815" spans="2:3" x14ac:dyDescent="0.2">
      <c r="B1815" s="2"/>
      <c r="C1815" s="6"/>
    </row>
    <row r="1816" spans="2:3" x14ac:dyDescent="0.2">
      <c r="B1816" s="2"/>
      <c r="C1816" s="6"/>
    </row>
    <row r="1817" spans="2:3" x14ac:dyDescent="0.2">
      <c r="B1817" s="2"/>
      <c r="C1817" s="6"/>
    </row>
    <row r="1818" spans="2:3" x14ac:dyDescent="0.2">
      <c r="B1818" s="2"/>
      <c r="C1818" s="6"/>
    </row>
    <row r="1819" spans="2:3" x14ac:dyDescent="0.2">
      <c r="B1819" s="2"/>
      <c r="C1819" s="6"/>
    </row>
    <row r="1820" spans="2:3" x14ac:dyDescent="0.2">
      <c r="B1820" s="2"/>
      <c r="C1820" s="6"/>
    </row>
    <row r="1821" spans="2:3" x14ac:dyDescent="0.2">
      <c r="B1821" s="2"/>
      <c r="C1821" s="6"/>
    </row>
    <row r="1822" spans="2:3" x14ac:dyDescent="0.2">
      <c r="B1822" s="2"/>
      <c r="C1822" s="6"/>
    </row>
    <row r="1823" spans="2:3" x14ac:dyDescent="0.2">
      <c r="B1823" s="2"/>
      <c r="C1823" s="6"/>
    </row>
    <row r="1824" spans="2:3" x14ac:dyDescent="0.2">
      <c r="B1824" s="2"/>
      <c r="C1824" s="6"/>
    </row>
    <row r="1825" spans="2:3" x14ac:dyDescent="0.2">
      <c r="B1825" s="2"/>
      <c r="C1825" s="6"/>
    </row>
    <row r="1826" spans="2:3" x14ac:dyDescent="0.2">
      <c r="B1826" s="2"/>
      <c r="C1826" s="6"/>
    </row>
    <row r="1827" spans="2:3" x14ac:dyDescent="0.2">
      <c r="B1827" s="2"/>
      <c r="C1827" s="6"/>
    </row>
    <row r="1828" spans="2:3" x14ac:dyDescent="0.2">
      <c r="B1828" s="2"/>
      <c r="C1828" s="6"/>
    </row>
    <row r="1829" spans="2:3" x14ac:dyDescent="0.2">
      <c r="B1829" s="2"/>
      <c r="C1829" s="6"/>
    </row>
    <row r="1830" spans="2:3" x14ac:dyDescent="0.2">
      <c r="B1830" s="2"/>
      <c r="C1830" s="6"/>
    </row>
    <row r="1831" spans="2:3" x14ac:dyDescent="0.2">
      <c r="B1831" s="2"/>
      <c r="C1831" s="6"/>
    </row>
    <row r="1832" spans="2:3" x14ac:dyDescent="0.2">
      <c r="B1832" s="2"/>
      <c r="C1832" s="6"/>
    </row>
    <row r="1833" spans="2:3" x14ac:dyDescent="0.2">
      <c r="B1833" s="2"/>
      <c r="C1833" s="6"/>
    </row>
    <row r="1834" spans="2:3" x14ac:dyDescent="0.2">
      <c r="B1834" s="2"/>
      <c r="C1834" s="6"/>
    </row>
    <row r="1835" spans="2:3" x14ac:dyDescent="0.2">
      <c r="B1835" s="2"/>
      <c r="C1835" s="6"/>
    </row>
    <row r="1836" spans="2:3" x14ac:dyDescent="0.2">
      <c r="B1836" s="2"/>
      <c r="C1836" s="6"/>
    </row>
    <row r="1837" spans="2:3" x14ac:dyDescent="0.2">
      <c r="B1837" s="2"/>
      <c r="C1837" s="6"/>
    </row>
    <row r="1838" spans="2:3" x14ac:dyDescent="0.2">
      <c r="B1838" s="2"/>
      <c r="C1838" s="6"/>
    </row>
    <row r="1839" spans="2:3" x14ac:dyDescent="0.2">
      <c r="B1839" s="2"/>
      <c r="C1839" s="6"/>
    </row>
    <row r="1840" spans="2:3" x14ac:dyDescent="0.2">
      <c r="B1840" s="2"/>
      <c r="C1840" s="6"/>
    </row>
    <row r="1841" spans="2:3" x14ac:dyDescent="0.2">
      <c r="B1841" s="2"/>
      <c r="C1841" s="6"/>
    </row>
    <row r="1842" spans="2:3" x14ac:dyDescent="0.2">
      <c r="B1842" s="2"/>
      <c r="C1842" s="6"/>
    </row>
    <row r="1843" spans="2:3" x14ac:dyDescent="0.2">
      <c r="B1843" s="2"/>
      <c r="C1843" s="6"/>
    </row>
    <row r="1844" spans="2:3" x14ac:dyDescent="0.2">
      <c r="B1844" s="2"/>
      <c r="C1844" s="6"/>
    </row>
    <row r="1845" spans="2:3" x14ac:dyDescent="0.2">
      <c r="B1845" s="2"/>
      <c r="C1845" s="6"/>
    </row>
    <row r="1846" spans="2:3" x14ac:dyDescent="0.2">
      <c r="B1846" s="2"/>
      <c r="C1846" s="6"/>
    </row>
    <row r="1847" spans="2:3" x14ac:dyDescent="0.2">
      <c r="B1847" s="2"/>
      <c r="C1847" s="6"/>
    </row>
    <row r="1848" spans="2:3" x14ac:dyDescent="0.2">
      <c r="B1848" s="2"/>
      <c r="C1848" s="6"/>
    </row>
    <row r="1849" spans="2:3" x14ac:dyDescent="0.2">
      <c r="B1849" s="2"/>
      <c r="C1849" s="6"/>
    </row>
    <row r="1850" spans="2:3" x14ac:dyDescent="0.2">
      <c r="B1850" s="2"/>
      <c r="C1850" s="6"/>
    </row>
    <row r="1851" spans="2:3" x14ac:dyDescent="0.2">
      <c r="B1851" s="2"/>
      <c r="C1851" s="6"/>
    </row>
    <row r="1852" spans="2:3" x14ac:dyDescent="0.2">
      <c r="B1852" s="2"/>
      <c r="C1852" s="6"/>
    </row>
    <row r="1853" spans="2:3" x14ac:dyDescent="0.2">
      <c r="B1853" s="2"/>
      <c r="C1853" s="6"/>
    </row>
    <row r="1854" spans="2:3" x14ac:dyDescent="0.2">
      <c r="B1854" s="2"/>
      <c r="C1854" s="6"/>
    </row>
    <row r="1855" spans="2:3" x14ac:dyDescent="0.2">
      <c r="B1855" s="2"/>
      <c r="C1855" s="6"/>
    </row>
    <row r="1856" spans="2:3" x14ac:dyDescent="0.2">
      <c r="B1856" s="2"/>
      <c r="C1856" s="6"/>
    </row>
    <row r="1857" spans="2:3" x14ac:dyDescent="0.2">
      <c r="B1857" s="2"/>
      <c r="C1857" s="6"/>
    </row>
    <row r="1858" spans="2:3" x14ac:dyDescent="0.2">
      <c r="B1858" s="2"/>
      <c r="C1858" s="6"/>
    </row>
    <row r="1859" spans="2:3" x14ac:dyDescent="0.2">
      <c r="B1859" s="2"/>
      <c r="C1859" s="6"/>
    </row>
    <row r="1860" spans="2:3" x14ac:dyDescent="0.2">
      <c r="B1860" s="2"/>
      <c r="C1860" s="6"/>
    </row>
    <row r="1861" spans="2:3" x14ac:dyDescent="0.2">
      <c r="B1861" s="2"/>
      <c r="C1861" s="6"/>
    </row>
    <row r="1862" spans="2:3" x14ac:dyDescent="0.2">
      <c r="B1862" s="2"/>
      <c r="C1862" s="6"/>
    </row>
    <row r="1863" spans="2:3" x14ac:dyDescent="0.2">
      <c r="B1863" s="2"/>
      <c r="C1863" s="6"/>
    </row>
    <row r="1864" spans="2:3" x14ac:dyDescent="0.2">
      <c r="B1864" s="2"/>
      <c r="C1864" s="6"/>
    </row>
    <row r="1865" spans="2:3" x14ac:dyDescent="0.2">
      <c r="B1865" s="2"/>
      <c r="C1865" s="6"/>
    </row>
    <row r="1866" spans="2:3" x14ac:dyDescent="0.2">
      <c r="B1866" s="2"/>
      <c r="C1866" s="6"/>
    </row>
    <row r="1867" spans="2:3" x14ac:dyDescent="0.2">
      <c r="B1867" s="2"/>
      <c r="C1867" s="6"/>
    </row>
    <row r="1868" spans="2:3" x14ac:dyDescent="0.2">
      <c r="B1868" s="2"/>
      <c r="C1868" s="6"/>
    </row>
    <row r="1869" spans="2:3" x14ac:dyDescent="0.2">
      <c r="B1869" s="2"/>
      <c r="C1869" s="6"/>
    </row>
    <row r="1870" spans="2:3" x14ac:dyDescent="0.2">
      <c r="B1870" s="2"/>
      <c r="C1870" s="6"/>
    </row>
    <row r="1871" spans="2:3" x14ac:dyDescent="0.2">
      <c r="B1871" s="2"/>
      <c r="C1871" s="6"/>
    </row>
    <row r="1872" spans="2:3" x14ac:dyDescent="0.2">
      <c r="B1872" s="2"/>
      <c r="C1872" s="6"/>
    </row>
    <row r="1873" spans="2:3" x14ac:dyDescent="0.2">
      <c r="B1873" s="2"/>
      <c r="C1873" s="6"/>
    </row>
    <row r="1874" spans="2:3" x14ac:dyDescent="0.2">
      <c r="B1874" s="2"/>
      <c r="C1874" s="6"/>
    </row>
    <row r="1875" spans="2:3" x14ac:dyDescent="0.2">
      <c r="B1875" s="2"/>
      <c r="C1875" s="6"/>
    </row>
    <row r="1876" spans="2:3" x14ac:dyDescent="0.2">
      <c r="B1876" s="2"/>
      <c r="C1876" s="6"/>
    </row>
    <row r="1877" spans="2:3" x14ac:dyDescent="0.2">
      <c r="B1877" s="2"/>
      <c r="C1877" s="6"/>
    </row>
    <row r="1878" spans="2:3" x14ac:dyDescent="0.2">
      <c r="B1878" s="2"/>
      <c r="C1878" s="6"/>
    </row>
    <row r="1879" spans="2:3" x14ac:dyDescent="0.2">
      <c r="B1879" s="2"/>
      <c r="C1879" s="6"/>
    </row>
    <row r="1880" spans="2:3" x14ac:dyDescent="0.2">
      <c r="B1880" s="2"/>
      <c r="C1880" s="6"/>
    </row>
    <row r="1881" spans="2:3" x14ac:dyDescent="0.2">
      <c r="B1881" s="2"/>
      <c r="C1881" s="6"/>
    </row>
    <row r="1882" spans="2:3" x14ac:dyDescent="0.2">
      <c r="B1882" s="2"/>
      <c r="C1882" s="6"/>
    </row>
    <row r="1883" spans="2:3" x14ac:dyDescent="0.2">
      <c r="B1883" s="2"/>
      <c r="C1883" s="6"/>
    </row>
    <row r="1884" spans="2:3" x14ac:dyDescent="0.2">
      <c r="B1884" s="2"/>
      <c r="C1884" s="6"/>
    </row>
    <row r="1885" spans="2:3" x14ac:dyDescent="0.2">
      <c r="B1885" s="2"/>
      <c r="C1885" s="6"/>
    </row>
    <row r="1886" spans="2:3" x14ac:dyDescent="0.2">
      <c r="B1886" s="2"/>
      <c r="C1886" s="6"/>
    </row>
    <row r="1887" spans="2:3" x14ac:dyDescent="0.2">
      <c r="B1887" s="2"/>
      <c r="C1887" s="6"/>
    </row>
    <row r="1888" spans="2:3" x14ac:dyDescent="0.2">
      <c r="B1888" s="2"/>
      <c r="C1888" s="6"/>
    </row>
    <row r="1889" spans="2:3" x14ac:dyDescent="0.2">
      <c r="B1889" s="2"/>
      <c r="C1889" s="6"/>
    </row>
    <row r="1890" spans="2:3" x14ac:dyDescent="0.2">
      <c r="B1890" s="2"/>
      <c r="C1890" s="6"/>
    </row>
    <row r="1891" spans="2:3" x14ac:dyDescent="0.2">
      <c r="B1891" s="2"/>
      <c r="C1891" s="6"/>
    </row>
    <row r="1892" spans="2:3" x14ac:dyDescent="0.2">
      <c r="B1892" s="2"/>
      <c r="C1892" s="6"/>
    </row>
    <row r="1893" spans="2:3" x14ac:dyDescent="0.2">
      <c r="B1893" s="2"/>
      <c r="C1893" s="6"/>
    </row>
    <row r="1894" spans="2:3" x14ac:dyDescent="0.2">
      <c r="B1894" s="2"/>
      <c r="C1894" s="6"/>
    </row>
    <row r="1895" spans="2:3" x14ac:dyDescent="0.2">
      <c r="B1895" s="2"/>
      <c r="C1895" s="6"/>
    </row>
    <row r="1896" spans="2:3" x14ac:dyDescent="0.2">
      <c r="B1896" s="2"/>
      <c r="C1896" s="6"/>
    </row>
    <row r="1897" spans="2:3" x14ac:dyDescent="0.2">
      <c r="B1897" s="2"/>
      <c r="C1897" s="6"/>
    </row>
    <row r="1898" spans="2:3" x14ac:dyDescent="0.2">
      <c r="B1898" s="2"/>
      <c r="C1898" s="6"/>
    </row>
    <row r="1899" spans="2:3" x14ac:dyDescent="0.2">
      <c r="B1899" s="2"/>
      <c r="C1899" s="6"/>
    </row>
    <row r="1900" spans="2:3" x14ac:dyDescent="0.2">
      <c r="B1900" s="2"/>
      <c r="C1900" s="6"/>
    </row>
    <row r="1901" spans="2:3" x14ac:dyDescent="0.2">
      <c r="B1901" s="2"/>
      <c r="C1901" s="6"/>
    </row>
    <row r="1902" spans="2:3" x14ac:dyDescent="0.2">
      <c r="B1902" s="2"/>
      <c r="C1902" s="6"/>
    </row>
    <row r="1903" spans="2:3" x14ac:dyDescent="0.2">
      <c r="B1903" s="2"/>
      <c r="C1903" s="6"/>
    </row>
    <row r="1904" spans="2:3" x14ac:dyDescent="0.2">
      <c r="B1904" s="2"/>
      <c r="C1904" s="6"/>
    </row>
    <row r="1905" spans="2:3" x14ac:dyDescent="0.2">
      <c r="B1905" s="2"/>
      <c r="C1905" s="6"/>
    </row>
    <row r="1906" spans="2:3" x14ac:dyDescent="0.2">
      <c r="B1906" s="2"/>
      <c r="C1906" s="6"/>
    </row>
    <row r="1907" spans="2:3" x14ac:dyDescent="0.2">
      <c r="B1907" s="2"/>
      <c r="C1907" s="6"/>
    </row>
    <row r="1908" spans="2:3" x14ac:dyDescent="0.2">
      <c r="B1908" s="2"/>
      <c r="C1908" s="6"/>
    </row>
    <row r="1909" spans="2:3" x14ac:dyDescent="0.2">
      <c r="B1909" s="2"/>
      <c r="C1909" s="6"/>
    </row>
    <row r="1910" spans="2:3" x14ac:dyDescent="0.2">
      <c r="B1910" s="2"/>
      <c r="C1910" s="6"/>
    </row>
    <row r="1911" spans="2:3" x14ac:dyDescent="0.2">
      <c r="B1911" s="2"/>
      <c r="C1911" s="6"/>
    </row>
    <row r="1912" spans="2:3" x14ac:dyDescent="0.2">
      <c r="B1912" s="2"/>
      <c r="C1912" s="6"/>
    </row>
    <row r="1913" spans="2:3" x14ac:dyDescent="0.2">
      <c r="B1913" s="2"/>
      <c r="C1913" s="6"/>
    </row>
    <row r="1914" spans="2:3" x14ac:dyDescent="0.2">
      <c r="B1914" s="2"/>
      <c r="C1914" s="6"/>
    </row>
    <row r="1915" spans="2:3" x14ac:dyDescent="0.2">
      <c r="B1915" s="2"/>
      <c r="C1915" s="6"/>
    </row>
    <row r="1916" spans="2:3" x14ac:dyDescent="0.2">
      <c r="B1916" s="2"/>
      <c r="C1916" s="6"/>
    </row>
    <row r="1917" spans="2:3" x14ac:dyDescent="0.2">
      <c r="B1917" s="2"/>
      <c r="C1917" s="6"/>
    </row>
    <row r="1918" spans="2:3" x14ac:dyDescent="0.2">
      <c r="B1918" s="2"/>
      <c r="C1918" s="6"/>
    </row>
    <row r="1919" spans="2:3" x14ac:dyDescent="0.2">
      <c r="B1919" s="2"/>
      <c r="C1919" s="6"/>
    </row>
    <row r="1920" spans="2:3" x14ac:dyDescent="0.2">
      <c r="B1920" s="2"/>
      <c r="C1920" s="6"/>
    </row>
    <row r="1921" spans="2:3" x14ac:dyDescent="0.2">
      <c r="B1921" s="2"/>
      <c r="C1921" s="6"/>
    </row>
    <row r="1922" spans="2:3" x14ac:dyDescent="0.2">
      <c r="B1922" s="2"/>
      <c r="C1922" s="6"/>
    </row>
    <row r="1923" spans="2:3" x14ac:dyDescent="0.2">
      <c r="B1923" s="2"/>
      <c r="C1923" s="6"/>
    </row>
    <row r="1924" spans="2:3" x14ac:dyDescent="0.2">
      <c r="B1924" s="2"/>
      <c r="C1924" s="6"/>
    </row>
    <row r="1925" spans="2:3" x14ac:dyDescent="0.2">
      <c r="B1925" s="2"/>
      <c r="C1925" s="6"/>
    </row>
    <row r="1926" spans="2:3" x14ac:dyDescent="0.2">
      <c r="B1926" s="2"/>
      <c r="C1926" s="6"/>
    </row>
    <row r="1927" spans="2:3" x14ac:dyDescent="0.2">
      <c r="B1927" s="2"/>
      <c r="C1927" s="6"/>
    </row>
    <row r="1928" spans="2:3" x14ac:dyDescent="0.2">
      <c r="B1928" s="2"/>
      <c r="C1928" s="6"/>
    </row>
    <row r="1929" spans="2:3" x14ac:dyDescent="0.2">
      <c r="B1929" s="2"/>
      <c r="C1929" s="6"/>
    </row>
    <row r="1930" spans="2:3" x14ac:dyDescent="0.2">
      <c r="B1930" s="2"/>
      <c r="C1930" s="6"/>
    </row>
    <row r="1931" spans="2:3" x14ac:dyDescent="0.2">
      <c r="B1931" s="2"/>
      <c r="C1931" s="6"/>
    </row>
    <row r="1932" spans="2:3" x14ac:dyDescent="0.2">
      <c r="B1932" s="2"/>
      <c r="C1932" s="6"/>
    </row>
    <row r="1933" spans="2:3" x14ac:dyDescent="0.2">
      <c r="B1933" s="2"/>
      <c r="C1933" s="6"/>
    </row>
    <row r="1934" spans="2:3" x14ac:dyDescent="0.2">
      <c r="B1934" s="2"/>
      <c r="C1934" s="6"/>
    </row>
    <row r="1935" spans="2:3" x14ac:dyDescent="0.2">
      <c r="B1935" s="2"/>
      <c r="C1935" s="6"/>
    </row>
    <row r="1936" spans="2:3" x14ac:dyDescent="0.2">
      <c r="B1936" s="2"/>
      <c r="C1936" s="6"/>
    </row>
    <row r="1937" spans="2:3" x14ac:dyDescent="0.2">
      <c r="B1937" s="2"/>
      <c r="C1937" s="6"/>
    </row>
    <row r="1938" spans="2:3" x14ac:dyDescent="0.2">
      <c r="B1938" s="2"/>
      <c r="C1938" s="6"/>
    </row>
    <row r="1939" spans="2:3" x14ac:dyDescent="0.2">
      <c r="B1939" s="2"/>
      <c r="C1939" s="6"/>
    </row>
    <row r="1940" spans="2:3" x14ac:dyDescent="0.2">
      <c r="B1940" s="2"/>
      <c r="C1940" s="6"/>
    </row>
    <row r="1941" spans="2:3" x14ac:dyDescent="0.2">
      <c r="B1941" s="2"/>
      <c r="C1941" s="6"/>
    </row>
    <row r="1942" spans="2:3" x14ac:dyDescent="0.2">
      <c r="B1942" s="2"/>
      <c r="C1942" s="6"/>
    </row>
    <row r="1943" spans="2:3" x14ac:dyDescent="0.2">
      <c r="B1943" s="2"/>
      <c r="C1943" s="6"/>
    </row>
    <row r="1944" spans="2:3" x14ac:dyDescent="0.2">
      <c r="B1944" s="2"/>
      <c r="C1944" s="6"/>
    </row>
    <row r="1945" spans="2:3" x14ac:dyDescent="0.2">
      <c r="B1945" s="2"/>
      <c r="C1945" s="6"/>
    </row>
    <row r="1946" spans="2:3" x14ac:dyDescent="0.2">
      <c r="B1946" s="2"/>
      <c r="C1946" s="6"/>
    </row>
    <row r="1947" spans="2:3" x14ac:dyDescent="0.2">
      <c r="B1947" s="2"/>
      <c r="C1947" s="6"/>
    </row>
    <row r="1948" spans="2:3" x14ac:dyDescent="0.2">
      <c r="B1948" s="2"/>
      <c r="C1948" s="6"/>
    </row>
    <row r="1949" spans="2:3" x14ac:dyDescent="0.2">
      <c r="B1949" s="2"/>
      <c r="C1949" s="6"/>
    </row>
    <row r="1950" spans="2:3" x14ac:dyDescent="0.2">
      <c r="B1950" s="2"/>
      <c r="C1950" s="6"/>
    </row>
    <row r="1951" spans="2:3" x14ac:dyDescent="0.2">
      <c r="B1951" s="2"/>
      <c r="C1951" s="6"/>
    </row>
    <row r="1952" spans="2:3" x14ac:dyDescent="0.2">
      <c r="B1952" s="2"/>
      <c r="C1952" s="6"/>
    </row>
    <row r="1953" spans="2:3" x14ac:dyDescent="0.2">
      <c r="B1953" s="2"/>
      <c r="C1953" s="6"/>
    </row>
    <row r="1954" spans="2:3" x14ac:dyDescent="0.2">
      <c r="B1954" s="2"/>
      <c r="C1954" s="6"/>
    </row>
    <row r="1955" spans="2:3" x14ac:dyDescent="0.2">
      <c r="B1955" s="2"/>
      <c r="C1955" s="6"/>
    </row>
    <row r="1956" spans="2:3" x14ac:dyDescent="0.2">
      <c r="B1956" s="2"/>
      <c r="C1956" s="6"/>
    </row>
    <row r="1957" spans="2:3" x14ac:dyDescent="0.2">
      <c r="B1957" s="2"/>
      <c r="C1957" s="6"/>
    </row>
    <row r="1958" spans="2:3" x14ac:dyDescent="0.2">
      <c r="B1958" s="2"/>
      <c r="C1958" s="6"/>
    </row>
    <row r="1959" spans="2:3" x14ac:dyDescent="0.2">
      <c r="B1959" s="2"/>
      <c r="C1959" s="6"/>
    </row>
    <row r="1960" spans="2:3" x14ac:dyDescent="0.2">
      <c r="B1960" s="2"/>
      <c r="C1960" s="6"/>
    </row>
    <row r="1961" spans="2:3" x14ac:dyDescent="0.2">
      <c r="B1961" s="2"/>
      <c r="C1961" s="6"/>
    </row>
    <row r="1962" spans="2:3" x14ac:dyDescent="0.2">
      <c r="B1962" s="2"/>
      <c r="C1962" s="6"/>
    </row>
    <row r="1963" spans="2:3" x14ac:dyDescent="0.2">
      <c r="B1963" s="2"/>
      <c r="C1963" s="6"/>
    </row>
    <row r="1964" spans="2:3" x14ac:dyDescent="0.2">
      <c r="B1964" s="2"/>
      <c r="C1964" s="6"/>
    </row>
    <row r="1965" spans="2:3" x14ac:dyDescent="0.2">
      <c r="B1965" s="2"/>
      <c r="C1965" s="6"/>
    </row>
    <row r="1966" spans="2:3" x14ac:dyDescent="0.2">
      <c r="B1966" s="2"/>
      <c r="C1966" s="6"/>
    </row>
    <row r="1967" spans="2:3" x14ac:dyDescent="0.2">
      <c r="B1967" s="2"/>
      <c r="C1967" s="6"/>
    </row>
    <row r="1968" spans="2:3" x14ac:dyDescent="0.2">
      <c r="B1968" s="2"/>
      <c r="C1968" s="6"/>
    </row>
    <row r="1969" spans="2:3" x14ac:dyDescent="0.2">
      <c r="B1969" s="2"/>
      <c r="C1969" s="6"/>
    </row>
    <row r="1970" spans="2:3" x14ac:dyDescent="0.2">
      <c r="B1970" s="2"/>
      <c r="C1970" s="6"/>
    </row>
    <row r="1971" spans="2:3" x14ac:dyDescent="0.2">
      <c r="B1971" s="2"/>
      <c r="C1971" s="6"/>
    </row>
    <row r="1972" spans="2:3" x14ac:dyDescent="0.2">
      <c r="B1972" s="2"/>
      <c r="C1972" s="6"/>
    </row>
    <row r="1973" spans="2:3" x14ac:dyDescent="0.2">
      <c r="B1973" s="2"/>
      <c r="C1973" s="6"/>
    </row>
    <row r="1974" spans="2:3" x14ac:dyDescent="0.2">
      <c r="B1974" s="2"/>
      <c r="C1974" s="6"/>
    </row>
    <row r="1975" spans="2:3" x14ac:dyDescent="0.2">
      <c r="B1975" s="2"/>
      <c r="C1975" s="6"/>
    </row>
    <row r="1976" spans="2:3" x14ac:dyDescent="0.2">
      <c r="B1976" s="2"/>
      <c r="C1976" s="6"/>
    </row>
    <row r="1977" spans="2:3" x14ac:dyDescent="0.2">
      <c r="B1977" s="2"/>
      <c r="C1977" s="6"/>
    </row>
    <row r="1978" spans="2:3" x14ac:dyDescent="0.2">
      <c r="B1978" s="2"/>
      <c r="C1978" s="6"/>
    </row>
    <row r="1979" spans="2:3" x14ac:dyDescent="0.2">
      <c r="B1979" s="2"/>
      <c r="C1979" s="6"/>
    </row>
    <row r="1980" spans="2:3" x14ac:dyDescent="0.2">
      <c r="B1980" s="2"/>
      <c r="C1980" s="6"/>
    </row>
    <row r="1981" spans="2:3" x14ac:dyDescent="0.2">
      <c r="B1981" s="2"/>
      <c r="C1981" s="6"/>
    </row>
    <row r="1982" spans="2:3" x14ac:dyDescent="0.2">
      <c r="B1982" s="2"/>
      <c r="C1982" s="6"/>
    </row>
    <row r="1983" spans="2:3" x14ac:dyDescent="0.2">
      <c r="B1983" s="2"/>
      <c r="C1983" s="6"/>
    </row>
    <row r="1984" spans="2:3" x14ac:dyDescent="0.2">
      <c r="B1984" s="2"/>
      <c r="C1984" s="6"/>
    </row>
    <row r="1985" spans="2:3" x14ac:dyDescent="0.2">
      <c r="B1985" s="2"/>
      <c r="C1985" s="6"/>
    </row>
    <row r="1986" spans="2:3" x14ac:dyDescent="0.2">
      <c r="B1986" s="2"/>
      <c r="C1986" s="6"/>
    </row>
    <row r="1987" spans="2:3" x14ac:dyDescent="0.2">
      <c r="B1987" s="2"/>
      <c r="C1987" s="6"/>
    </row>
    <row r="1988" spans="2:3" x14ac:dyDescent="0.2">
      <c r="B1988" s="2"/>
      <c r="C1988" s="6"/>
    </row>
    <row r="1989" spans="2:3" x14ac:dyDescent="0.2">
      <c r="B1989" s="2"/>
      <c r="C1989" s="6"/>
    </row>
    <row r="1990" spans="2:3" x14ac:dyDescent="0.2">
      <c r="B1990" s="2"/>
      <c r="C1990" s="6"/>
    </row>
    <row r="1991" spans="2:3" x14ac:dyDescent="0.2">
      <c r="B1991" s="2"/>
      <c r="C1991" s="6"/>
    </row>
    <row r="1992" spans="2:3" x14ac:dyDescent="0.2">
      <c r="B1992" s="2"/>
      <c r="C1992" s="6"/>
    </row>
    <row r="1993" spans="2:3" x14ac:dyDescent="0.2">
      <c r="B1993" s="2"/>
      <c r="C1993" s="6"/>
    </row>
    <row r="1994" spans="2:3" x14ac:dyDescent="0.2">
      <c r="B1994" s="2"/>
      <c r="C1994" s="6"/>
    </row>
    <row r="1995" spans="2:3" x14ac:dyDescent="0.2">
      <c r="B1995" s="2"/>
      <c r="C1995" s="6"/>
    </row>
    <row r="1996" spans="2:3" x14ac:dyDescent="0.2">
      <c r="B1996" s="2"/>
      <c r="C1996" s="6"/>
    </row>
    <row r="1997" spans="2:3" x14ac:dyDescent="0.2">
      <c r="B1997" s="2"/>
      <c r="C1997" s="6"/>
    </row>
    <row r="1998" spans="2:3" x14ac:dyDescent="0.2">
      <c r="B1998" s="2"/>
      <c r="C1998" s="6"/>
    </row>
    <row r="1999" spans="2:3" x14ac:dyDescent="0.2">
      <c r="B1999" s="2"/>
      <c r="C1999" s="6"/>
    </row>
    <row r="2000" spans="2:3" x14ac:dyDescent="0.2">
      <c r="B2000" s="2"/>
      <c r="C2000" s="6"/>
    </row>
    <row r="2001" spans="2:3" x14ac:dyDescent="0.2">
      <c r="B2001" s="2"/>
      <c r="C2001" s="6"/>
    </row>
    <row r="2002" spans="2:3" x14ac:dyDescent="0.2">
      <c r="B2002" s="2"/>
      <c r="C2002" s="6"/>
    </row>
    <row r="2003" spans="2:3" x14ac:dyDescent="0.2">
      <c r="B2003" s="2"/>
      <c r="C2003" s="6"/>
    </row>
    <row r="2004" spans="2:3" x14ac:dyDescent="0.2">
      <c r="B2004" s="2"/>
      <c r="C2004" s="6"/>
    </row>
    <row r="2005" spans="2:3" x14ac:dyDescent="0.2">
      <c r="B2005" s="2"/>
      <c r="C2005" s="6"/>
    </row>
    <row r="2006" spans="2:3" x14ac:dyDescent="0.2">
      <c r="B2006" s="2"/>
      <c r="C2006" s="6"/>
    </row>
    <row r="2007" spans="2:3" x14ac:dyDescent="0.2">
      <c r="B2007" s="2"/>
      <c r="C2007" s="6"/>
    </row>
    <row r="2008" spans="2:3" x14ac:dyDescent="0.2">
      <c r="B2008" s="2"/>
      <c r="C2008" s="6"/>
    </row>
    <row r="2009" spans="2:3" x14ac:dyDescent="0.2">
      <c r="B2009" s="2"/>
      <c r="C2009" s="6"/>
    </row>
    <row r="2010" spans="2:3" x14ac:dyDescent="0.2">
      <c r="B2010" s="2"/>
      <c r="C2010" s="6"/>
    </row>
    <row r="2011" spans="2:3" x14ac:dyDescent="0.2">
      <c r="B2011" s="2"/>
      <c r="C2011" s="6"/>
    </row>
    <row r="2012" spans="2:3" x14ac:dyDescent="0.2">
      <c r="B2012" s="2"/>
      <c r="C2012" s="6"/>
    </row>
    <row r="2013" spans="2:3" x14ac:dyDescent="0.2">
      <c r="B2013" s="2"/>
      <c r="C2013" s="6"/>
    </row>
    <row r="2014" spans="2:3" x14ac:dyDescent="0.2">
      <c r="B2014" s="2"/>
      <c r="C2014" s="6"/>
    </row>
    <row r="2015" spans="2:3" x14ac:dyDescent="0.2">
      <c r="B2015" s="2"/>
    </row>
    <row r="2016" spans="2:3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</sheetData>
  <mergeCells count="2">
    <mergeCell ref="C12:D12"/>
    <mergeCell ref="F12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CE86-F557-42A9-B98B-B48E7C966938}">
  <dimension ref="A4:F2046"/>
  <sheetViews>
    <sheetView zoomScale="115" zoomScaleNormal="115" workbookViewId="0">
      <selection activeCell="A4" sqref="A4"/>
    </sheetView>
  </sheetViews>
  <sheetFormatPr baseColWidth="10" defaultRowHeight="14.25" x14ac:dyDescent="0.2"/>
  <cols>
    <col min="1" max="1" width="24.85546875" style="1" customWidth="1"/>
    <col min="2" max="2" width="7.140625" style="1" customWidth="1"/>
    <col min="3" max="3" width="14" style="1" bestFit="1" customWidth="1"/>
    <col min="4" max="6" width="14" style="1" customWidth="1"/>
    <col min="7" max="7" width="13.42578125" style="1" bestFit="1" customWidth="1"/>
    <col min="8" max="16384" width="11.42578125" style="1"/>
  </cols>
  <sheetData>
    <row r="4" spans="1:6" ht="15" x14ac:dyDescent="0.2">
      <c r="A4" s="1" t="s">
        <v>0</v>
      </c>
      <c r="B4" s="3" t="s">
        <v>2</v>
      </c>
      <c r="C4" s="2">
        <v>0</v>
      </c>
      <c r="D4" s="2">
        <v>10</v>
      </c>
      <c r="E4" s="2">
        <v>-5</v>
      </c>
    </row>
    <row r="5" spans="1:6" ht="45.75" customHeight="1" x14ac:dyDescent="0.2">
      <c r="A5" s="1" t="s">
        <v>1</v>
      </c>
      <c r="B5" s="2" t="s">
        <v>3</v>
      </c>
      <c r="C5" s="2">
        <v>1</v>
      </c>
      <c r="D5" s="2">
        <v>2</v>
      </c>
      <c r="E5" s="2">
        <v>2.5</v>
      </c>
      <c r="F5" s="11"/>
    </row>
    <row r="6" spans="1:6" x14ac:dyDescent="0.2">
      <c r="B6" s="8" t="s">
        <v>4</v>
      </c>
      <c r="C6" s="8" t="s">
        <v>13</v>
      </c>
      <c r="D6" s="8" t="s">
        <v>14</v>
      </c>
      <c r="E6" s="8" t="s">
        <v>15</v>
      </c>
      <c r="F6" s="8"/>
    </row>
    <row r="7" spans="1:6" x14ac:dyDescent="0.2">
      <c r="B7" s="2">
        <v>-15</v>
      </c>
      <c r="C7" s="5">
        <f>+NORMDIST($B7,C$4,C$5,)</f>
        <v>5.5307095498444164E-50</v>
      </c>
      <c r="D7" s="5">
        <f>+NORMDIST($B7,D$4,D$5,)</f>
        <v>2.3475976789875732E-35</v>
      </c>
      <c r="E7" s="5">
        <f>+NORMDIST($B7,E$4,E$5,)</f>
        <v>5.3532090305954143E-5</v>
      </c>
      <c r="F7" s="5"/>
    </row>
    <row r="8" spans="1:6" x14ac:dyDescent="0.2">
      <c r="B8" s="2">
        <f>+B7+0.3</f>
        <v>-14.7</v>
      </c>
      <c r="C8" s="5">
        <f t="shared" ref="C8:C39" si="0">+NORMDIST(B8,$C$4,$C$5,)</f>
        <v>4.7595157530206437E-48</v>
      </c>
      <c r="D8" s="5">
        <f t="shared" ref="D8:E71" si="1">+NORMDIST($B8,D$4,D$5,)</f>
        <v>1.5137007012164848E-34</v>
      </c>
      <c r="E8" s="5">
        <f t="shared" si="1"/>
        <v>8.5891192600146818E-5</v>
      </c>
      <c r="F8" s="5"/>
    </row>
    <row r="9" spans="1:6" x14ac:dyDescent="0.2">
      <c r="B9" s="2">
        <f t="shared" ref="B9:B72" si="2">+B8+0.3</f>
        <v>-14.399999999999999</v>
      </c>
      <c r="C9" s="5">
        <f t="shared" si="0"/>
        <v>3.7433305798851158E-46</v>
      </c>
      <c r="D9" s="5">
        <f t="shared" si="1"/>
        <v>9.5429956731840817E-34</v>
      </c>
      <c r="E9" s="5">
        <f t="shared" si="1"/>
        <v>1.3584048499346217E-4</v>
      </c>
      <c r="F9" s="5"/>
    </row>
    <row r="10" spans="1:6" x14ac:dyDescent="0.2">
      <c r="B10" s="2">
        <f t="shared" si="2"/>
        <v>-14.099999999999998</v>
      </c>
      <c r="C10" s="5">
        <f t="shared" si="0"/>
        <v>2.6907112356425042E-44</v>
      </c>
      <c r="D10" s="5">
        <f t="shared" si="1"/>
        <v>5.8824441954550004E-33</v>
      </c>
      <c r="E10" s="5">
        <f t="shared" si="1"/>
        <v>2.1176587323797465E-4</v>
      </c>
      <c r="F10" s="5"/>
    </row>
    <row r="11" spans="1:6" x14ac:dyDescent="0.2">
      <c r="B11" s="2">
        <f t="shared" si="2"/>
        <v>-13.799999999999997</v>
      </c>
      <c r="C11" s="5">
        <f t="shared" si="0"/>
        <v>1.7676224102536016E-42</v>
      </c>
      <c r="D11" s="5">
        <f t="shared" si="1"/>
        <v>3.545351334214131E-32</v>
      </c>
      <c r="E11" s="5">
        <f t="shared" si="1"/>
        <v>3.2540849243272482E-4</v>
      </c>
      <c r="F11" s="5"/>
    </row>
    <row r="12" spans="1:6" x14ac:dyDescent="0.2">
      <c r="B12" s="2">
        <f t="shared" si="2"/>
        <v>-13.499999999999996</v>
      </c>
      <c r="C12" s="5">
        <f t="shared" si="0"/>
        <v>1.0612688139152615E-40</v>
      </c>
      <c r="D12" s="5">
        <f t="shared" si="1"/>
        <v>2.0892437722713529E-31</v>
      </c>
      <c r="E12" s="5">
        <f t="shared" si="1"/>
        <v>4.928876673892101E-4</v>
      </c>
      <c r="F12" s="5"/>
    </row>
    <row r="13" spans="1:6" x14ac:dyDescent="0.2">
      <c r="B13" s="2">
        <f t="shared" si="2"/>
        <v>-13.199999999999996</v>
      </c>
      <c r="C13" s="5">
        <f t="shared" si="0"/>
        <v>5.8233755997368168E-39</v>
      </c>
      <c r="D13" s="5">
        <f t="shared" si="1"/>
        <v>1.2037805659196848E-30</v>
      </c>
      <c r="E13" s="5">
        <f t="shared" si="1"/>
        <v>7.358904723297156E-4</v>
      </c>
      <c r="F13" s="5"/>
    </row>
    <row r="14" spans="1:6" x14ac:dyDescent="0.2">
      <c r="B14" s="2">
        <f t="shared" si="2"/>
        <v>-12.899999999999995</v>
      </c>
      <c r="C14" s="5">
        <f t="shared" si="0"/>
        <v>2.920368793868304E-37</v>
      </c>
      <c r="D14" s="5">
        <f t="shared" si="1"/>
        <v>6.7816272196658611E-30</v>
      </c>
      <c r="E14" s="5">
        <f t="shared" si="1"/>
        <v>1.0829903027362877E-3</v>
      </c>
      <c r="F14" s="5"/>
    </row>
    <row r="15" spans="1:6" x14ac:dyDescent="0.2">
      <c r="B15" s="2">
        <f t="shared" si="2"/>
        <v>-12.599999999999994</v>
      </c>
      <c r="C15" s="5">
        <f t="shared" si="0"/>
        <v>1.3384867992543831E-35</v>
      </c>
      <c r="D15" s="5">
        <f t="shared" si="1"/>
        <v>3.7355011379418678E-29</v>
      </c>
      <c r="E15" s="5">
        <f t="shared" si="1"/>
        <v>1.5710214515699211E-3</v>
      </c>
      <c r="F15" s="5"/>
    </row>
    <row r="16" spans="1:6" x14ac:dyDescent="0.2">
      <c r="B16" s="2">
        <f t="shared" si="2"/>
        <v>-12.299999999999994</v>
      </c>
      <c r="C16" s="5">
        <f t="shared" si="0"/>
        <v>5.6066569263043106E-34</v>
      </c>
      <c r="D16" s="5">
        <f t="shared" si="1"/>
        <v>2.0118342941404177E-28</v>
      </c>
      <c r="E16" s="5">
        <f t="shared" si="1"/>
        <v>2.2463934383964036E-3</v>
      </c>
      <c r="F16" s="5"/>
    </row>
    <row r="17" spans="2:6" x14ac:dyDescent="0.2">
      <c r="B17" s="2">
        <f t="shared" si="2"/>
        <v>-11.999999999999993</v>
      </c>
      <c r="C17" s="5">
        <f t="shared" si="0"/>
        <v>2.1463837356632433E-32</v>
      </c>
      <c r="D17" s="5">
        <f t="shared" si="1"/>
        <v>1.0594096267547221E-27</v>
      </c>
      <c r="E17" s="5">
        <f t="shared" si="1"/>
        <v>3.1661806331920112E-3</v>
      </c>
      <c r="F17" s="5"/>
    </row>
    <row r="18" spans="2:6" x14ac:dyDescent="0.2">
      <c r="B18" s="2">
        <f t="shared" si="2"/>
        <v>-11.699999999999992</v>
      </c>
      <c r="C18" s="5">
        <f t="shared" si="0"/>
        <v>7.5097287724971683E-31</v>
      </c>
      <c r="D18" s="5">
        <f t="shared" si="1"/>
        <v>5.4546136785226404E-27</v>
      </c>
      <c r="E18" s="5">
        <f t="shared" si="1"/>
        <v>4.3987746517622659E-3</v>
      </c>
      <c r="F18" s="5"/>
    </row>
    <row r="19" spans="2:6" x14ac:dyDescent="0.2">
      <c r="B19" s="2">
        <f t="shared" si="2"/>
        <v>-11.399999999999991</v>
      </c>
      <c r="C19" s="5">
        <f t="shared" si="0"/>
        <v>2.4013454000087747E-29</v>
      </c>
      <c r="D19" s="5">
        <f t="shared" si="1"/>
        <v>2.745948915909026E-26</v>
      </c>
      <c r="E19" s="5">
        <f t="shared" si="1"/>
        <v>6.023846530951036E-3</v>
      </c>
      <c r="F19" s="5"/>
    </row>
    <row r="20" spans="2:6" x14ac:dyDescent="0.2">
      <c r="B20" s="2">
        <f t="shared" si="2"/>
        <v>-11.099999999999991</v>
      </c>
      <c r="C20" s="5">
        <f t="shared" si="0"/>
        <v>7.0177599426620064E-28</v>
      </c>
      <c r="D20" s="5">
        <f t="shared" si="1"/>
        <v>1.3516034266192808E-25</v>
      </c>
      <c r="E20" s="5">
        <f t="shared" si="1"/>
        <v>8.1313422952904064E-3</v>
      </c>
      <c r="F20" s="5"/>
    </row>
    <row r="21" spans="2:6" x14ac:dyDescent="0.2">
      <c r="B21" s="2">
        <f t="shared" si="2"/>
        <v>-10.79999999999999</v>
      </c>
      <c r="C21" s="5">
        <f t="shared" si="0"/>
        <v>1.8743724023420096E-26</v>
      </c>
      <c r="D21" s="5">
        <f t="shared" si="1"/>
        <v>6.5048080996199349E-25</v>
      </c>
      <c r="E21" s="5">
        <f t="shared" si="1"/>
        <v>1.0819239818752817E-2</v>
      </c>
      <c r="F21" s="5"/>
    </row>
    <row r="22" spans="2:6" x14ac:dyDescent="0.2">
      <c r="B22" s="2">
        <f t="shared" si="2"/>
        <v>-10.499999999999989</v>
      </c>
      <c r="C22" s="5">
        <f t="shared" si="0"/>
        <v>4.5753755905213253E-25</v>
      </c>
      <c r="D22" s="5">
        <f t="shared" si="1"/>
        <v>3.0608924326237348E-24</v>
      </c>
      <c r="E22" s="5">
        <f t="shared" si="1"/>
        <v>1.4189837138492709E-2</v>
      </c>
      <c r="F22" s="5"/>
    </row>
    <row r="23" spans="2:6" x14ac:dyDescent="0.2">
      <c r="B23" s="2">
        <f t="shared" si="2"/>
        <v>-10.199999999999989</v>
      </c>
      <c r="C23" s="5">
        <f t="shared" si="0"/>
        <v>1.020730559430726E-23</v>
      </c>
      <c r="D23" s="5">
        <f t="shared" si="1"/>
        <v>1.4082832721381912E-23</v>
      </c>
      <c r="E23" s="5">
        <f t="shared" si="1"/>
        <v>1.8344430508422126E-2</v>
      </c>
      <c r="F23" s="5"/>
    </row>
    <row r="24" spans="2:6" x14ac:dyDescent="0.2">
      <c r="B24" s="2">
        <f t="shared" si="2"/>
        <v>-9.8999999999999879</v>
      </c>
      <c r="C24" s="5">
        <f t="shared" si="0"/>
        <v>2.0811768202030759E-22</v>
      </c>
      <c r="D24" s="5">
        <f t="shared" si="1"/>
        <v>6.3352002609115748E-23</v>
      </c>
      <c r="E24" s="5">
        <f t="shared" si="1"/>
        <v>2.3376377733380811E-2</v>
      </c>
      <c r="F24" s="5"/>
    </row>
    <row r="25" spans="2:6" x14ac:dyDescent="0.2">
      <c r="B25" s="2">
        <f t="shared" si="2"/>
        <v>-9.5999999999999872</v>
      </c>
      <c r="C25" s="5">
        <f t="shared" si="0"/>
        <v>3.8781119317474294E-21</v>
      </c>
      <c r="D25" s="5">
        <f t="shared" si="1"/>
        <v>2.7865000113605436E-22</v>
      </c>
      <c r="E25" s="5">
        <f t="shared" si="1"/>
        <v>2.9362725032663028E-2</v>
      </c>
      <c r="F25" s="5"/>
    </row>
    <row r="26" spans="2:6" x14ac:dyDescent="0.2">
      <c r="B26" s="2">
        <f t="shared" si="2"/>
        <v>-9.2999999999999865</v>
      </c>
      <c r="C26" s="5">
        <f t="shared" si="0"/>
        <v>6.6045798607401533E-20</v>
      </c>
      <c r="D26" s="5">
        <f t="shared" si="1"/>
        <v>1.1983567449276196E-21</v>
      </c>
      <c r="E26" s="5">
        <f t="shared" si="1"/>
        <v>3.6354791606513483E-2</v>
      </c>
      <c r="F26" s="5"/>
    </row>
    <row r="27" spans="2:6" x14ac:dyDescent="0.2">
      <c r="B27" s="2">
        <f t="shared" si="2"/>
        <v>-8.9999999999999858</v>
      </c>
      <c r="C27" s="5">
        <f t="shared" si="0"/>
        <v>1.027977357167023E-18</v>
      </c>
      <c r="D27" s="5">
        <f t="shared" si="1"/>
        <v>5.038967697150363E-21</v>
      </c>
      <c r="E27" s="5">
        <f t="shared" si="1"/>
        <v>4.4368333871782628E-2</v>
      </c>
      <c r="F27" s="5"/>
    </row>
    <row r="28" spans="2:6" x14ac:dyDescent="0.2">
      <c r="B28" s="2">
        <f t="shared" si="2"/>
        <v>-8.6999999999999851</v>
      </c>
      <c r="C28" s="5">
        <f t="shared" si="0"/>
        <v>1.4622963575008348E-17</v>
      </c>
      <c r="D28" s="5">
        <f t="shared" si="1"/>
        <v>2.0716929973481626E-20</v>
      </c>
      <c r="E28" s="5">
        <f t="shared" si="1"/>
        <v>5.3374121580401397E-2</v>
      </c>
      <c r="F28" s="5"/>
    </row>
    <row r="29" spans="2:6" x14ac:dyDescent="0.2">
      <c r="B29" s="2">
        <f t="shared" si="2"/>
        <v>-8.3999999999999844</v>
      </c>
      <c r="C29" s="5">
        <f t="shared" si="0"/>
        <v>1.9010815379082206E-16</v>
      </c>
      <c r="D29" s="5">
        <f t="shared" si="1"/>
        <v>8.3279401619001781E-20</v>
      </c>
      <c r="E29" s="5">
        <f t="shared" si="1"/>
        <v>6.3289916148153755E-2</v>
      </c>
      <c r="F29" s="5"/>
    </row>
    <row r="30" spans="2:6" x14ac:dyDescent="0.2">
      <c r="B30" s="2">
        <f t="shared" si="2"/>
        <v>-8.0999999999999837</v>
      </c>
      <c r="C30" s="5">
        <f t="shared" si="0"/>
        <v>2.258809403154608E-15</v>
      </c>
      <c r="D30" s="5">
        <f t="shared" si="1"/>
        <v>3.2732423995111981E-19</v>
      </c>
      <c r="E30" s="5">
        <f t="shared" si="1"/>
        <v>7.3974912385322708E-2</v>
      </c>
      <c r="F30" s="5"/>
    </row>
    <row r="31" spans="2:6" x14ac:dyDescent="0.2">
      <c r="B31" s="2">
        <f t="shared" si="2"/>
        <v>-7.7999999999999838</v>
      </c>
      <c r="C31" s="5">
        <f t="shared" si="0"/>
        <v>2.4528552856967375E-14</v>
      </c>
      <c r="D31" s="5">
        <f t="shared" si="1"/>
        <v>1.2579028884758006E-18</v>
      </c>
      <c r="E31" s="5">
        <f t="shared" si="1"/>
        <v>8.5227658710287771E-2</v>
      </c>
      <c r="F31" s="5"/>
    </row>
    <row r="32" spans="2:6" x14ac:dyDescent="0.2">
      <c r="B32" s="2">
        <f t="shared" si="2"/>
        <v>-7.499999999999984</v>
      </c>
      <c r="C32" s="5">
        <f t="shared" si="0"/>
        <v>2.4343205330293039E-13</v>
      </c>
      <c r="D32" s="5">
        <f t="shared" si="1"/>
        <v>4.7265519409517285E-18</v>
      </c>
      <c r="E32" s="5">
        <f t="shared" si="1"/>
        <v>9.6788289807657968E-2</v>
      </c>
      <c r="F32" s="5"/>
    </row>
    <row r="33" spans="2:6" x14ac:dyDescent="0.2">
      <c r="B33" s="2">
        <f t="shared" si="2"/>
        <v>-7.1999999999999842</v>
      </c>
      <c r="C33" s="5">
        <f t="shared" si="0"/>
        <v>2.2079899631373981E-12</v>
      </c>
      <c r="D33" s="5">
        <f t="shared" si="1"/>
        <v>1.736481374283215E-17</v>
      </c>
      <c r="E33" s="5">
        <f t="shared" si="1"/>
        <v>0.10834558871933582</v>
      </c>
      <c r="F33" s="5"/>
    </row>
    <row r="34" spans="2:6" x14ac:dyDescent="0.2">
      <c r="B34" s="2">
        <f t="shared" si="2"/>
        <v>-6.8999999999999844</v>
      </c>
      <c r="C34" s="5">
        <f t="shared" si="0"/>
        <v>1.830332217015773E-11</v>
      </c>
      <c r="D34" s="5">
        <f t="shared" si="1"/>
        <v>6.2376958983541675E-17</v>
      </c>
      <c r="E34" s="5">
        <f t="shared" si="1"/>
        <v>0.11954896231038167</v>
      </c>
      <c r="F34" s="5"/>
    </row>
    <row r="35" spans="2:6" x14ac:dyDescent="0.2">
      <c r="B35" s="2">
        <f t="shared" si="2"/>
        <v>-6.5999999999999845</v>
      </c>
      <c r="C35" s="5">
        <f t="shared" si="0"/>
        <v>1.386679994165455E-10</v>
      </c>
      <c r="D35" s="5">
        <f t="shared" si="1"/>
        <v>2.1908197177548344E-16</v>
      </c>
      <c r="E35" s="5">
        <f t="shared" si="1"/>
        <v>0.13002490563363336</v>
      </c>
      <c r="F35" s="5"/>
    </row>
    <row r="36" spans="2:6" x14ac:dyDescent="0.2">
      <c r="B36" s="2">
        <f t="shared" si="2"/>
        <v>-6.2999999999999847</v>
      </c>
      <c r="C36" s="5">
        <f t="shared" si="0"/>
        <v>9.6014333703132565E-10</v>
      </c>
      <c r="D36" s="5">
        <f t="shared" si="1"/>
        <v>7.5234572585415223E-16</v>
      </c>
      <c r="E36" s="5">
        <f t="shared" si="1"/>
        <v>0.13939700510359024</v>
      </c>
      <c r="F36" s="5"/>
    </row>
    <row r="37" spans="2:6" x14ac:dyDescent="0.2">
      <c r="B37" s="2">
        <f t="shared" si="2"/>
        <v>-5.9999999999999849</v>
      </c>
      <c r="C37" s="5">
        <f t="shared" si="0"/>
        <v>6.0758828498238469E-9</v>
      </c>
      <c r="D37" s="5">
        <f t="shared" si="1"/>
        <v>2.5261355417685899E-15</v>
      </c>
      <c r="E37" s="5">
        <f t="shared" si="1"/>
        <v>0.14730805612132966</v>
      </c>
      <c r="F37" s="5"/>
    </row>
    <row r="38" spans="2:6" x14ac:dyDescent="0.2">
      <c r="B38" s="2">
        <f t="shared" si="2"/>
        <v>-5.6999999999999851</v>
      </c>
      <c r="C38" s="5">
        <f t="shared" si="0"/>
        <v>3.5139550948207338E-8</v>
      </c>
      <c r="D38" s="5">
        <f t="shared" si="1"/>
        <v>8.2932396353120528E-15</v>
      </c>
      <c r="E38" s="5">
        <f t="shared" si="1"/>
        <v>0.15344251686139168</v>
      </c>
      <c r="F38" s="5"/>
    </row>
    <row r="39" spans="2:6" x14ac:dyDescent="0.2">
      <c r="B39" s="2">
        <f t="shared" si="2"/>
        <v>-5.3999999999999853</v>
      </c>
      <c r="C39" s="5">
        <f t="shared" si="0"/>
        <v>1.8573618445554416E-7</v>
      </c>
      <c r="D39" s="5">
        <f t="shared" si="1"/>
        <v>2.6620741861266422E-14</v>
      </c>
      <c r="E39" s="5">
        <f t="shared" si="1"/>
        <v>0.15754734462741649</v>
      </c>
      <c r="F39" s="5"/>
    </row>
    <row r="40" spans="2:6" x14ac:dyDescent="0.2">
      <c r="B40" s="2">
        <f t="shared" si="2"/>
        <v>-5.0999999999999854</v>
      </c>
      <c r="C40" s="5">
        <f t="shared" ref="C40:C71" si="3">+NORMDIST(B40,$C$4,$C$5,)</f>
        <v>8.9724351623839907E-7</v>
      </c>
      <c r="D40" s="5">
        <f t="shared" si="1"/>
        <v>8.3549617851923223E-14</v>
      </c>
      <c r="E40" s="5">
        <f t="shared" si="1"/>
        <v>0.15944930168184204</v>
      </c>
      <c r="F40" s="5"/>
    </row>
    <row r="41" spans="2:6" x14ac:dyDescent="0.2">
      <c r="B41" s="2">
        <f t="shared" si="2"/>
        <v>-4.7999999999999856</v>
      </c>
      <c r="C41" s="5">
        <f t="shared" si="3"/>
        <v>3.9612990910323497E-6</v>
      </c>
      <c r="D41" s="5">
        <f t="shared" si="1"/>
        <v>2.5638768183984683E-13</v>
      </c>
      <c r="E41" s="5">
        <f t="shared" si="1"/>
        <v>0.1590670822046435</v>
      </c>
      <c r="F41" s="5"/>
    </row>
    <row r="42" spans="2:6" x14ac:dyDescent="0.2">
      <c r="B42" s="2">
        <f t="shared" si="2"/>
        <v>-4.4999999999999858</v>
      </c>
      <c r="C42" s="5">
        <f t="shared" si="3"/>
        <v>1.5983741106906498E-5</v>
      </c>
      <c r="D42" s="5">
        <f t="shared" si="1"/>
        <v>7.6926897528067588E-13</v>
      </c>
      <c r="E42" s="5">
        <f t="shared" si="1"/>
        <v>0.15641707759018217</v>
      </c>
      <c r="F42" s="5"/>
    </row>
    <row r="43" spans="2:6" x14ac:dyDescent="0.2">
      <c r="B43" s="2">
        <f t="shared" si="2"/>
        <v>-4.199999999999986</v>
      </c>
      <c r="C43" s="5">
        <f t="shared" si="3"/>
        <v>5.8943067756543311E-5</v>
      </c>
      <c r="D43" s="5">
        <f t="shared" si="1"/>
        <v>2.256771838602871E-12</v>
      </c>
      <c r="E43" s="5">
        <f t="shared" si="1"/>
        <v>0.15161221046108039</v>
      </c>
      <c r="F43" s="5"/>
    </row>
    <row r="44" spans="2:6" x14ac:dyDescent="0.2">
      <c r="B44" s="2">
        <f t="shared" si="2"/>
        <v>-3.8999999999999861</v>
      </c>
      <c r="C44" s="5">
        <f t="shared" si="3"/>
        <v>1.9865547139278332E-4</v>
      </c>
      <c r="D44" s="5">
        <f t="shared" si="1"/>
        <v>6.4732959691599094E-12</v>
      </c>
      <c r="E44" s="5">
        <f t="shared" si="1"/>
        <v>0.14485395296523654</v>
      </c>
      <c r="F44" s="5"/>
    </row>
    <row r="45" spans="2:6" x14ac:dyDescent="0.2">
      <c r="B45" s="2">
        <f t="shared" si="2"/>
        <v>-3.5999999999999863</v>
      </c>
      <c r="C45" s="5">
        <f t="shared" si="3"/>
        <v>6.1190193011380237E-4</v>
      </c>
      <c r="D45" s="5">
        <f t="shared" si="1"/>
        <v>1.8154807508959778E-11</v>
      </c>
      <c r="E45" s="5">
        <f t="shared" si="1"/>
        <v>0.13641831545214061</v>
      </c>
      <c r="F45" s="5"/>
    </row>
    <row r="46" spans="2:6" x14ac:dyDescent="0.2">
      <c r="B46" s="2">
        <f t="shared" si="2"/>
        <v>-3.2999999999999865</v>
      </c>
      <c r="C46" s="5">
        <f t="shared" si="3"/>
        <v>1.7225689390537563E-3</v>
      </c>
      <c r="D46" s="5">
        <f t="shared" si="1"/>
        <v>4.9783589527487324E-11</v>
      </c>
      <c r="E46" s="5">
        <f t="shared" si="1"/>
        <v>0.12663716308435666</v>
      </c>
      <c r="F46" s="5"/>
    </row>
    <row r="47" spans="2:6" x14ac:dyDescent="0.2">
      <c r="B47" s="2">
        <f t="shared" si="2"/>
        <v>-2.9999999999999867</v>
      </c>
      <c r="C47" s="5">
        <f t="shared" si="3"/>
        <v>4.4318484119381845E-3</v>
      </c>
      <c r="D47" s="5">
        <f t="shared" si="1"/>
        <v>1.3347783073814877E-10</v>
      </c>
      <c r="E47" s="5">
        <f t="shared" si="1"/>
        <v>0.11587662110459261</v>
      </c>
      <c r="F47" s="5"/>
    </row>
    <row r="48" spans="2:6" x14ac:dyDescent="0.2">
      <c r="B48" s="2">
        <f t="shared" si="2"/>
        <v>-2.6999999999999869</v>
      </c>
      <c r="C48" s="5">
        <f t="shared" si="3"/>
        <v>1.0420934814422966E-2</v>
      </c>
      <c r="D48" s="5">
        <f t="shared" si="1"/>
        <v>3.4991329742900385E-10</v>
      </c>
      <c r="E48" s="5">
        <f t="shared" si="1"/>
        <v>0.10451452049982075</v>
      </c>
      <c r="F48" s="5"/>
    </row>
    <row r="49" spans="2:6" x14ac:dyDescent="0.2">
      <c r="B49" s="2">
        <f t="shared" si="2"/>
        <v>-2.399999999999987</v>
      </c>
      <c r="C49" s="5">
        <f t="shared" si="3"/>
        <v>2.2394530294843597E-2</v>
      </c>
      <c r="D49" s="5">
        <f t="shared" si="1"/>
        <v>8.9689195398207486E-10</v>
      </c>
      <c r="E49" s="5">
        <f t="shared" si="1"/>
        <v>9.2918801897345984E-2</v>
      </c>
      <c r="F49" s="5"/>
    </row>
    <row r="50" spans="2:6" x14ac:dyDescent="0.2">
      <c r="B50" s="2">
        <f t="shared" si="2"/>
        <v>-2.0999999999999872</v>
      </c>
      <c r="C50" s="5">
        <f t="shared" si="3"/>
        <v>4.3983595980428385E-2</v>
      </c>
      <c r="D50" s="5">
        <f t="shared" si="1"/>
        <v>2.2477509155067104E-9</v>
      </c>
      <c r="E50" s="5">
        <f t="shared" si="1"/>
        <v>8.1428555316303289E-2</v>
      </c>
      <c r="F50" s="5"/>
    </row>
    <row r="51" spans="2:6" x14ac:dyDescent="0.2">
      <c r="B51" s="2">
        <f t="shared" si="2"/>
        <v>-1.7999999999999872</v>
      </c>
      <c r="C51" s="5">
        <f t="shared" si="3"/>
        <v>7.8950158300895995E-2</v>
      </c>
      <c r="D51" s="5">
        <f t="shared" si="1"/>
        <v>5.5078818123413891E-9</v>
      </c>
      <c r="E51" s="5">
        <f t="shared" si="1"/>
        <v>7.033897211906448E-2</v>
      </c>
      <c r="F51" s="5"/>
    </row>
    <row r="52" spans="2:6" x14ac:dyDescent="0.2">
      <c r="B52" s="2">
        <f t="shared" si="2"/>
        <v>-1.4999999999999871</v>
      </c>
      <c r="C52" s="5">
        <f t="shared" si="3"/>
        <v>0.12951759566589424</v>
      </c>
      <c r="D52" s="5">
        <f t="shared" si="1"/>
        <v>1.3196216017853336E-8</v>
      </c>
      <c r="E52" s="5">
        <f t="shared" si="1"/>
        <v>5.98909862542975E-2</v>
      </c>
      <c r="F52" s="5"/>
    </row>
    <row r="53" spans="2:6" x14ac:dyDescent="0.2">
      <c r="B53" s="2">
        <f t="shared" si="2"/>
        <v>-1.1999999999999871</v>
      </c>
      <c r="C53" s="5">
        <f t="shared" si="3"/>
        <v>0.19418605498321595</v>
      </c>
      <c r="D53" s="5">
        <f t="shared" si="1"/>
        <v>3.0913102500830385E-8</v>
      </c>
      <c r="E53" s="5">
        <f t="shared" si="1"/>
        <v>5.0265854715634842E-2</v>
      </c>
      <c r="F53" s="5"/>
    </row>
    <row r="54" spans="2:6" x14ac:dyDescent="0.2">
      <c r="B54" s="2">
        <f t="shared" si="2"/>
        <v>-0.89999999999998703</v>
      </c>
      <c r="C54" s="5">
        <f t="shared" si="3"/>
        <v>0.26608524989875793</v>
      </c>
      <c r="D54" s="5">
        <f t="shared" si="1"/>
        <v>7.0805035650808275E-8</v>
      </c>
      <c r="E54" s="5">
        <f t="shared" si="1"/>
        <v>4.1584438131505322E-2</v>
      </c>
      <c r="F54" s="5"/>
    </row>
    <row r="55" spans="2:6" x14ac:dyDescent="0.2">
      <c r="B55" s="2">
        <f t="shared" si="2"/>
        <v>-0.59999999999998699</v>
      </c>
      <c r="C55" s="5">
        <f t="shared" si="3"/>
        <v>0.33322460289180228</v>
      </c>
      <c r="D55" s="5">
        <f t="shared" si="1"/>
        <v>1.5856746083580414E-7</v>
      </c>
      <c r="E55" s="5">
        <f t="shared" si="1"/>
        <v>3.3910544523208588E-2</v>
      </c>
      <c r="F55" s="5"/>
    </row>
    <row r="56" spans="2:6" x14ac:dyDescent="0.2">
      <c r="B56" s="2">
        <f t="shared" si="2"/>
        <v>-0.299999999999987</v>
      </c>
      <c r="C56" s="5">
        <f t="shared" si="3"/>
        <v>0.38138781546052558</v>
      </c>
      <c r="D56" s="5">
        <f t="shared" si="1"/>
        <v>3.4721011769277988E-7</v>
      </c>
      <c r="E56" s="5">
        <f t="shared" si="1"/>
        <v>2.7257426440417572E-2</v>
      </c>
      <c r="F56" s="5"/>
    </row>
    <row r="57" spans="2:6" x14ac:dyDescent="0.2">
      <c r="B57" s="2">
        <f t="shared" si="2"/>
        <v>1.2989609388114332E-14</v>
      </c>
      <c r="C57" s="5">
        <f t="shared" si="3"/>
        <v>0.3989422804014327</v>
      </c>
      <c r="D57" s="5">
        <f t="shared" si="1"/>
        <v>7.4335975736717266E-7</v>
      </c>
      <c r="E57" s="5">
        <f t="shared" si="1"/>
        <v>2.1596386605274992E-2</v>
      </c>
      <c r="F57" s="5"/>
    </row>
    <row r="58" spans="2:6" x14ac:dyDescent="0.2">
      <c r="B58" s="2">
        <f t="shared" si="2"/>
        <v>0.30000000000001298</v>
      </c>
      <c r="C58" s="5">
        <f t="shared" si="3"/>
        <v>0.38138781546052264</v>
      </c>
      <c r="D58" s="5">
        <f t="shared" si="1"/>
        <v>1.5560877895745192E-6</v>
      </c>
      <c r="E58" s="5">
        <f t="shared" si="1"/>
        <v>1.6866442784707936E-2</v>
      </c>
      <c r="F58" s="5"/>
    </row>
    <row r="59" spans="2:6" x14ac:dyDescent="0.2">
      <c r="B59" s="2">
        <f t="shared" si="2"/>
        <v>0.60000000000001297</v>
      </c>
      <c r="C59" s="5">
        <f t="shared" si="3"/>
        <v>0.33322460289179706</v>
      </c>
      <c r="D59" s="5">
        <f t="shared" si="1"/>
        <v>3.1849125894336415E-6</v>
      </c>
      <c r="E59" s="5">
        <f t="shared" si="1"/>
        <v>1.2984106257478834E-2</v>
      </c>
      <c r="F59" s="5"/>
    </row>
    <row r="60" spans="2:6" x14ac:dyDescent="0.2">
      <c r="B60" s="2">
        <f t="shared" si="2"/>
        <v>0.90000000000001301</v>
      </c>
      <c r="C60" s="5">
        <f t="shared" si="3"/>
        <v>0.26608524989875171</v>
      </c>
      <c r="D60" s="5">
        <f t="shared" si="1"/>
        <v>6.373666190916914E-6</v>
      </c>
      <c r="E60" s="5">
        <f t="shared" si="1"/>
        <v>9.8525077225528786E-3</v>
      </c>
      <c r="F60" s="5"/>
    </row>
    <row r="61" spans="2:6" x14ac:dyDescent="0.2">
      <c r="B61" s="2">
        <f t="shared" si="2"/>
        <v>1.2000000000000131</v>
      </c>
      <c r="C61" s="5">
        <f t="shared" si="3"/>
        <v>0.1941860549832099</v>
      </c>
      <c r="D61" s="5">
        <f t="shared" si="1"/>
        <v>1.2471235645027164E-5</v>
      </c>
      <c r="E61" s="5">
        <f t="shared" si="1"/>
        <v>7.3693242587447236E-3</v>
      </c>
      <c r="F61" s="5"/>
    </row>
    <row r="62" spans="2:6" x14ac:dyDescent="0.2">
      <c r="B62" s="2">
        <f t="shared" si="2"/>
        <v>1.5000000000000131</v>
      </c>
      <c r="C62" s="5">
        <f t="shared" si="3"/>
        <v>0.12951759566588922</v>
      </c>
      <c r="D62" s="5">
        <f t="shared" si="1"/>
        <v>2.3859318270603109E-5</v>
      </c>
      <c r="E62" s="5">
        <f t="shared" si="1"/>
        <v>5.4331876934741695E-3</v>
      </c>
      <c r="F62" s="5"/>
    </row>
    <row r="63" spans="2:6" x14ac:dyDescent="0.2">
      <c r="B63" s="2">
        <f t="shared" si="2"/>
        <v>1.8000000000000131</v>
      </c>
      <c r="C63" s="5">
        <f t="shared" si="3"/>
        <v>7.895015830089229E-2</v>
      </c>
      <c r="D63" s="5">
        <f t="shared" si="1"/>
        <v>4.463082858856765E-5</v>
      </c>
      <c r="E63" s="5">
        <f t="shared" si="1"/>
        <v>3.9484615179003991E-3</v>
      </c>
      <c r="F63" s="5"/>
    </row>
    <row r="64" spans="2:6" x14ac:dyDescent="0.2">
      <c r="B64" s="2">
        <f t="shared" si="2"/>
        <v>2.100000000000013</v>
      </c>
      <c r="C64" s="5">
        <f t="shared" si="3"/>
        <v>4.3983595980426005E-2</v>
      </c>
      <c r="D64" s="5">
        <f t="shared" si="1"/>
        <v>8.1628204383123095E-5</v>
      </c>
      <c r="E64" s="5">
        <f t="shared" si="1"/>
        <v>2.8284419544077366E-3</v>
      </c>
      <c r="F64" s="5"/>
    </row>
    <row r="65" spans="2:6" x14ac:dyDescent="0.2">
      <c r="B65" s="2">
        <f t="shared" si="2"/>
        <v>2.4000000000000128</v>
      </c>
      <c r="C65" s="5">
        <f t="shared" si="3"/>
        <v>2.2394530294842212E-2</v>
      </c>
      <c r="D65" s="5">
        <f t="shared" si="1"/>
        <v>1.4597346289573363E-4</v>
      </c>
      <c r="E65" s="5">
        <f t="shared" si="1"/>
        <v>1.9971596854449184E-3</v>
      </c>
      <c r="F65" s="5"/>
    </row>
    <row r="66" spans="2:6" x14ac:dyDescent="0.2">
      <c r="B66" s="2">
        <f t="shared" si="2"/>
        <v>2.7000000000000126</v>
      </c>
      <c r="C66" s="5">
        <f t="shared" si="3"/>
        <v>1.0420934814422239E-2</v>
      </c>
      <c r="D66" s="5">
        <f t="shared" si="1"/>
        <v>2.5523248717209865E-4</v>
      </c>
      <c r="E66" s="5">
        <f t="shared" si="1"/>
        <v>1.3900309511419543E-3</v>
      </c>
      <c r="F66" s="5"/>
    </row>
    <row r="67" spans="2:6" x14ac:dyDescent="0.2">
      <c r="B67" s="2">
        <f t="shared" si="2"/>
        <v>3.0000000000000124</v>
      </c>
      <c r="C67" s="5">
        <f t="shared" si="3"/>
        <v>4.4318484119378419E-3</v>
      </c>
      <c r="D67" s="5">
        <f t="shared" si="1"/>
        <v>4.363413475228894E-4</v>
      </c>
      <c r="E67" s="5">
        <f t="shared" si="1"/>
        <v>9.5363528058592178E-4</v>
      </c>
      <c r="F67" s="5"/>
    </row>
    <row r="68" spans="2:6" x14ac:dyDescent="0.2">
      <c r="B68" s="2">
        <f t="shared" si="2"/>
        <v>3.3000000000000123</v>
      </c>
      <c r="C68" s="5">
        <f t="shared" si="3"/>
        <v>1.722568939053611E-3</v>
      </c>
      <c r="D68" s="5">
        <f t="shared" si="1"/>
        <v>7.2936540233338779E-4</v>
      </c>
      <c r="E68" s="5">
        <f t="shared" si="1"/>
        <v>6.4489098879083953E-4</v>
      </c>
      <c r="F68" s="5"/>
    </row>
    <row r="69" spans="2:6" x14ac:dyDescent="0.2">
      <c r="B69" s="2">
        <f t="shared" si="2"/>
        <v>3.6000000000000121</v>
      </c>
      <c r="C69" s="5">
        <f t="shared" si="3"/>
        <v>6.1190193011374588E-4</v>
      </c>
      <c r="D69" s="5">
        <f t="shared" si="1"/>
        <v>1.1920441007324445E-3</v>
      </c>
      <c r="E69" s="5">
        <f t="shared" si="1"/>
        <v>4.29869336061487E-4</v>
      </c>
      <c r="F69" s="5"/>
    </row>
    <row r="70" spans="2:6" x14ac:dyDescent="0.2">
      <c r="B70" s="2">
        <f t="shared" si="2"/>
        <v>3.9000000000000119</v>
      </c>
      <c r="C70" s="5">
        <f t="shared" si="3"/>
        <v>1.9865547139276337E-4</v>
      </c>
      <c r="D70" s="5">
        <f t="shared" si="1"/>
        <v>1.904881049110939E-3</v>
      </c>
      <c r="E70" s="5">
        <f t="shared" si="1"/>
        <v>2.8244428019520945E-4</v>
      </c>
      <c r="F70" s="5"/>
    </row>
    <row r="71" spans="2:6" x14ac:dyDescent="0.2">
      <c r="B71" s="2">
        <f t="shared" si="2"/>
        <v>4.2000000000000117</v>
      </c>
      <c r="C71" s="5">
        <f t="shared" si="3"/>
        <v>5.8943067756536921E-5</v>
      </c>
      <c r="D71" s="5">
        <f t="shared" si="1"/>
        <v>2.9762662098879772E-3</v>
      </c>
      <c r="E71" s="5">
        <f t="shared" si="1"/>
        <v>1.8292592562393963E-4</v>
      </c>
      <c r="F71" s="5"/>
    </row>
    <row r="72" spans="2:6" x14ac:dyDescent="0.2">
      <c r="B72" s="2">
        <f t="shared" si="2"/>
        <v>4.5000000000000115</v>
      </c>
      <c r="C72" s="5">
        <f t="shared" ref="C72:C103" si="4">+NORMDIST(B72,$C$4,$C$5,)</f>
        <v>1.5983741106904651E-5</v>
      </c>
      <c r="D72" s="5">
        <f t="shared" ref="D72:E135" si="5">+NORMDIST($B72,D$4,D$5,)</f>
        <v>4.5467812507955993E-3</v>
      </c>
      <c r="E72" s="5">
        <f t="shared" si="5"/>
        <v>1.1677877031658214E-4</v>
      </c>
      <c r="F72" s="5"/>
    </row>
    <row r="73" spans="2:6" x14ac:dyDescent="0.2">
      <c r="B73" s="2">
        <f t="shared" ref="B73:B136" si="6">+B72+0.3</f>
        <v>4.8000000000000114</v>
      </c>
      <c r="C73" s="5">
        <f t="shared" si="4"/>
        <v>3.9612990910318568E-6</v>
      </c>
      <c r="D73" s="5">
        <f t="shared" si="5"/>
        <v>6.7914846168429096E-3</v>
      </c>
      <c r="E73" s="5">
        <f t="shared" si="5"/>
        <v>7.3484999200981534E-5</v>
      </c>
      <c r="F73" s="5"/>
    </row>
    <row r="74" spans="2:6" x14ac:dyDescent="0.2">
      <c r="B74" s="2">
        <f t="shared" si="6"/>
        <v>5.1000000000000112</v>
      </c>
      <c r="C74" s="5">
        <f t="shared" si="4"/>
        <v>8.9724351623828112E-7</v>
      </c>
      <c r="D74" s="5">
        <f t="shared" si="5"/>
        <v>9.918677195897797E-3</v>
      </c>
      <c r="E74" s="5">
        <f t="shared" si="5"/>
        <v>4.5580559227545037E-5</v>
      </c>
      <c r="F74" s="5"/>
    </row>
    <row r="75" spans="2:6" x14ac:dyDescent="0.2">
      <c r="B75" s="2">
        <f t="shared" si="6"/>
        <v>5.400000000000011</v>
      </c>
      <c r="C75" s="5">
        <f t="shared" si="4"/>
        <v>1.8573618445551841E-7</v>
      </c>
      <c r="D75" s="5">
        <f t="shared" si="5"/>
        <v>1.4163518870800768E-2</v>
      </c>
      <c r="E75" s="5">
        <f t="shared" si="5"/>
        <v>2.7868061747685234E-5</v>
      </c>
      <c r="F75" s="5"/>
    </row>
    <row r="76" spans="2:6" x14ac:dyDescent="0.2">
      <c r="B76" s="2">
        <f t="shared" si="6"/>
        <v>5.7000000000000108</v>
      </c>
      <c r="C76" s="5">
        <f t="shared" si="4"/>
        <v>3.5139550948202216E-8</v>
      </c>
      <c r="D76" s="5">
        <f t="shared" si="5"/>
        <v>1.9775020794685339E-2</v>
      </c>
      <c r="E76" s="5">
        <f t="shared" si="5"/>
        <v>1.679500117264666E-5</v>
      </c>
      <c r="F76" s="5"/>
    </row>
    <row r="77" spans="2:6" x14ac:dyDescent="0.2">
      <c r="B77" s="2">
        <f t="shared" si="6"/>
        <v>6.0000000000000107</v>
      </c>
      <c r="C77" s="5">
        <f t="shared" si="4"/>
        <v>6.0758828498228965E-9</v>
      </c>
      <c r="D77" s="5">
        <f t="shared" si="5"/>
        <v>2.6995483256594316E-2</v>
      </c>
      <c r="E77" s="5">
        <f t="shared" si="5"/>
        <v>9.9769885160212535E-6</v>
      </c>
      <c r="F77" s="5"/>
    </row>
    <row r="78" spans="2:6" x14ac:dyDescent="0.2">
      <c r="B78" s="2">
        <f t="shared" si="6"/>
        <v>6.3000000000000105</v>
      </c>
      <c r="C78" s="5">
        <f t="shared" si="4"/>
        <v>9.601433370311687E-10</v>
      </c>
      <c r="D78" s="5">
        <f t="shared" si="5"/>
        <v>3.6032437168109346E-2</v>
      </c>
      <c r="E78" s="5">
        <f t="shared" si="5"/>
        <v>5.8420472556610306E-6</v>
      </c>
      <c r="F78" s="5"/>
    </row>
    <row r="79" spans="2:6" x14ac:dyDescent="0.2">
      <c r="B79" s="2">
        <f t="shared" si="6"/>
        <v>6.6000000000000103</v>
      </c>
      <c r="C79" s="5">
        <f t="shared" si="4"/>
        <v>1.3866799941652187E-10</v>
      </c>
      <c r="D79" s="5">
        <f t="shared" si="5"/>
        <v>4.7024538688443876E-2</v>
      </c>
      <c r="E79" s="5">
        <f t="shared" si="5"/>
        <v>3.3719165532914425E-6</v>
      </c>
      <c r="F79" s="5"/>
    </row>
    <row r="80" spans="2:6" x14ac:dyDescent="0.2">
      <c r="B80" s="2">
        <f t="shared" si="6"/>
        <v>6.9000000000000101</v>
      </c>
      <c r="C80" s="5">
        <f t="shared" si="4"/>
        <v>1.8303322170154479E-11</v>
      </c>
      <c r="D80" s="5">
        <f t="shared" si="5"/>
        <v>6.0004500348493264E-2</v>
      </c>
      <c r="E80" s="5">
        <f t="shared" si="5"/>
        <v>1.9183804086209783E-6</v>
      </c>
      <c r="F80" s="5"/>
    </row>
    <row r="81" spans="2:6" x14ac:dyDescent="0.2">
      <c r="B81" s="2">
        <f t="shared" si="6"/>
        <v>7.2000000000000099</v>
      </c>
      <c r="C81" s="5">
        <f t="shared" si="4"/>
        <v>2.2079899631369825E-12</v>
      </c>
      <c r="D81" s="5">
        <f t="shared" si="5"/>
        <v>7.4863732817872952E-2</v>
      </c>
      <c r="E81" s="5">
        <f t="shared" si="5"/>
        <v>1.0758179897085863E-6</v>
      </c>
      <c r="F81" s="5"/>
    </row>
    <row r="82" spans="2:6" x14ac:dyDescent="0.2">
      <c r="B82" s="2">
        <f t="shared" si="6"/>
        <v>7.5000000000000098</v>
      </c>
      <c r="C82" s="5">
        <f t="shared" si="4"/>
        <v>2.4343205330288284E-13</v>
      </c>
      <c r="D82" s="5">
        <f t="shared" si="5"/>
        <v>9.1324542694511512E-2</v>
      </c>
      <c r="E82" s="5">
        <f t="shared" si="5"/>
        <v>5.9468780589370639E-7</v>
      </c>
      <c r="F82" s="5"/>
    </row>
    <row r="83" spans="2:6" x14ac:dyDescent="0.2">
      <c r="B83" s="2">
        <f t="shared" si="6"/>
        <v>7.8000000000000096</v>
      </c>
      <c r="C83" s="5">
        <f t="shared" si="4"/>
        <v>2.4528552856962411E-14</v>
      </c>
      <c r="D83" s="5">
        <f t="shared" si="5"/>
        <v>0.10892608851627585</v>
      </c>
      <c r="E83" s="5">
        <f t="shared" si="5"/>
        <v>3.2403015157124806E-7</v>
      </c>
      <c r="F83" s="5"/>
    </row>
    <row r="84" spans="2:6" x14ac:dyDescent="0.2">
      <c r="B84" s="2">
        <f t="shared" si="6"/>
        <v>8.1000000000000103</v>
      </c>
      <c r="C84" s="5">
        <f t="shared" si="4"/>
        <v>2.2588094031541107E-15</v>
      </c>
      <c r="D84" s="5">
        <f t="shared" si="5"/>
        <v>0.12702952823459512</v>
      </c>
      <c r="E84" s="5">
        <f t="shared" si="5"/>
        <v>1.7403154430060127E-7</v>
      </c>
      <c r="F84" s="5"/>
    </row>
    <row r="85" spans="2:6" x14ac:dyDescent="0.2">
      <c r="B85" s="2">
        <f t="shared" si="6"/>
        <v>8.400000000000011</v>
      </c>
      <c r="C85" s="5">
        <f t="shared" si="4"/>
        <v>1.9010815379077882E-16</v>
      </c>
      <c r="D85" s="5">
        <f t="shared" si="5"/>
        <v>0.14484577638074203</v>
      </c>
      <c r="E85" s="5">
        <f t="shared" si="5"/>
        <v>9.2133312017566129E-8</v>
      </c>
      <c r="F85" s="5"/>
    </row>
    <row r="86" spans="2:6" x14ac:dyDescent="0.2">
      <c r="B86" s="2">
        <f t="shared" si="6"/>
        <v>8.7000000000000117</v>
      </c>
      <c r="C86" s="5">
        <f t="shared" si="4"/>
        <v>1.4622963575004918E-17</v>
      </c>
      <c r="D86" s="5">
        <f t="shared" si="5"/>
        <v>0.16148617983395777</v>
      </c>
      <c r="E86" s="5">
        <f t="shared" si="5"/>
        <v>4.8078571162511724E-8</v>
      </c>
      <c r="F86" s="5"/>
    </row>
    <row r="87" spans="2:6" x14ac:dyDescent="0.2">
      <c r="B87" s="2">
        <f t="shared" si="6"/>
        <v>9.0000000000000124</v>
      </c>
      <c r="C87" s="5">
        <f t="shared" si="4"/>
        <v>1.0279773571667746E-18</v>
      </c>
      <c r="D87" s="5">
        <f t="shared" si="5"/>
        <v>0.17603266338215029</v>
      </c>
      <c r="E87" s="5">
        <f t="shared" si="5"/>
        <v>2.4730482000662683E-8</v>
      </c>
      <c r="F87" s="5"/>
    </row>
    <row r="88" spans="2:6" x14ac:dyDescent="0.2">
      <c r="B88" s="2">
        <f t="shared" si="6"/>
        <v>9.3000000000000131</v>
      </c>
      <c r="C88" s="5">
        <f t="shared" si="4"/>
        <v>6.6045798607385103E-20</v>
      </c>
      <c r="D88" s="5">
        <f t="shared" si="5"/>
        <v>0.18762017345846937</v>
      </c>
      <c r="E88" s="5">
        <f t="shared" si="5"/>
        <v>1.2538909527167513E-8</v>
      </c>
      <c r="F88" s="5"/>
    </row>
    <row r="89" spans="2:6" x14ac:dyDescent="0.2">
      <c r="B89" s="2">
        <f t="shared" si="6"/>
        <v>9.6000000000000139</v>
      </c>
      <c r="C89" s="5">
        <f t="shared" si="4"/>
        <v>3.8781119317464378E-21</v>
      </c>
      <c r="D89" s="5">
        <f t="shared" si="5"/>
        <v>0.19552134698772822</v>
      </c>
      <c r="E89" s="5">
        <f t="shared" si="5"/>
        <v>6.2666164752528275E-9</v>
      </c>
      <c r="F89" s="5"/>
    </row>
    <row r="90" spans="2:6" x14ac:dyDescent="0.2">
      <c r="B90" s="2">
        <f t="shared" si="6"/>
        <v>9.9000000000000146</v>
      </c>
      <c r="C90" s="5">
        <f t="shared" si="4"/>
        <v>2.0811768202025288E-22</v>
      </c>
      <c r="D90" s="5">
        <f t="shared" si="5"/>
        <v>0.19922195704738208</v>
      </c>
      <c r="E90" s="5">
        <f t="shared" si="5"/>
        <v>3.0871136850281017E-9</v>
      </c>
      <c r="F90" s="5"/>
    </row>
    <row r="91" spans="2:6" x14ac:dyDescent="0.2">
      <c r="B91" s="2">
        <f t="shared" si="6"/>
        <v>10.200000000000015</v>
      </c>
      <c r="C91" s="5">
        <f t="shared" si="4"/>
        <v>1.0207305594304505E-23</v>
      </c>
      <c r="D91" s="5">
        <f t="shared" si="5"/>
        <v>0.19847627373850574</v>
      </c>
      <c r="E91" s="5">
        <f t="shared" si="5"/>
        <v>1.4990574918703569E-9</v>
      </c>
      <c r="F91" s="5"/>
    </row>
    <row r="92" spans="2:6" x14ac:dyDescent="0.2">
      <c r="B92" s="2">
        <f t="shared" si="6"/>
        <v>10.500000000000016</v>
      </c>
      <c r="C92" s="5">
        <f t="shared" si="4"/>
        <v>4.5753755905200259E-25</v>
      </c>
      <c r="D92" s="5">
        <f t="shared" si="5"/>
        <v>0.19333405840142423</v>
      </c>
      <c r="E92" s="5">
        <f t="shared" si="5"/>
        <v>7.1751356318560631E-10</v>
      </c>
      <c r="F92" s="5"/>
    </row>
    <row r="93" spans="2:6" x14ac:dyDescent="0.2">
      <c r="B93" s="2">
        <f t="shared" si="6"/>
        <v>10.800000000000017</v>
      </c>
      <c r="C93" s="5">
        <f t="shared" si="4"/>
        <v>1.8743724023414767E-26</v>
      </c>
      <c r="D93" s="5">
        <f t="shared" si="5"/>
        <v>0.18413507015166103</v>
      </c>
      <c r="E93" s="5">
        <f t="shared" si="5"/>
        <v>3.3852293702843301E-10</v>
      </c>
      <c r="F93" s="5"/>
    </row>
    <row r="94" spans="2:6" x14ac:dyDescent="0.2">
      <c r="B94" s="2">
        <f t="shared" si="6"/>
        <v>11.100000000000017</v>
      </c>
      <c r="C94" s="5">
        <f t="shared" si="4"/>
        <v>7.0177599426599114E-28</v>
      </c>
      <c r="D94" s="5">
        <f t="shared" si="5"/>
        <v>0.17147192750969115</v>
      </c>
      <c r="E94" s="5">
        <f t="shared" si="5"/>
        <v>1.5743172163605089E-10</v>
      </c>
      <c r="F94" s="5"/>
    </row>
    <row r="95" spans="2:6" x14ac:dyDescent="0.2">
      <c r="B95" s="2">
        <f t="shared" si="6"/>
        <v>11.400000000000018</v>
      </c>
      <c r="C95" s="5">
        <f t="shared" si="4"/>
        <v>2.4013454000080584E-29</v>
      </c>
      <c r="D95" s="5">
        <f t="shared" si="5"/>
        <v>0.15612696668337964</v>
      </c>
      <c r="E95" s="5">
        <f t="shared" si="5"/>
        <v>7.2167647568095767E-11</v>
      </c>
      <c r="F95" s="5"/>
    </row>
    <row r="96" spans="2:6" x14ac:dyDescent="0.2">
      <c r="B96" s="2">
        <f t="shared" si="6"/>
        <v>11.700000000000019</v>
      </c>
      <c r="C96" s="5">
        <f t="shared" si="4"/>
        <v>7.5097287724948202E-31</v>
      </c>
      <c r="D96" s="5">
        <f t="shared" si="5"/>
        <v>0.1389924430654971</v>
      </c>
      <c r="E96" s="5">
        <f t="shared" si="5"/>
        <v>3.260911501079875E-11</v>
      </c>
      <c r="F96" s="5"/>
    </row>
    <row r="97" spans="2:6" x14ac:dyDescent="0.2">
      <c r="B97" s="2">
        <f t="shared" si="6"/>
        <v>12.00000000000002</v>
      </c>
      <c r="C97" s="5">
        <f t="shared" si="4"/>
        <v>2.1463837356625725E-32</v>
      </c>
      <c r="D97" s="5">
        <f t="shared" si="5"/>
        <v>0.1209853622595705</v>
      </c>
      <c r="E97" s="5">
        <f t="shared" si="5"/>
        <v>1.4523846007166325E-11</v>
      </c>
      <c r="F97" s="5"/>
    </row>
    <row r="98" spans="2:6" x14ac:dyDescent="0.2">
      <c r="B98" s="2">
        <f t="shared" si="6"/>
        <v>12.30000000000002</v>
      </c>
      <c r="C98" s="5">
        <f t="shared" si="4"/>
        <v>5.6066569263024778E-34</v>
      </c>
      <c r="D98" s="5">
        <f t="shared" si="5"/>
        <v>0.10296813435998617</v>
      </c>
      <c r="E98" s="5">
        <f t="shared" si="5"/>
        <v>6.3763246063532579E-12</v>
      </c>
      <c r="F98" s="5"/>
    </row>
    <row r="99" spans="2:6" x14ac:dyDescent="0.2">
      <c r="B99" s="2">
        <f t="shared" si="6"/>
        <v>12.600000000000021</v>
      </c>
      <c r="C99" s="5">
        <f t="shared" si="4"/>
        <v>1.3384867992539263E-35</v>
      </c>
      <c r="D99" s="5">
        <f t="shared" si="5"/>
        <v>8.5684296023902526E-2</v>
      </c>
      <c r="E99" s="5">
        <f t="shared" si="5"/>
        <v>2.7593409110007282E-12</v>
      </c>
      <c r="F99" s="5"/>
    </row>
    <row r="100" spans="2:6" x14ac:dyDescent="0.2">
      <c r="B100" s="2">
        <f t="shared" si="6"/>
        <v>12.900000000000022</v>
      </c>
      <c r="C100" s="5">
        <f t="shared" si="4"/>
        <v>2.920368793867308E-37</v>
      </c>
      <c r="D100" s="5">
        <f t="shared" si="5"/>
        <v>6.9715283222679031E-2</v>
      </c>
      <c r="E100" s="5">
        <f t="shared" si="5"/>
        <v>1.1770270978786101E-12</v>
      </c>
      <c r="F100" s="5"/>
    </row>
    <row r="101" spans="2:6" x14ac:dyDescent="0.2">
      <c r="B101" s="2">
        <f t="shared" si="6"/>
        <v>13.200000000000022</v>
      </c>
      <c r="C101" s="5">
        <f t="shared" si="4"/>
        <v>5.8233755997348312E-39</v>
      </c>
      <c r="D101" s="5">
        <f t="shared" si="5"/>
        <v>5.5460417339726786E-2</v>
      </c>
      <c r="E101" s="5">
        <f t="shared" si="5"/>
        <v>4.9489574777508288E-13</v>
      </c>
      <c r="F101" s="5"/>
    </row>
    <row r="102" spans="2:6" x14ac:dyDescent="0.2">
      <c r="B102" s="2">
        <f t="shared" si="6"/>
        <v>13.500000000000023</v>
      </c>
      <c r="C102" s="5">
        <f t="shared" si="4"/>
        <v>1.0612688139148843E-40</v>
      </c>
      <c r="D102" s="5">
        <f t="shared" si="5"/>
        <v>4.3138659413254885E-2</v>
      </c>
      <c r="E102" s="5">
        <f t="shared" si="5"/>
        <v>2.0511014547185415E-13</v>
      </c>
      <c r="F102" s="5"/>
    </row>
    <row r="103" spans="2:6" x14ac:dyDescent="0.2">
      <c r="B103" s="2">
        <f t="shared" si="6"/>
        <v>13.800000000000024</v>
      </c>
      <c r="C103" s="5">
        <f t="shared" si="4"/>
        <v>1.7676224102529484E-42</v>
      </c>
      <c r="D103" s="5">
        <f t="shared" si="5"/>
        <v>3.2807907387337555E-2</v>
      </c>
      <c r="E103" s="5">
        <f t="shared" si="5"/>
        <v>8.3792803761408213E-14</v>
      </c>
      <c r="F103" s="5"/>
    </row>
    <row r="104" spans="2:6" x14ac:dyDescent="0.2">
      <c r="B104" s="2">
        <f t="shared" si="6"/>
        <v>14.100000000000025</v>
      </c>
      <c r="C104" s="5">
        <f t="shared" ref="C104:C135" si="7">+NORMDIST(B104,$C$4,$C$5,)</f>
        <v>2.69071123564151E-44</v>
      </c>
      <c r="D104" s="5">
        <f t="shared" si="5"/>
        <v>2.4396009289590768E-2</v>
      </c>
      <c r="E104" s="5">
        <f t="shared" si="5"/>
        <v>3.3742127465639594E-14</v>
      </c>
      <c r="F104" s="5"/>
    </row>
    <row r="105" spans="2:6" x14ac:dyDescent="0.2">
      <c r="B105" s="2">
        <f t="shared" si="6"/>
        <v>14.400000000000025</v>
      </c>
      <c r="C105" s="5">
        <f t="shared" si="7"/>
        <v>3.7433305798836799E-46</v>
      </c>
      <c r="D105" s="5">
        <f t="shared" si="5"/>
        <v>1.7737296423115223E-2</v>
      </c>
      <c r="E105" s="5">
        <f t="shared" si="5"/>
        <v>1.3393200192383202E-14</v>
      </c>
      <c r="F105" s="5"/>
    </row>
    <row r="106" spans="2:6" x14ac:dyDescent="0.2">
      <c r="B106" s="2">
        <f t="shared" si="6"/>
        <v>14.700000000000026</v>
      </c>
      <c r="C106" s="5">
        <f t="shared" si="7"/>
        <v>4.7595157530187501E-48</v>
      </c>
      <c r="D106" s="5">
        <f t="shared" si="5"/>
        <v>1.2609109957596809E-2</v>
      </c>
      <c r="E106" s="5">
        <f t="shared" si="5"/>
        <v>5.2401343107751649E-15</v>
      </c>
      <c r="F106" s="5"/>
    </row>
    <row r="107" spans="2:6" x14ac:dyDescent="0.2">
      <c r="B107" s="2">
        <f t="shared" si="6"/>
        <v>15.000000000000027</v>
      </c>
      <c r="C107" s="5">
        <f t="shared" si="7"/>
        <v>5.5307095498422163E-50</v>
      </c>
      <c r="D107" s="5">
        <f t="shared" si="5"/>
        <v>8.764150246783977E-3</v>
      </c>
      <c r="E107" s="5">
        <f t="shared" si="5"/>
        <v>2.0209084334145846E-15</v>
      </c>
      <c r="F107" s="5"/>
    </row>
    <row r="108" spans="2:6" x14ac:dyDescent="0.2">
      <c r="B108" s="2">
        <f t="shared" si="6"/>
        <v>15.300000000000027</v>
      </c>
      <c r="C108" s="5">
        <f t="shared" si="7"/>
        <v>5.8737090662749235E-52</v>
      </c>
      <c r="D108" s="5">
        <f t="shared" si="5"/>
        <v>5.9561218038023727E-3</v>
      </c>
      <c r="E108" s="5">
        <f t="shared" si="5"/>
        <v>7.6824017245775631E-16</v>
      </c>
      <c r="F108" s="5"/>
    </row>
    <row r="109" spans="2:6" x14ac:dyDescent="0.2">
      <c r="B109" s="2">
        <f t="shared" si="6"/>
        <v>15.600000000000028</v>
      </c>
      <c r="C109" s="5">
        <f t="shared" si="7"/>
        <v>5.7010848909387759E-54</v>
      </c>
      <c r="D109" s="5">
        <f t="shared" si="5"/>
        <v>3.9577257914898255E-3</v>
      </c>
      <c r="E109" s="5">
        <f t="shared" si="5"/>
        <v>2.8786810567005907E-16</v>
      </c>
      <c r="F109" s="5"/>
    </row>
    <row r="110" spans="2:6" x14ac:dyDescent="0.2">
      <c r="B110" s="2">
        <f t="shared" si="6"/>
        <v>15.900000000000029</v>
      </c>
      <c r="C110" s="5">
        <f t="shared" si="7"/>
        <v>5.0572693043731264E-56</v>
      </c>
      <c r="D110" s="5">
        <f t="shared" si="5"/>
        <v>2.5713204615268621E-3</v>
      </c>
      <c r="E110" s="5">
        <f t="shared" si="5"/>
        <v>1.0632520921316635E-16</v>
      </c>
      <c r="F110" s="5"/>
    </row>
    <row r="111" spans="2:6" x14ac:dyDescent="0.2">
      <c r="B111" s="2">
        <f t="shared" si="6"/>
        <v>16.200000000000028</v>
      </c>
      <c r="C111" s="5">
        <f t="shared" si="7"/>
        <v>4.1000405358313543E-58</v>
      </c>
      <c r="D111" s="5">
        <f t="shared" si="5"/>
        <v>1.6334095280998897E-3</v>
      </c>
      <c r="E111" s="5">
        <f t="shared" si="5"/>
        <v>3.8710172036306504E-17</v>
      </c>
      <c r="F111" s="5"/>
    </row>
    <row r="112" spans="2:6" x14ac:dyDescent="0.2">
      <c r="B112" s="2">
        <f t="shared" si="6"/>
        <v>16.500000000000028</v>
      </c>
      <c r="C112" s="5">
        <f t="shared" si="7"/>
        <v>3.0379016987885419E-60</v>
      </c>
      <c r="D112" s="5">
        <f t="shared" si="5"/>
        <v>1.0145240286498372E-3</v>
      </c>
      <c r="E112" s="5">
        <f t="shared" si="5"/>
        <v>1.3891850994263351E-17</v>
      </c>
      <c r="F112" s="5"/>
    </row>
    <row r="113" spans="2:6" x14ac:dyDescent="0.2">
      <c r="B113" s="2">
        <f t="shared" si="6"/>
        <v>16.800000000000029</v>
      </c>
      <c r="C113" s="5">
        <f t="shared" si="7"/>
        <v>2.0571823030276181E-62</v>
      </c>
      <c r="D113" s="5">
        <f t="shared" si="5"/>
        <v>6.1610958423647928E-4</v>
      </c>
      <c r="E113" s="5">
        <f t="shared" si="5"/>
        <v>4.9140694584799542E-18</v>
      </c>
      <c r="F113" s="5"/>
    </row>
    <row r="114" spans="2:6" x14ac:dyDescent="0.2">
      <c r="B114" s="2">
        <f t="shared" si="6"/>
        <v>17.10000000000003</v>
      </c>
      <c r="C114" s="5">
        <f t="shared" si="7"/>
        <v>1.2731668997612997E-64</v>
      </c>
      <c r="D114" s="5">
        <f t="shared" si="5"/>
        <v>3.6583223141513593E-4</v>
      </c>
      <c r="E114" s="5">
        <f t="shared" si="5"/>
        <v>1.7134389087848764E-18</v>
      </c>
      <c r="F114" s="5"/>
    </row>
    <row r="115" spans="2:6" x14ac:dyDescent="0.2">
      <c r="B115" s="2">
        <f t="shared" si="6"/>
        <v>17.400000000000031</v>
      </c>
      <c r="C115" s="5">
        <f t="shared" si="7"/>
        <v>7.2013081527150218E-67</v>
      </c>
      <c r="D115" s="5">
        <f t="shared" si="5"/>
        <v>2.1239013527536382E-4</v>
      </c>
      <c r="E115" s="5">
        <f t="shared" si="5"/>
        <v>5.8890076430171168E-19</v>
      </c>
      <c r="F115" s="5"/>
    </row>
    <row r="116" spans="2:6" x14ac:dyDescent="0.2">
      <c r="B116" s="2">
        <f t="shared" si="6"/>
        <v>17.700000000000031</v>
      </c>
      <c r="C116" s="5">
        <f t="shared" si="7"/>
        <v>3.7226392159430852E-69</v>
      </c>
      <c r="D116" s="5">
        <f t="shared" si="5"/>
        <v>1.2056329011298944E-4</v>
      </c>
      <c r="E116" s="5">
        <f t="shared" si="5"/>
        <v>1.9950866875582092E-19</v>
      </c>
      <c r="F116" s="5"/>
    </row>
    <row r="117" spans="2:6" x14ac:dyDescent="0.2">
      <c r="B117" s="2">
        <f t="shared" si="6"/>
        <v>18.000000000000032</v>
      </c>
      <c r="C117" s="5">
        <f t="shared" si="7"/>
        <v>1.758749542594104E-71</v>
      </c>
      <c r="D117" s="5">
        <f t="shared" si="5"/>
        <v>6.6915112882438401E-5</v>
      </c>
      <c r="E117" s="5">
        <f t="shared" si="5"/>
        <v>6.6623521295188632E-20</v>
      </c>
      <c r="F117" s="5"/>
    </row>
    <row r="118" spans="2:6" x14ac:dyDescent="0.2">
      <c r="B118" s="2">
        <f t="shared" si="6"/>
        <v>18.300000000000033</v>
      </c>
      <c r="C118" s="5">
        <f t="shared" si="7"/>
        <v>7.5939991384190368E-74</v>
      </c>
      <c r="D118" s="5">
        <f t="shared" si="5"/>
        <v>3.6312965151123777E-5</v>
      </c>
      <c r="E118" s="5">
        <f t="shared" si="5"/>
        <v>2.1930046609330673E-20</v>
      </c>
      <c r="F118" s="5"/>
    </row>
    <row r="119" spans="2:6" x14ac:dyDescent="0.2">
      <c r="B119" s="2">
        <f t="shared" si="6"/>
        <v>18.600000000000033</v>
      </c>
      <c r="C119" s="5">
        <f t="shared" si="7"/>
        <v>2.9967504981711071E-76</v>
      </c>
      <c r="D119" s="5">
        <f t="shared" si="5"/>
        <v>1.9267598371042162E-5</v>
      </c>
      <c r="E119" s="5">
        <f t="shared" si="5"/>
        <v>7.1153732360377262E-21</v>
      </c>
      <c r="F119" s="5"/>
    </row>
    <row r="120" spans="2:6" x14ac:dyDescent="0.2">
      <c r="B120" s="2">
        <f t="shared" si="6"/>
        <v>18.900000000000034</v>
      </c>
      <c r="C120" s="5">
        <f t="shared" si="7"/>
        <v>1.0807969874540385E-78</v>
      </c>
      <c r="D120" s="5">
        <f t="shared" si="5"/>
        <v>9.9958983534606484E-6</v>
      </c>
      <c r="E120" s="5">
        <f t="shared" si="5"/>
        <v>2.2756317082075092E-21</v>
      </c>
      <c r="F120" s="5"/>
    </row>
    <row r="121" spans="2:6" x14ac:dyDescent="0.2">
      <c r="B121" s="2">
        <f t="shared" si="6"/>
        <v>19.200000000000035</v>
      </c>
      <c r="C121" s="5">
        <f t="shared" si="7"/>
        <v>3.5624695539989913E-81</v>
      </c>
      <c r="D121" s="5">
        <f t="shared" si="5"/>
        <v>5.070426032742965E-6</v>
      </c>
      <c r="E121" s="5">
        <f t="shared" si="5"/>
        <v>7.1738522291739026E-22</v>
      </c>
      <c r="F121" s="5"/>
    </row>
    <row r="122" spans="2:6" x14ac:dyDescent="0.2">
      <c r="B122" s="2">
        <f t="shared" si="6"/>
        <v>19.500000000000036</v>
      </c>
      <c r="C122" s="5">
        <f t="shared" si="7"/>
        <v>1.0731778340675332E-83</v>
      </c>
      <c r="D122" s="5">
        <f t="shared" si="5"/>
        <v>2.5147536442960084E-6</v>
      </c>
      <c r="E122" s="5">
        <f t="shared" si="5"/>
        <v>2.2292000090879753E-22</v>
      </c>
      <c r="F122" s="5"/>
    </row>
    <row r="123" spans="2:6" x14ac:dyDescent="0.2">
      <c r="B123" s="2">
        <f t="shared" si="6"/>
        <v>19.800000000000036</v>
      </c>
      <c r="C123" s="5">
        <f t="shared" si="7"/>
        <v>2.9546478246570239E-86</v>
      </c>
      <c r="D123" s="5">
        <f t="shared" si="5"/>
        <v>1.21948037294657E-6</v>
      </c>
      <c r="E123" s="5">
        <f t="shared" si="5"/>
        <v>6.8279731581734744E-23</v>
      </c>
      <c r="F123" s="5"/>
    </row>
    <row r="124" spans="2:6" x14ac:dyDescent="0.2">
      <c r="B124" s="2">
        <f t="shared" si="6"/>
        <v>20.100000000000037</v>
      </c>
      <c r="C124" s="5">
        <f t="shared" si="7"/>
        <v>7.4345253896750654E-89</v>
      </c>
      <c r="D124" s="5">
        <f t="shared" si="5"/>
        <v>5.7820595178983717E-7</v>
      </c>
      <c r="E124" s="5">
        <f t="shared" si="5"/>
        <v>2.0614876323136878E-23</v>
      </c>
      <c r="F124" s="5"/>
    </row>
    <row r="125" spans="2:6" x14ac:dyDescent="0.2">
      <c r="B125" s="2">
        <f t="shared" si="6"/>
        <v>20.400000000000038</v>
      </c>
      <c r="C125" s="5">
        <f t="shared" si="7"/>
        <v>1.7096777958014493E-91</v>
      </c>
      <c r="D125" s="5">
        <f t="shared" si="5"/>
        <v>2.68051767234855E-7</v>
      </c>
      <c r="E125" s="5">
        <f t="shared" si="5"/>
        <v>6.1350177216801214E-24</v>
      </c>
      <c r="F125" s="5"/>
    </row>
    <row r="126" spans="2:6" x14ac:dyDescent="0.2">
      <c r="B126" s="2">
        <f t="shared" si="6"/>
        <v>20.700000000000038</v>
      </c>
      <c r="C126" s="5">
        <f t="shared" si="7"/>
        <v>3.593261220966939E-94</v>
      </c>
      <c r="D126" s="5">
        <f t="shared" si="5"/>
        <v>1.2150192705401402E-7</v>
      </c>
      <c r="E126" s="5">
        <f t="shared" si="5"/>
        <v>1.7996873705291536E-24</v>
      </c>
      <c r="F126" s="5"/>
    </row>
    <row r="127" spans="2:6" x14ac:dyDescent="0.2">
      <c r="B127" s="2">
        <f t="shared" si="6"/>
        <v>21.000000000000039</v>
      </c>
      <c r="C127" s="5">
        <f t="shared" si="7"/>
        <v>6.9020294201215321E-97</v>
      </c>
      <c r="D127" s="5">
        <f t="shared" si="5"/>
        <v>5.3848800212710643E-8</v>
      </c>
      <c r="E127" s="5">
        <f t="shared" si="5"/>
        <v>5.2038464796948022E-25</v>
      </c>
      <c r="F127" s="5"/>
    </row>
    <row r="128" spans="2:6" x14ac:dyDescent="0.2">
      <c r="B128" s="2">
        <f t="shared" si="6"/>
        <v>21.30000000000004</v>
      </c>
      <c r="C128" s="5">
        <f t="shared" si="7"/>
        <v>1.2116531577341461E-99</v>
      </c>
      <c r="D128" s="5">
        <f t="shared" si="5"/>
        <v>2.3334433987968709E-8</v>
      </c>
      <c r="E128" s="5">
        <f t="shared" si="5"/>
        <v>1.483194280706835E-25</v>
      </c>
      <c r="F128" s="5"/>
    </row>
    <row r="129" spans="2:6" x14ac:dyDescent="0.2">
      <c r="B129" s="2">
        <f t="shared" si="6"/>
        <v>21.600000000000041</v>
      </c>
      <c r="C129" s="5">
        <f t="shared" si="7"/>
        <v>1.9439868705577165E-102</v>
      </c>
      <c r="D129" s="5">
        <f t="shared" si="5"/>
        <v>9.8865982031211779E-9</v>
      </c>
      <c r="E129" s="5">
        <f t="shared" si="5"/>
        <v>4.1669449973209049E-26</v>
      </c>
      <c r="F129" s="5"/>
    </row>
    <row r="130" spans="2:6" x14ac:dyDescent="0.2">
      <c r="B130" s="2">
        <f t="shared" si="6"/>
        <v>21.900000000000041</v>
      </c>
      <c r="C130" s="5">
        <f t="shared" si="7"/>
        <v>2.850505169898697E-105</v>
      </c>
      <c r="D130" s="5">
        <f t="shared" si="5"/>
        <v>4.0956692017390913E-9</v>
      </c>
      <c r="E130" s="5">
        <f t="shared" si="5"/>
        <v>1.1539411298227026E-26</v>
      </c>
      <c r="F130" s="5"/>
    </row>
    <row r="131" spans="2:6" x14ac:dyDescent="0.2">
      <c r="B131" s="2">
        <f t="shared" si="6"/>
        <v>22.200000000000042</v>
      </c>
      <c r="C131" s="5">
        <f t="shared" si="7"/>
        <v>3.8200041543777539E-108</v>
      </c>
      <c r="D131" s="5">
        <f t="shared" si="5"/>
        <v>1.6589421217734343E-9</v>
      </c>
      <c r="E131" s="5">
        <f t="shared" si="5"/>
        <v>3.1498922495493736E-27</v>
      </c>
      <c r="F131" s="5"/>
    </row>
    <row r="132" spans="2:6" x14ac:dyDescent="0.2">
      <c r="B132" s="2">
        <f t="shared" si="6"/>
        <v>22.500000000000043</v>
      </c>
      <c r="C132" s="5">
        <f t="shared" si="7"/>
        <v>4.6786368172455258E-111</v>
      </c>
      <c r="D132" s="5">
        <f t="shared" si="5"/>
        <v>6.5700090907785329E-10</v>
      </c>
      <c r="E132" s="5">
        <f t="shared" si="5"/>
        <v>8.4752770140357272E-28</v>
      </c>
      <c r="F132" s="5"/>
    </row>
    <row r="133" spans="2:6" x14ac:dyDescent="0.2">
      <c r="B133" s="2">
        <f t="shared" si="6"/>
        <v>22.800000000000043</v>
      </c>
      <c r="C133" s="5">
        <f t="shared" si="7"/>
        <v>5.2370694054688341E-114</v>
      </c>
      <c r="D133" s="5">
        <f t="shared" si="5"/>
        <v>2.5440701408221756E-10</v>
      </c>
      <c r="E133" s="5">
        <f t="shared" si="5"/>
        <v>2.2478030989366239E-28</v>
      </c>
      <c r="F133" s="5"/>
    </row>
    <row r="134" spans="2:6" x14ac:dyDescent="0.2">
      <c r="B134" s="2">
        <f t="shared" si="6"/>
        <v>23.100000000000044</v>
      </c>
      <c r="C134" s="5">
        <f t="shared" si="7"/>
        <v>5.3576066085176268E-117</v>
      </c>
      <c r="D134" s="5">
        <f t="shared" si="5"/>
        <v>9.6320907396781605E-11</v>
      </c>
      <c r="E134" s="5">
        <f t="shared" si="5"/>
        <v>5.8763653424710117E-29</v>
      </c>
      <c r="F134" s="5"/>
    </row>
    <row r="135" spans="2:6" x14ac:dyDescent="0.2">
      <c r="B135" s="2">
        <f t="shared" si="6"/>
        <v>23.400000000000045</v>
      </c>
      <c r="C135" s="5">
        <f t="shared" si="7"/>
        <v>5.0091819888126851E-120</v>
      </c>
      <c r="D135" s="5">
        <f t="shared" si="5"/>
        <v>3.5656640619975057E-11</v>
      </c>
      <c r="E135" s="5">
        <f t="shared" si="5"/>
        <v>1.5142775064032824E-29</v>
      </c>
      <c r="F135" s="5"/>
    </row>
    <row r="136" spans="2:6" x14ac:dyDescent="0.2">
      <c r="B136" s="2">
        <f t="shared" si="6"/>
        <v>23.700000000000045</v>
      </c>
      <c r="C136" s="5">
        <f t="shared" ref="C136:C137" si="8">+NORMDIST(B136,$C$4,$C$5,)</f>
        <v>4.2803205646081245E-123</v>
      </c>
      <c r="D136" s="5">
        <f t="shared" ref="D136:E137" si="9">+NORMDIST($B136,D$4,D$5,)</f>
        <v>1.2905910724991301E-11</v>
      </c>
      <c r="E136" s="5">
        <f t="shared" si="9"/>
        <v>3.8463456846907105E-30</v>
      </c>
      <c r="F136" s="5"/>
    </row>
    <row r="137" spans="2:6" x14ac:dyDescent="0.2">
      <c r="B137" s="2">
        <f t="shared" ref="B137" si="10">+B136+0.3</f>
        <v>24.000000000000046</v>
      </c>
      <c r="C137" s="5">
        <f t="shared" si="8"/>
        <v>3.342714441790658E-126</v>
      </c>
      <c r="D137" s="5">
        <f t="shared" si="9"/>
        <v>4.5673602041815504E-12</v>
      </c>
      <c r="E137" s="5">
        <f t="shared" si="9"/>
        <v>9.6302445273550134E-31</v>
      </c>
      <c r="F137" s="5"/>
    </row>
    <row r="138" spans="2:6" x14ac:dyDescent="0.2">
      <c r="B138" s="2"/>
      <c r="C138" s="9"/>
      <c r="D138" s="9"/>
      <c r="E138" s="9"/>
      <c r="F138" s="9"/>
    </row>
    <row r="139" spans="2:6" x14ac:dyDescent="0.2">
      <c r="B139" s="2"/>
      <c r="C139" s="9"/>
      <c r="D139" s="9"/>
      <c r="E139" s="9"/>
      <c r="F139" s="9"/>
    </row>
    <row r="140" spans="2:6" x14ac:dyDescent="0.2">
      <c r="B140" s="2"/>
    </row>
    <row r="141" spans="2:6" x14ac:dyDescent="0.2">
      <c r="B141" s="2"/>
    </row>
    <row r="142" spans="2:6" x14ac:dyDescent="0.2">
      <c r="B142" s="2"/>
    </row>
    <row r="143" spans="2:6" x14ac:dyDescent="0.2">
      <c r="B143" s="2"/>
    </row>
    <row r="144" spans="2:6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3A77-317B-4FD3-B2AB-E15790715157}">
  <dimension ref="A1:E160"/>
  <sheetViews>
    <sheetView topLeftCell="A4" zoomScale="160" zoomScaleNormal="160" workbookViewId="0">
      <selection activeCell="B6" sqref="B6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1" t="s">
        <v>16</v>
      </c>
      <c r="B1" s="2" t="s">
        <v>19</v>
      </c>
      <c r="C1" s="2">
        <v>500</v>
      </c>
      <c r="D1" s="2">
        <v>500</v>
      </c>
      <c r="E1" s="2">
        <v>500</v>
      </c>
    </row>
    <row r="2" spans="1:5" x14ac:dyDescent="0.25">
      <c r="A2" s="1" t="s">
        <v>17</v>
      </c>
      <c r="B2" s="2" t="s">
        <v>20</v>
      </c>
      <c r="C2" s="2">
        <v>1000</v>
      </c>
      <c r="D2" s="2">
        <v>1200</v>
      </c>
      <c r="E2" s="2">
        <v>1700</v>
      </c>
    </row>
    <row r="3" spans="1:5" x14ac:dyDescent="0.25">
      <c r="A3" s="1" t="s">
        <v>18</v>
      </c>
      <c r="B3" s="2" t="s">
        <v>21</v>
      </c>
      <c r="C3" s="2">
        <v>2000</v>
      </c>
      <c r="D3" s="2">
        <v>2000</v>
      </c>
      <c r="E3" s="2">
        <v>2000</v>
      </c>
    </row>
    <row r="5" spans="1:5" x14ac:dyDescent="0.25">
      <c r="A5" s="8" t="s">
        <v>4</v>
      </c>
      <c r="B5" s="8" t="s">
        <v>22</v>
      </c>
      <c r="C5" s="8" t="s">
        <v>9</v>
      </c>
      <c r="D5" s="8" t="s">
        <v>23</v>
      </c>
      <c r="E5" s="8" t="s">
        <v>24</v>
      </c>
    </row>
    <row r="6" spans="1:5" x14ac:dyDescent="0.25">
      <c r="A6" s="2">
        <f>+C1</f>
        <v>500</v>
      </c>
      <c r="B6" s="6">
        <f>+IF(A6&lt;=$C$2,2*(A6-$C$1)/(($C$2-$C$1)*($C$3-$C$1)),2*($C$3-A6)/(($C$3-$C$2)*($C$3-$C$1)))</f>
        <v>0</v>
      </c>
      <c r="C6" s="9">
        <f>+IF(A6&lt;=$C$2,(A6-$C$1)^2/(($C$2-$C$1)*($C$3-$C$1)),1-($C$3-A6)^2/(($C$3-$C$2)*($C$3-$C$1)))</f>
        <v>0</v>
      </c>
      <c r="D6" s="9">
        <f>+IF(A6&lt;=$D$2,2*(A6-$D$1)/(($D$2-$D$1)*($D$3-$D$1)),2*($D$3-A6)/(($D$3-$D$2)*($D$3-$D$1)))</f>
        <v>0</v>
      </c>
      <c r="E6" s="9">
        <f>+IF(A6&lt;=$E$2,2*(A6-$E$1)/(($E$2-$E$1)*($E$3-$E$1)),2*($E$3-A6)/(($E$3-$E$2)*($E$3-$E$1)))</f>
        <v>0</v>
      </c>
    </row>
    <row r="7" spans="1:5" x14ac:dyDescent="0.25">
      <c r="A7" s="2">
        <f>+A6+10</f>
        <v>510</v>
      </c>
      <c r="B7" s="6">
        <f t="shared" ref="B7:B70" si="0">+IF(A7&lt;=$C$2,2*(A7-$C$1)/(($C$2-$C$1)*($C$3-$C$1)),2*($C$3-A7)/(($C$3-$C$2)*($C$3-$C$1)))</f>
        <v>2.6666666666666667E-5</v>
      </c>
      <c r="C7" s="9">
        <f t="shared" ref="C7:C70" si="1">+IF(A7&lt;=$C$2,(A7-$C$1)^2/(($C$2-$C$1)*($C$3-$C$1)),1-($C$3-A7)^2/(($C$3-$C$2)*($C$3-$C$1)))</f>
        <v>1.3333333333333334E-4</v>
      </c>
      <c r="D7" s="9">
        <f t="shared" ref="D7:D70" si="2">+IF(A7&lt;=$D$2,2*(A7-$D$1)/(($D$2-$D$1)*($D$3-$D$1)),2*($D$3-A7)/(($D$3-$D$2)*($D$3-$D$1)))</f>
        <v>1.9047619047619046E-5</v>
      </c>
      <c r="E7" s="9">
        <f t="shared" ref="E7:E70" si="3">+IF(A7&lt;=$E$2,2*(A7-$E$1)/(($E$2-$E$1)*($E$3-$E$1)),2*($E$3-A7)/(($E$3-$E$2)*($E$3-$E$1)))</f>
        <v>1.1111111111111112E-5</v>
      </c>
    </row>
    <row r="8" spans="1:5" x14ac:dyDescent="0.25">
      <c r="A8" s="2">
        <f t="shared" ref="A8:A36" si="4">+A7+10</f>
        <v>520</v>
      </c>
      <c r="B8" s="6">
        <f t="shared" si="0"/>
        <v>5.3333333333333333E-5</v>
      </c>
      <c r="C8" s="9">
        <f t="shared" si="1"/>
        <v>5.3333333333333336E-4</v>
      </c>
      <c r="D8" s="9">
        <f t="shared" si="2"/>
        <v>3.8095238095238092E-5</v>
      </c>
      <c r="E8" s="9">
        <f t="shared" si="3"/>
        <v>2.2222222222222223E-5</v>
      </c>
    </row>
    <row r="9" spans="1:5" x14ac:dyDescent="0.25">
      <c r="A9" s="2">
        <f t="shared" si="4"/>
        <v>530</v>
      </c>
      <c r="B9" s="6">
        <f t="shared" si="0"/>
        <v>8.0000000000000007E-5</v>
      </c>
      <c r="C9" s="9">
        <f t="shared" si="1"/>
        <v>1.1999999999999999E-3</v>
      </c>
      <c r="D9" s="9">
        <f t="shared" si="2"/>
        <v>5.7142857142857142E-5</v>
      </c>
      <c r="E9" s="9">
        <f t="shared" si="3"/>
        <v>3.3333333333333335E-5</v>
      </c>
    </row>
    <row r="10" spans="1:5" x14ac:dyDescent="0.25">
      <c r="A10" s="2">
        <f t="shared" si="4"/>
        <v>540</v>
      </c>
      <c r="B10" s="6">
        <f t="shared" si="0"/>
        <v>1.0666666666666667E-4</v>
      </c>
      <c r="C10" s="9">
        <f t="shared" si="1"/>
        <v>2.1333333333333334E-3</v>
      </c>
      <c r="D10" s="9">
        <f t="shared" si="2"/>
        <v>7.6190476190476184E-5</v>
      </c>
      <c r="E10" s="9">
        <f t="shared" si="3"/>
        <v>4.4444444444444447E-5</v>
      </c>
    </row>
    <row r="11" spans="1:5" x14ac:dyDescent="0.25">
      <c r="A11" s="2">
        <f t="shared" si="4"/>
        <v>550</v>
      </c>
      <c r="B11" s="6">
        <f t="shared" si="0"/>
        <v>1.3333333333333334E-4</v>
      </c>
      <c r="C11" s="9">
        <f t="shared" si="1"/>
        <v>3.3333333333333335E-3</v>
      </c>
      <c r="D11" s="9">
        <f t="shared" si="2"/>
        <v>9.5238095238095241E-5</v>
      </c>
      <c r="E11" s="9">
        <f t="shared" si="3"/>
        <v>5.5555555555555558E-5</v>
      </c>
    </row>
    <row r="12" spans="1:5" x14ac:dyDescent="0.25">
      <c r="A12" s="2">
        <f t="shared" si="4"/>
        <v>560</v>
      </c>
      <c r="B12" s="6">
        <f t="shared" si="0"/>
        <v>1.6000000000000001E-4</v>
      </c>
      <c r="C12" s="9">
        <f t="shared" si="1"/>
        <v>4.7999999999999996E-3</v>
      </c>
      <c r="D12" s="9">
        <f t="shared" si="2"/>
        <v>1.1428571428571428E-4</v>
      </c>
      <c r="E12" s="9">
        <f t="shared" si="3"/>
        <v>6.666666666666667E-5</v>
      </c>
    </row>
    <row r="13" spans="1:5" x14ac:dyDescent="0.25">
      <c r="A13" s="2">
        <f t="shared" si="4"/>
        <v>570</v>
      </c>
      <c r="B13" s="6">
        <f t="shared" si="0"/>
        <v>1.8666666666666666E-4</v>
      </c>
      <c r="C13" s="9">
        <f t="shared" si="1"/>
        <v>6.5333333333333337E-3</v>
      </c>
      <c r="D13" s="9">
        <f t="shared" si="2"/>
        <v>1.3333333333333334E-4</v>
      </c>
      <c r="E13" s="9">
        <f t="shared" si="3"/>
        <v>7.7777777777777782E-5</v>
      </c>
    </row>
    <row r="14" spans="1:5" x14ac:dyDescent="0.25">
      <c r="A14" s="2">
        <f t="shared" si="4"/>
        <v>580</v>
      </c>
      <c r="B14" s="6">
        <f t="shared" si="0"/>
        <v>2.1333333333333333E-4</v>
      </c>
      <c r="C14" s="9">
        <f t="shared" si="1"/>
        <v>8.5333333333333337E-3</v>
      </c>
      <c r="D14" s="9">
        <f t="shared" si="2"/>
        <v>1.5238095238095237E-4</v>
      </c>
      <c r="E14" s="9">
        <f t="shared" si="3"/>
        <v>8.8888888888888893E-5</v>
      </c>
    </row>
    <row r="15" spans="1:5" x14ac:dyDescent="0.25">
      <c r="A15" s="2">
        <f t="shared" si="4"/>
        <v>590</v>
      </c>
      <c r="B15" s="6">
        <f t="shared" si="0"/>
        <v>2.4000000000000001E-4</v>
      </c>
      <c r="C15" s="9">
        <f t="shared" si="1"/>
        <v>1.0800000000000001E-2</v>
      </c>
      <c r="D15" s="9">
        <f t="shared" si="2"/>
        <v>1.7142857142857143E-4</v>
      </c>
      <c r="E15" s="9">
        <f t="shared" si="3"/>
        <v>1E-4</v>
      </c>
    </row>
    <row r="16" spans="1:5" x14ac:dyDescent="0.25">
      <c r="A16" s="2">
        <f t="shared" si="4"/>
        <v>600</v>
      </c>
      <c r="B16" s="6">
        <f t="shared" si="0"/>
        <v>2.6666666666666668E-4</v>
      </c>
      <c r="C16" s="9">
        <f t="shared" si="1"/>
        <v>1.3333333333333334E-2</v>
      </c>
      <c r="D16" s="9">
        <f t="shared" si="2"/>
        <v>1.9047619047619048E-4</v>
      </c>
      <c r="E16" s="9">
        <f t="shared" si="3"/>
        <v>1.1111111111111112E-4</v>
      </c>
    </row>
    <row r="17" spans="1:5" x14ac:dyDescent="0.25">
      <c r="A17" s="2">
        <f t="shared" si="4"/>
        <v>610</v>
      </c>
      <c r="B17" s="6">
        <f t="shared" si="0"/>
        <v>2.9333333333333333E-4</v>
      </c>
      <c r="C17" s="9">
        <f t="shared" si="1"/>
        <v>1.6133333333333333E-2</v>
      </c>
      <c r="D17" s="9">
        <f t="shared" si="2"/>
        <v>2.0952380952380951E-4</v>
      </c>
      <c r="E17" s="9">
        <f t="shared" si="3"/>
        <v>1.2222222222222221E-4</v>
      </c>
    </row>
    <row r="18" spans="1:5" x14ac:dyDescent="0.25">
      <c r="A18" s="2">
        <f t="shared" si="4"/>
        <v>620</v>
      </c>
      <c r="B18" s="6">
        <f t="shared" si="0"/>
        <v>3.2000000000000003E-4</v>
      </c>
      <c r="C18" s="9">
        <f t="shared" si="1"/>
        <v>1.9199999999999998E-2</v>
      </c>
      <c r="D18" s="9">
        <f t="shared" si="2"/>
        <v>2.2857142857142857E-4</v>
      </c>
      <c r="E18" s="9">
        <f t="shared" si="3"/>
        <v>1.3333333333333334E-4</v>
      </c>
    </row>
    <row r="19" spans="1:5" x14ac:dyDescent="0.25">
      <c r="A19" s="2">
        <f t="shared" si="4"/>
        <v>630</v>
      </c>
      <c r="B19" s="6">
        <f t="shared" si="0"/>
        <v>3.4666666666666667E-4</v>
      </c>
      <c r="C19" s="9">
        <f t="shared" si="1"/>
        <v>2.2533333333333332E-2</v>
      </c>
      <c r="D19" s="9">
        <f t="shared" si="2"/>
        <v>2.4761904761904762E-4</v>
      </c>
      <c r="E19" s="9">
        <f t="shared" si="3"/>
        <v>1.4444444444444444E-4</v>
      </c>
    </row>
    <row r="20" spans="1:5" x14ac:dyDescent="0.25">
      <c r="A20" s="2">
        <f t="shared" si="4"/>
        <v>640</v>
      </c>
      <c r="B20" s="6">
        <f t="shared" si="0"/>
        <v>3.7333333333333332E-4</v>
      </c>
      <c r="C20" s="9">
        <f t="shared" si="1"/>
        <v>2.6133333333333335E-2</v>
      </c>
      <c r="D20" s="9">
        <f t="shared" si="2"/>
        <v>2.6666666666666668E-4</v>
      </c>
      <c r="E20" s="9">
        <f t="shared" si="3"/>
        <v>1.5555555555555556E-4</v>
      </c>
    </row>
    <row r="21" spans="1:5" x14ac:dyDescent="0.25">
      <c r="A21" s="2">
        <f t="shared" si="4"/>
        <v>650</v>
      </c>
      <c r="B21" s="6">
        <f t="shared" si="0"/>
        <v>4.0000000000000002E-4</v>
      </c>
      <c r="C21" s="9">
        <f t="shared" si="1"/>
        <v>0.03</v>
      </c>
      <c r="D21" s="9">
        <f t="shared" si="2"/>
        <v>2.8571428571428574E-4</v>
      </c>
      <c r="E21" s="9">
        <f t="shared" si="3"/>
        <v>1.6666666666666666E-4</v>
      </c>
    </row>
    <row r="22" spans="1:5" x14ac:dyDescent="0.25">
      <c r="A22" s="2">
        <f t="shared" si="4"/>
        <v>660</v>
      </c>
      <c r="B22" s="6">
        <f t="shared" si="0"/>
        <v>4.2666666666666667E-4</v>
      </c>
      <c r="C22" s="9">
        <f t="shared" si="1"/>
        <v>3.4133333333333335E-2</v>
      </c>
      <c r="D22" s="9">
        <f t="shared" si="2"/>
        <v>3.0476190476190474E-4</v>
      </c>
      <c r="E22" s="9">
        <f t="shared" si="3"/>
        <v>1.7777777777777779E-4</v>
      </c>
    </row>
    <row r="23" spans="1:5" x14ac:dyDescent="0.25">
      <c r="A23" s="2">
        <f t="shared" si="4"/>
        <v>670</v>
      </c>
      <c r="B23" s="6">
        <f t="shared" si="0"/>
        <v>4.5333333333333331E-4</v>
      </c>
      <c r="C23" s="9">
        <f t="shared" si="1"/>
        <v>3.8533333333333336E-2</v>
      </c>
      <c r="D23" s="9">
        <f t="shared" si="2"/>
        <v>3.2380952380952379E-4</v>
      </c>
      <c r="E23" s="9">
        <f t="shared" si="3"/>
        <v>1.8888888888888888E-4</v>
      </c>
    </row>
    <row r="24" spans="1:5" x14ac:dyDescent="0.25">
      <c r="A24" s="2">
        <f t="shared" si="4"/>
        <v>680</v>
      </c>
      <c r="B24" s="6">
        <f t="shared" si="0"/>
        <v>4.8000000000000001E-4</v>
      </c>
      <c r="C24" s="9">
        <f t="shared" si="1"/>
        <v>4.3200000000000002E-2</v>
      </c>
      <c r="D24" s="9">
        <f t="shared" si="2"/>
        <v>3.4285714285714285E-4</v>
      </c>
      <c r="E24" s="9">
        <f t="shared" si="3"/>
        <v>2.0000000000000001E-4</v>
      </c>
    </row>
    <row r="25" spans="1:5" x14ac:dyDescent="0.25">
      <c r="A25" s="2">
        <f t="shared" si="4"/>
        <v>690</v>
      </c>
      <c r="B25" s="6">
        <f t="shared" si="0"/>
        <v>5.0666666666666666E-4</v>
      </c>
      <c r="C25" s="9">
        <f t="shared" si="1"/>
        <v>4.8133333333333334E-2</v>
      </c>
      <c r="D25" s="9">
        <f t="shared" si="2"/>
        <v>3.6190476190476191E-4</v>
      </c>
      <c r="E25" s="9">
        <f t="shared" si="3"/>
        <v>2.1111111111111111E-4</v>
      </c>
    </row>
    <row r="26" spans="1:5" x14ac:dyDescent="0.25">
      <c r="A26" s="2">
        <f t="shared" si="4"/>
        <v>700</v>
      </c>
      <c r="B26" s="6">
        <f t="shared" si="0"/>
        <v>5.3333333333333336E-4</v>
      </c>
      <c r="C26" s="9">
        <f t="shared" si="1"/>
        <v>5.3333333333333337E-2</v>
      </c>
      <c r="D26" s="9">
        <f t="shared" si="2"/>
        <v>3.8095238095238096E-4</v>
      </c>
      <c r="E26" s="9">
        <f t="shared" si="3"/>
        <v>2.2222222222222223E-4</v>
      </c>
    </row>
    <row r="27" spans="1:5" x14ac:dyDescent="0.25">
      <c r="A27" s="2">
        <f t="shared" si="4"/>
        <v>710</v>
      </c>
      <c r="B27" s="6">
        <f t="shared" si="0"/>
        <v>5.5999999999999995E-4</v>
      </c>
      <c r="C27" s="9">
        <f t="shared" si="1"/>
        <v>5.8799999999999998E-2</v>
      </c>
      <c r="D27" s="9">
        <f t="shared" si="2"/>
        <v>4.0000000000000002E-4</v>
      </c>
      <c r="E27" s="9">
        <f t="shared" si="3"/>
        <v>2.3333333333333333E-4</v>
      </c>
    </row>
    <row r="28" spans="1:5" x14ac:dyDescent="0.25">
      <c r="A28" s="2">
        <f t="shared" si="4"/>
        <v>720</v>
      </c>
      <c r="B28" s="6">
        <f t="shared" si="0"/>
        <v>5.8666666666666665E-4</v>
      </c>
      <c r="C28" s="9">
        <f t="shared" si="1"/>
        <v>6.4533333333333331E-2</v>
      </c>
      <c r="D28" s="9">
        <f t="shared" si="2"/>
        <v>4.1904761904761902E-4</v>
      </c>
      <c r="E28" s="9">
        <f t="shared" si="3"/>
        <v>2.4444444444444443E-4</v>
      </c>
    </row>
    <row r="29" spans="1:5" x14ac:dyDescent="0.25">
      <c r="A29" s="2">
        <f t="shared" si="4"/>
        <v>730</v>
      </c>
      <c r="B29" s="6">
        <f t="shared" si="0"/>
        <v>6.1333333333333335E-4</v>
      </c>
      <c r="C29" s="9">
        <f t="shared" si="1"/>
        <v>7.0533333333333337E-2</v>
      </c>
      <c r="D29" s="9">
        <f t="shared" si="2"/>
        <v>4.3809523809523808E-4</v>
      </c>
      <c r="E29" s="9">
        <f t="shared" si="3"/>
        <v>2.5555555555555558E-4</v>
      </c>
    </row>
    <row r="30" spans="1:5" x14ac:dyDescent="0.25">
      <c r="A30" s="2">
        <f t="shared" si="4"/>
        <v>740</v>
      </c>
      <c r="B30" s="6">
        <f t="shared" si="0"/>
        <v>6.4000000000000005E-4</v>
      </c>
      <c r="C30" s="9">
        <f t="shared" si="1"/>
        <v>7.6799999999999993E-2</v>
      </c>
      <c r="D30" s="9">
        <f t="shared" si="2"/>
        <v>4.5714285714285713E-4</v>
      </c>
      <c r="E30" s="9">
        <f t="shared" si="3"/>
        <v>2.6666666666666668E-4</v>
      </c>
    </row>
    <row r="31" spans="1:5" x14ac:dyDescent="0.25">
      <c r="A31" s="2">
        <f t="shared" si="4"/>
        <v>750</v>
      </c>
      <c r="B31" s="6">
        <f t="shared" si="0"/>
        <v>6.6666666666666664E-4</v>
      </c>
      <c r="C31" s="9">
        <f t="shared" si="1"/>
        <v>8.3333333333333329E-2</v>
      </c>
      <c r="D31" s="9">
        <f t="shared" si="2"/>
        <v>4.7619047619047619E-4</v>
      </c>
      <c r="E31" s="9">
        <f t="shared" si="3"/>
        <v>2.7777777777777778E-4</v>
      </c>
    </row>
    <row r="32" spans="1:5" x14ac:dyDescent="0.25">
      <c r="A32" s="2">
        <f t="shared" si="4"/>
        <v>760</v>
      </c>
      <c r="B32" s="6">
        <f t="shared" si="0"/>
        <v>6.9333333333333334E-4</v>
      </c>
      <c r="C32" s="9">
        <f t="shared" si="1"/>
        <v>9.0133333333333329E-2</v>
      </c>
      <c r="D32" s="9">
        <f t="shared" si="2"/>
        <v>4.9523809523809525E-4</v>
      </c>
      <c r="E32" s="9">
        <f t="shared" si="3"/>
        <v>2.8888888888888888E-4</v>
      </c>
    </row>
    <row r="33" spans="1:5" x14ac:dyDescent="0.25">
      <c r="A33" s="2">
        <f t="shared" si="4"/>
        <v>770</v>
      </c>
      <c r="B33" s="6">
        <f t="shared" si="0"/>
        <v>7.2000000000000005E-4</v>
      </c>
      <c r="C33" s="9">
        <f t="shared" si="1"/>
        <v>9.7199999999999995E-2</v>
      </c>
      <c r="D33" s="9">
        <f t="shared" si="2"/>
        <v>5.142857142857143E-4</v>
      </c>
      <c r="E33" s="9">
        <f t="shared" si="3"/>
        <v>2.9999999999999997E-4</v>
      </c>
    </row>
    <row r="34" spans="1:5" x14ac:dyDescent="0.25">
      <c r="A34" s="2">
        <f t="shared" si="4"/>
        <v>780</v>
      </c>
      <c r="B34" s="6">
        <f t="shared" si="0"/>
        <v>7.4666666666666664E-4</v>
      </c>
      <c r="C34" s="9">
        <f t="shared" si="1"/>
        <v>0.10453333333333334</v>
      </c>
      <c r="D34" s="9">
        <f t="shared" si="2"/>
        <v>5.3333333333333336E-4</v>
      </c>
      <c r="E34" s="9">
        <f t="shared" si="3"/>
        <v>3.1111111111111113E-4</v>
      </c>
    </row>
    <row r="35" spans="1:5" x14ac:dyDescent="0.25">
      <c r="A35" s="2">
        <f t="shared" si="4"/>
        <v>790</v>
      </c>
      <c r="B35" s="6">
        <f t="shared" si="0"/>
        <v>7.7333333333333334E-4</v>
      </c>
      <c r="C35" s="9">
        <f t="shared" si="1"/>
        <v>0.11213333333333333</v>
      </c>
      <c r="D35" s="9">
        <f t="shared" si="2"/>
        <v>5.5238095238095242E-4</v>
      </c>
      <c r="E35" s="9">
        <f t="shared" si="3"/>
        <v>3.2222222222222222E-4</v>
      </c>
    </row>
    <row r="36" spans="1:5" x14ac:dyDescent="0.25">
      <c r="A36" s="2">
        <f t="shared" si="4"/>
        <v>800</v>
      </c>
      <c r="B36" s="6">
        <f t="shared" si="0"/>
        <v>8.0000000000000004E-4</v>
      </c>
      <c r="C36" s="9">
        <f t="shared" si="1"/>
        <v>0.12</v>
      </c>
      <c r="D36" s="9">
        <f t="shared" si="2"/>
        <v>5.7142857142857147E-4</v>
      </c>
      <c r="E36" s="9">
        <f t="shared" si="3"/>
        <v>3.3333333333333332E-4</v>
      </c>
    </row>
    <row r="37" spans="1:5" x14ac:dyDescent="0.25">
      <c r="A37" s="2">
        <f t="shared" ref="A37:A46" si="5">+A36+10</f>
        <v>810</v>
      </c>
      <c r="B37" s="6">
        <f t="shared" si="0"/>
        <v>8.2666666666666663E-4</v>
      </c>
      <c r="C37" s="9">
        <f t="shared" si="1"/>
        <v>0.12813333333333332</v>
      </c>
      <c r="D37" s="9">
        <f t="shared" si="2"/>
        <v>5.9047619047619053E-4</v>
      </c>
      <c r="E37" s="9">
        <f t="shared" si="3"/>
        <v>3.4444444444444442E-4</v>
      </c>
    </row>
    <row r="38" spans="1:5" x14ac:dyDescent="0.25">
      <c r="A38" s="2">
        <f t="shared" si="5"/>
        <v>820</v>
      </c>
      <c r="B38" s="6">
        <f t="shared" si="0"/>
        <v>8.5333333333333333E-4</v>
      </c>
      <c r="C38" s="9">
        <f t="shared" si="1"/>
        <v>0.13653333333333334</v>
      </c>
      <c r="D38" s="9">
        <f t="shared" si="2"/>
        <v>6.0952380952380948E-4</v>
      </c>
      <c r="E38" s="9">
        <f t="shared" si="3"/>
        <v>3.5555555555555557E-4</v>
      </c>
    </row>
    <row r="39" spans="1:5" x14ac:dyDescent="0.25">
      <c r="A39" s="2">
        <f t="shared" si="5"/>
        <v>830</v>
      </c>
      <c r="B39" s="6">
        <f t="shared" si="0"/>
        <v>8.8000000000000003E-4</v>
      </c>
      <c r="C39" s="9">
        <f t="shared" si="1"/>
        <v>0.1452</v>
      </c>
      <c r="D39" s="9">
        <f t="shared" si="2"/>
        <v>6.2857142857142853E-4</v>
      </c>
      <c r="E39" s="9">
        <f t="shared" si="3"/>
        <v>3.6666666666666667E-4</v>
      </c>
    </row>
    <row r="40" spans="1:5" x14ac:dyDescent="0.25">
      <c r="A40" s="2">
        <f t="shared" si="5"/>
        <v>840</v>
      </c>
      <c r="B40" s="6">
        <f t="shared" si="0"/>
        <v>9.0666666666666662E-4</v>
      </c>
      <c r="C40" s="9">
        <f t="shared" si="1"/>
        <v>0.15413333333333334</v>
      </c>
      <c r="D40" s="9">
        <f t="shared" si="2"/>
        <v>6.4761904761904759E-4</v>
      </c>
      <c r="E40" s="9">
        <f t="shared" si="3"/>
        <v>3.7777777777777777E-4</v>
      </c>
    </row>
    <row r="41" spans="1:5" x14ac:dyDescent="0.25">
      <c r="A41" s="2">
        <f t="shared" si="5"/>
        <v>850</v>
      </c>
      <c r="B41" s="6">
        <f t="shared" si="0"/>
        <v>9.3333333333333332E-4</v>
      </c>
      <c r="C41" s="9">
        <f t="shared" si="1"/>
        <v>0.16333333333333333</v>
      </c>
      <c r="D41" s="9">
        <f t="shared" si="2"/>
        <v>6.6666666666666664E-4</v>
      </c>
      <c r="E41" s="9">
        <f t="shared" si="3"/>
        <v>3.8888888888888887E-4</v>
      </c>
    </row>
    <row r="42" spans="1:5" x14ac:dyDescent="0.25">
      <c r="A42" s="2">
        <f t="shared" si="5"/>
        <v>860</v>
      </c>
      <c r="B42" s="6">
        <f t="shared" si="0"/>
        <v>9.6000000000000002E-4</v>
      </c>
      <c r="C42" s="9">
        <f t="shared" si="1"/>
        <v>0.17280000000000001</v>
      </c>
      <c r="D42" s="9">
        <f t="shared" si="2"/>
        <v>6.857142857142857E-4</v>
      </c>
      <c r="E42" s="9">
        <f t="shared" si="3"/>
        <v>4.0000000000000002E-4</v>
      </c>
    </row>
    <row r="43" spans="1:5" x14ac:dyDescent="0.25">
      <c r="A43" s="2">
        <f t="shared" si="5"/>
        <v>870</v>
      </c>
      <c r="B43" s="6">
        <f t="shared" si="0"/>
        <v>9.8666666666666672E-4</v>
      </c>
      <c r="C43" s="9">
        <f t="shared" si="1"/>
        <v>0.18253333333333333</v>
      </c>
      <c r="D43" s="9">
        <f t="shared" si="2"/>
        <v>7.0476190476190476E-4</v>
      </c>
      <c r="E43" s="9">
        <f t="shared" si="3"/>
        <v>4.1111111111111112E-4</v>
      </c>
    </row>
    <row r="44" spans="1:5" x14ac:dyDescent="0.25">
      <c r="A44" s="2">
        <f t="shared" si="5"/>
        <v>880</v>
      </c>
      <c r="B44" s="6">
        <f t="shared" si="0"/>
        <v>1.0133333333333333E-3</v>
      </c>
      <c r="C44" s="9">
        <f t="shared" si="1"/>
        <v>0.19253333333333333</v>
      </c>
      <c r="D44" s="9">
        <f t="shared" si="2"/>
        <v>7.2380952380952381E-4</v>
      </c>
      <c r="E44" s="9">
        <f t="shared" si="3"/>
        <v>4.2222222222222222E-4</v>
      </c>
    </row>
    <row r="45" spans="1:5" x14ac:dyDescent="0.25">
      <c r="A45" s="2">
        <f t="shared" si="5"/>
        <v>890</v>
      </c>
      <c r="B45" s="6">
        <f t="shared" si="0"/>
        <v>1.0399999999999999E-3</v>
      </c>
      <c r="C45" s="9">
        <f t="shared" si="1"/>
        <v>0.20280000000000001</v>
      </c>
      <c r="D45" s="9">
        <f t="shared" si="2"/>
        <v>7.4285714285714287E-4</v>
      </c>
      <c r="E45" s="9">
        <f t="shared" si="3"/>
        <v>4.3333333333333331E-4</v>
      </c>
    </row>
    <row r="46" spans="1:5" x14ac:dyDescent="0.25">
      <c r="A46" s="2">
        <f t="shared" si="5"/>
        <v>900</v>
      </c>
      <c r="B46" s="6">
        <f t="shared" si="0"/>
        <v>1.0666666666666667E-3</v>
      </c>
      <c r="C46" s="9">
        <f t="shared" si="1"/>
        <v>0.21333333333333335</v>
      </c>
      <c r="D46" s="9">
        <f t="shared" si="2"/>
        <v>7.6190476190476193E-4</v>
      </c>
      <c r="E46" s="9">
        <f t="shared" si="3"/>
        <v>4.4444444444444447E-4</v>
      </c>
    </row>
    <row r="47" spans="1:5" x14ac:dyDescent="0.25">
      <c r="A47" s="2">
        <f t="shared" ref="A47:A66" si="6">+A46+10</f>
        <v>910</v>
      </c>
      <c r="B47" s="6">
        <f t="shared" si="0"/>
        <v>1.0933333333333333E-3</v>
      </c>
      <c r="C47" s="9">
        <f t="shared" si="1"/>
        <v>0.22413333333333332</v>
      </c>
      <c r="D47" s="9">
        <f t="shared" si="2"/>
        <v>7.8095238095238098E-4</v>
      </c>
      <c r="E47" s="9">
        <f t="shared" si="3"/>
        <v>4.5555555555555556E-4</v>
      </c>
    </row>
    <row r="48" spans="1:5" x14ac:dyDescent="0.25">
      <c r="A48" s="2">
        <f t="shared" si="6"/>
        <v>920</v>
      </c>
      <c r="B48" s="6">
        <f t="shared" si="0"/>
        <v>1.1199999999999999E-3</v>
      </c>
      <c r="C48" s="9">
        <f t="shared" si="1"/>
        <v>0.23519999999999999</v>
      </c>
      <c r="D48" s="9">
        <f t="shared" si="2"/>
        <v>8.0000000000000004E-4</v>
      </c>
      <c r="E48" s="9">
        <f t="shared" si="3"/>
        <v>4.6666666666666666E-4</v>
      </c>
    </row>
    <row r="49" spans="1:5" x14ac:dyDescent="0.25">
      <c r="A49" s="2">
        <f t="shared" si="6"/>
        <v>930</v>
      </c>
      <c r="B49" s="6">
        <f t="shared" si="0"/>
        <v>1.1466666666666667E-3</v>
      </c>
      <c r="C49" s="9">
        <f t="shared" si="1"/>
        <v>0.24653333333333333</v>
      </c>
      <c r="D49" s="9">
        <f t="shared" si="2"/>
        <v>8.1904761904761909E-4</v>
      </c>
      <c r="E49" s="9">
        <f t="shared" si="3"/>
        <v>4.7777777777777776E-4</v>
      </c>
    </row>
    <row r="50" spans="1:5" x14ac:dyDescent="0.25">
      <c r="A50" s="2">
        <f t="shared" si="6"/>
        <v>940</v>
      </c>
      <c r="B50" s="6">
        <f t="shared" si="0"/>
        <v>1.1733333333333333E-3</v>
      </c>
      <c r="C50" s="9">
        <f t="shared" si="1"/>
        <v>0.25813333333333333</v>
      </c>
      <c r="D50" s="9">
        <f t="shared" si="2"/>
        <v>8.3809523809523804E-4</v>
      </c>
      <c r="E50" s="9">
        <f t="shared" si="3"/>
        <v>4.8888888888888886E-4</v>
      </c>
    </row>
    <row r="51" spans="1:5" x14ac:dyDescent="0.25">
      <c r="A51" s="2">
        <f t="shared" si="6"/>
        <v>950</v>
      </c>
      <c r="B51" s="6">
        <f t="shared" si="0"/>
        <v>1.1999999999999999E-3</v>
      </c>
      <c r="C51" s="9">
        <f t="shared" si="1"/>
        <v>0.27</v>
      </c>
      <c r="D51" s="9">
        <f t="shared" si="2"/>
        <v>8.571428571428571E-4</v>
      </c>
      <c r="E51" s="9">
        <f t="shared" si="3"/>
        <v>5.0000000000000001E-4</v>
      </c>
    </row>
    <row r="52" spans="1:5" x14ac:dyDescent="0.25">
      <c r="A52" s="2">
        <f t="shared" si="6"/>
        <v>960</v>
      </c>
      <c r="B52" s="6">
        <f t="shared" si="0"/>
        <v>1.2266666666666667E-3</v>
      </c>
      <c r="C52" s="9">
        <f t="shared" si="1"/>
        <v>0.28213333333333335</v>
      </c>
      <c r="D52" s="9">
        <f t="shared" si="2"/>
        <v>8.7619047619047616E-4</v>
      </c>
      <c r="E52" s="9">
        <f t="shared" si="3"/>
        <v>5.1111111111111116E-4</v>
      </c>
    </row>
    <row r="53" spans="1:5" x14ac:dyDescent="0.25">
      <c r="A53" s="2">
        <f t="shared" si="6"/>
        <v>970</v>
      </c>
      <c r="B53" s="6">
        <f t="shared" si="0"/>
        <v>1.2533333333333333E-3</v>
      </c>
      <c r="C53" s="9">
        <f t="shared" si="1"/>
        <v>0.29453333333333331</v>
      </c>
      <c r="D53" s="9">
        <f t="shared" si="2"/>
        <v>8.9523809523809521E-4</v>
      </c>
      <c r="E53" s="9">
        <f t="shared" si="3"/>
        <v>5.2222222222222221E-4</v>
      </c>
    </row>
    <row r="54" spans="1:5" x14ac:dyDescent="0.25">
      <c r="A54" s="2">
        <f t="shared" si="6"/>
        <v>980</v>
      </c>
      <c r="B54" s="6">
        <f t="shared" si="0"/>
        <v>1.2800000000000001E-3</v>
      </c>
      <c r="C54" s="9">
        <f t="shared" si="1"/>
        <v>0.30719999999999997</v>
      </c>
      <c r="D54" s="9">
        <f t="shared" si="2"/>
        <v>9.1428571428571427E-4</v>
      </c>
      <c r="E54" s="9">
        <f t="shared" si="3"/>
        <v>5.3333333333333336E-4</v>
      </c>
    </row>
    <row r="55" spans="1:5" x14ac:dyDescent="0.25">
      <c r="A55" s="2">
        <f t="shared" si="6"/>
        <v>990</v>
      </c>
      <c r="B55" s="6">
        <f t="shared" si="0"/>
        <v>1.3066666666666667E-3</v>
      </c>
      <c r="C55" s="9">
        <f t="shared" si="1"/>
        <v>0.32013333333333333</v>
      </c>
      <c r="D55" s="9">
        <f t="shared" si="2"/>
        <v>9.3333333333333332E-4</v>
      </c>
      <c r="E55" s="9">
        <f t="shared" si="3"/>
        <v>5.444444444444444E-4</v>
      </c>
    </row>
    <row r="56" spans="1:5" x14ac:dyDescent="0.25">
      <c r="A56" s="2">
        <f t="shared" si="6"/>
        <v>1000</v>
      </c>
      <c r="B56" s="6">
        <f t="shared" si="0"/>
        <v>1.3333333333333333E-3</v>
      </c>
      <c r="C56" s="9">
        <f t="shared" si="1"/>
        <v>0.33333333333333331</v>
      </c>
      <c r="D56" s="9">
        <f t="shared" si="2"/>
        <v>9.5238095238095238E-4</v>
      </c>
      <c r="E56" s="9">
        <f t="shared" si="3"/>
        <v>5.5555555555555556E-4</v>
      </c>
    </row>
    <row r="57" spans="1:5" x14ac:dyDescent="0.25">
      <c r="A57" s="2">
        <f t="shared" si="6"/>
        <v>1010</v>
      </c>
      <c r="B57" s="6">
        <f t="shared" si="0"/>
        <v>1.32E-3</v>
      </c>
      <c r="C57" s="9">
        <f t="shared" si="1"/>
        <v>0.34660000000000002</v>
      </c>
      <c r="D57" s="9">
        <f t="shared" si="2"/>
        <v>9.7142857142857144E-4</v>
      </c>
      <c r="E57" s="9">
        <f t="shared" si="3"/>
        <v>5.6666666666666671E-4</v>
      </c>
    </row>
    <row r="58" spans="1:5" x14ac:dyDescent="0.25">
      <c r="A58" s="2">
        <f t="shared" si="6"/>
        <v>1020</v>
      </c>
      <c r="B58" s="6">
        <f t="shared" si="0"/>
        <v>1.3066666666666667E-3</v>
      </c>
      <c r="C58" s="9">
        <f t="shared" si="1"/>
        <v>0.35973333333333335</v>
      </c>
      <c r="D58" s="9">
        <f t="shared" si="2"/>
        <v>9.9047619047619049E-4</v>
      </c>
      <c r="E58" s="9">
        <f t="shared" si="3"/>
        <v>5.7777777777777775E-4</v>
      </c>
    </row>
    <row r="59" spans="1:5" x14ac:dyDescent="0.25">
      <c r="A59" s="2">
        <f t="shared" si="6"/>
        <v>1030</v>
      </c>
      <c r="B59" s="6">
        <f t="shared" si="0"/>
        <v>1.2933333333333334E-3</v>
      </c>
      <c r="C59" s="9">
        <f t="shared" si="1"/>
        <v>0.37273333333333336</v>
      </c>
      <c r="D59" s="9">
        <f t="shared" si="2"/>
        <v>1.0095238095238095E-3</v>
      </c>
      <c r="E59" s="9">
        <f t="shared" si="3"/>
        <v>5.888888888888889E-4</v>
      </c>
    </row>
    <row r="60" spans="1:5" x14ac:dyDescent="0.25">
      <c r="A60" s="2">
        <f t="shared" si="6"/>
        <v>1040</v>
      </c>
      <c r="B60" s="6">
        <f t="shared" si="0"/>
        <v>1.2800000000000001E-3</v>
      </c>
      <c r="C60" s="9">
        <f t="shared" si="1"/>
        <v>0.38560000000000005</v>
      </c>
      <c r="D60" s="9">
        <f t="shared" si="2"/>
        <v>1.0285714285714286E-3</v>
      </c>
      <c r="E60" s="9">
        <f t="shared" si="3"/>
        <v>5.9999999999999995E-4</v>
      </c>
    </row>
    <row r="61" spans="1:5" x14ac:dyDescent="0.25">
      <c r="A61" s="2">
        <f t="shared" si="6"/>
        <v>1050</v>
      </c>
      <c r="B61" s="6">
        <f t="shared" si="0"/>
        <v>1.2666666666666666E-3</v>
      </c>
      <c r="C61" s="9">
        <f t="shared" si="1"/>
        <v>0.39833333333333332</v>
      </c>
      <c r="D61" s="9">
        <f t="shared" si="2"/>
        <v>1.0476190476190477E-3</v>
      </c>
      <c r="E61" s="9">
        <f t="shared" si="3"/>
        <v>6.111111111111111E-4</v>
      </c>
    </row>
    <row r="62" spans="1:5" x14ac:dyDescent="0.25">
      <c r="A62" s="2">
        <f t="shared" si="6"/>
        <v>1060</v>
      </c>
      <c r="B62" s="6">
        <f t="shared" si="0"/>
        <v>1.2533333333333333E-3</v>
      </c>
      <c r="C62" s="9">
        <f t="shared" si="1"/>
        <v>0.41093333333333337</v>
      </c>
      <c r="D62" s="9">
        <f t="shared" si="2"/>
        <v>1.0666666666666667E-3</v>
      </c>
      <c r="E62" s="9">
        <f t="shared" si="3"/>
        <v>6.2222222222222225E-4</v>
      </c>
    </row>
    <row r="63" spans="1:5" x14ac:dyDescent="0.25">
      <c r="A63" s="2">
        <f t="shared" si="6"/>
        <v>1070</v>
      </c>
      <c r="B63" s="6">
        <f t="shared" si="0"/>
        <v>1.24E-3</v>
      </c>
      <c r="C63" s="9">
        <f t="shared" si="1"/>
        <v>0.4234</v>
      </c>
      <c r="D63" s="9">
        <f t="shared" si="2"/>
        <v>1.0857142857142858E-3</v>
      </c>
      <c r="E63" s="9">
        <f t="shared" si="3"/>
        <v>6.333333333333333E-4</v>
      </c>
    </row>
    <row r="64" spans="1:5" x14ac:dyDescent="0.25">
      <c r="A64" s="2">
        <f t="shared" si="6"/>
        <v>1080</v>
      </c>
      <c r="B64" s="6">
        <f t="shared" si="0"/>
        <v>1.2266666666666667E-3</v>
      </c>
      <c r="C64" s="9">
        <f t="shared" si="1"/>
        <v>0.43573333333333331</v>
      </c>
      <c r="D64" s="9">
        <f t="shared" si="2"/>
        <v>1.1047619047619048E-3</v>
      </c>
      <c r="E64" s="9">
        <f t="shared" si="3"/>
        <v>6.4444444444444445E-4</v>
      </c>
    </row>
    <row r="65" spans="1:5" x14ac:dyDescent="0.25">
      <c r="A65" s="2">
        <f t="shared" si="6"/>
        <v>1090</v>
      </c>
      <c r="B65" s="6">
        <f t="shared" si="0"/>
        <v>1.2133333333333334E-3</v>
      </c>
      <c r="C65" s="9">
        <f t="shared" si="1"/>
        <v>0.44793333333333329</v>
      </c>
      <c r="D65" s="9">
        <f t="shared" si="2"/>
        <v>1.1238095238095239E-3</v>
      </c>
      <c r="E65" s="9">
        <f t="shared" si="3"/>
        <v>6.555555555555556E-4</v>
      </c>
    </row>
    <row r="66" spans="1:5" x14ac:dyDescent="0.25">
      <c r="A66" s="2">
        <f t="shared" si="6"/>
        <v>1100</v>
      </c>
      <c r="B66" s="6">
        <f t="shared" si="0"/>
        <v>1.1999999999999999E-3</v>
      </c>
      <c r="C66" s="9">
        <f t="shared" si="1"/>
        <v>0.45999999999999996</v>
      </c>
      <c r="D66" s="9">
        <f t="shared" si="2"/>
        <v>1.1428571428571429E-3</v>
      </c>
      <c r="E66" s="9">
        <f t="shared" si="3"/>
        <v>6.6666666666666664E-4</v>
      </c>
    </row>
    <row r="67" spans="1:5" x14ac:dyDescent="0.25">
      <c r="A67" s="2">
        <f t="shared" ref="A67:A99" si="7">+A66+10</f>
        <v>1110</v>
      </c>
      <c r="B67" s="6">
        <f t="shared" si="0"/>
        <v>1.1866666666666666E-3</v>
      </c>
      <c r="C67" s="9">
        <f t="shared" si="1"/>
        <v>0.47193333333333332</v>
      </c>
      <c r="D67" s="9">
        <f t="shared" si="2"/>
        <v>1.161904761904762E-3</v>
      </c>
      <c r="E67" s="9">
        <f t="shared" si="3"/>
        <v>6.777777777777778E-4</v>
      </c>
    </row>
    <row r="68" spans="1:5" x14ac:dyDescent="0.25">
      <c r="A68" s="2">
        <f t="shared" si="7"/>
        <v>1120</v>
      </c>
      <c r="B68" s="6">
        <f t="shared" si="0"/>
        <v>1.1733333333333333E-3</v>
      </c>
      <c r="C68" s="9">
        <f t="shared" si="1"/>
        <v>0.48373333333333335</v>
      </c>
      <c r="D68" s="9">
        <f t="shared" si="2"/>
        <v>1.1809523809523811E-3</v>
      </c>
      <c r="E68" s="9">
        <f t="shared" si="3"/>
        <v>6.8888888888888884E-4</v>
      </c>
    </row>
    <row r="69" spans="1:5" x14ac:dyDescent="0.25">
      <c r="A69" s="2">
        <f t="shared" si="7"/>
        <v>1130</v>
      </c>
      <c r="B69" s="6">
        <f t="shared" si="0"/>
        <v>1.16E-3</v>
      </c>
      <c r="C69" s="9">
        <f t="shared" si="1"/>
        <v>0.49539999999999995</v>
      </c>
      <c r="D69" s="9">
        <f t="shared" si="2"/>
        <v>1.1999999999999999E-3</v>
      </c>
      <c r="E69" s="9">
        <f t="shared" si="3"/>
        <v>6.9999999999999999E-4</v>
      </c>
    </row>
    <row r="70" spans="1:5" x14ac:dyDescent="0.25">
      <c r="A70" s="2">
        <f t="shared" si="7"/>
        <v>1140</v>
      </c>
      <c r="B70" s="6">
        <f t="shared" si="0"/>
        <v>1.1466666666666667E-3</v>
      </c>
      <c r="C70" s="9">
        <f t="shared" si="1"/>
        <v>0.50693333333333335</v>
      </c>
      <c r="D70" s="9">
        <f t="shared" si="2"/>
        <v>1.219047619047619E-3</v>
      </c>
      <c r="E70" s="9">
        <f t="shared" si="3"/>
        <v>7.1111111111111115E-4</v>
      </c>
    </row>
    <row r="71" spans="1:5" x14ac:dyDescent="0.25">
      <c r="A71" s="2">
        <f t="shared" si="7"/>
        <v>1150</v>
      </c>
      <c r="B71" s="6">
        <f t="shared" ref="B71:B134" si="8">+IF(A71&lt;=$C$2,2*(A71-$C$1)/(($C$2-$C$1)*($C$3-$C$1)),2*($C$3-A71)/(($C$3-$C$2)*($C$3-$C$1)))</f>
        <v>1.1333333333333334E-3</v>
      </c>
      <c r="C71" s="9">
        <f t="shared" ref="C71:C134" si="9">+IF(A71&lt;=$C$2,(A71-$C$1)^2/(($C$2-$C$1)*($C$3-$C$1)),1-($C$3-A71)^2/(($C$3-$C$2)*($C$3-$C$1)))</f>
        <v>0.51833333333333331</v>
      </c>
      <c r="D71" s="9">
        <f t="shared" ref="D71:D134" si="10">+IF(A71&lt;=$D$2,2*(A71-$D$1)/(($D$2-$D$1)*($D$3-$D$1)),2*($D$3-A71)/(($D$3-$D$2)*($D$3-$D$1)))</f>
        <v>1.238095238095238E-3</v>
      </c>
      <c r="E71" s="9">
        <f t="shared" ref="E71:E134" si="11">+IF(A71&lt;=$E$2,2*(A71-$E$1)/(($E$2-$E$1)*($E$3-$E$1)),2*($E$3-A71)/(($E$3-$E$2)*($E$3-$E$1)))</f>
        <v>7.2222222222222219E-4</v>
      </c>
    </row>
    <row r="72" spans="1:5" x14ac:dyDescent="0.25">
      <c r="A72" s="2">
        <f t="shared" si="7"/>
        <v>1160</v>
      </c>
      <c r="B72" s="6">
        <f t="shared" si="8"/>
        <v>1.1199999999999999E-3</v>
      </c>
      <c r="C72" s="9">
        <f t="shared" si="9"/>
        <v>0.52960000000000007</v>
      </c>
      <c r="D72" s="9">
        <f t="shared" si="10"/>
        <v>1.2571428571428571E-3</v>
      </c>
      <c r="E72" s="9">
        <f t="shared" si="11"/>
        <v>7.3333333333333334E-4</v>
      </c>
    </row>
    <row r="73" spans="1:5" x14ac:dyDescent="0.25">
      <c r="A73" s="2">
        <f t="shared" si="7"/>
        <v>1170</v>
      </c>
      <c r="B73" s="6">
        <f t="shared" si="8"/>
        <v>1.1066666666666666E-3</v>
      </c>
      <c r="C73" s="9">
        <f t="shared" si="9"/>
        <v>0.54073333333333329</v>
      </c>
      <c r="D73" s="9">
        <f t="shared" si="10"/>
        <v>1.2761904761904761E-3</v>
      </c>
      <c r="E73" s="9">
        <f t="shared" si="11"/>
        <v>7.4444444444444449E-4</v>
      </c>
    </row>
    <row r="74" spans="1:5" x14ac:dyDescent="0.25">
      <c r="A74" s="2">
        <f t="shared" si="7"/>
        <v>1180</v>
      </c>
      <c r="B74" s="6">
        <f t="shared" si="8"/>
        <v>1.0933333333333333E-3</v>
      </c>
      <c r="C74" s="9">
        <f t="shared" si="9"/>
        <v>0.55173333333333341</v>
      </c>
      <c r="D74" s="9">
        <f t="shared" si="10"/>
        <v>1.2952380952380952E-3</v>
      </c>
      <c r="E74" s="9">
        <f t="shared" si="11"/>
        <v>7.5555555555555554E-4</v>
      </c>
    </row>
    <row r="75" spans="1:5" x14ac:dyDescent="0.25">
      <c r="A75" s="2">
        <f t="shared" si="7"/>
        <v>1190</v>
      </c>
      <c r="B75" s="6">
        <f t="shared" si="8"/>
        <v>1.08E-3</v>
      </c>
      <c r="C75" s="9">
        <f t="shared" si="9"/>
        <v>0.56259999999999999</v>
      </c>
      <c r="D75" s="9">
        <f t="shared" si="10"/>
        <v>1.3142857142857142E-3</v>
      </c>
      <c r="E75" s="9">
        <f t="shared" si="11"/>
        <v>7.6666666666666669E-4</v>
      </c>
    </row>
    <row r="76" spans="1:5" x14ac:dyDescent="0.25">
      <c r="A76" s="2">
        <f t="shared" si="7"/>
        <v>1200</v>
      </c>
      <c r="B76" s="6">
        <f t="shared" si="8"/>
        <v>1.0666666666666667E-3</v>
      </c>
      <c r="C76" s="9">
        <f t="shared" si="9"/>
        <v>0.57333333333333325</v>
      </c>
      <c r="D76" s="9">
        <f t="shared" si="10"/>
        <v>1.3333333333333333E-3</v>
      </c>
      <c r="E76" s="9">
        <f t="shared" si="11"/>
        <v>7.7777777777777773E-4</v>
      </c>
    </row>
    <row r="77" spans="1:5" x14ac:dyDescent="0.25">
      <c r="A77" s="2">
        <f t="shared" si="7"/>
        <v>1210</v>
      </c>
      <c r="B77" s="6">
        <f t="shared" si="8"/>
        <v>1.0533333333333334E-3</v>
      </c>
      <c r="C77" s="9">
        <f t="shared" si="9"/>
        <v>0.58393333333333342</v>
      </c>
      <c r="D77" s="9">
        <f t="shared" si="10"/>
        <v>1.3166666666666667E-3</v>
      </c>
      <c r="E77" s="9">
        <f t="shared" si="11"/>
        <v>7.8888888888888889E-4</v>
      </c>
    </row>
    <row r="78" spans="1:5" x14ac:dyDescent="0.25">
      <c r="A78" s="2">
        <f t="shared" si="7"/>
        <v>1220</v>
      </c>
      <c r="B78" s="6">
        <f t="shared" si="8"/>
        <v>1.0399999999999999E-3</v>
      </c>
      <c r="C78" s="9">
        <f t="shared" si="9"/>
        <v>0.59440000000000004</v>
      </c>
      <c r="D78" s="9">
        <f t="shared" si="10"/>
        <v>1.2999999999999999E-3</v>
      </c>
      <c r="E78" s="9">
        <f t="shared" si="11"/>
        <v>8.0000000000000004E-4</v>
      </c>
    </row>
    <row r="79" spans="1:5" x14ac:dyDescent="0.25">
      <c r="A79" s="2">
        <f t="shared" si="7"/>
        <v>1230</v>
      </c>
      <c r="B79" s="6">
        <f t="shared" si="8"/>
        <v>1.0266666666666666E-3</v>
      </c>
      <c r="C79" s="9">
        <f t="shared" si="9"/>
        <v>0.60473333333333334</v>
      </c>
      <c r="D79" s="9">
        <f t="shared" si="10"/>
        <v>1.2833333333333334E-3</v>
      </c>
      <c r="E79" s="9">
        <f t="shared" si="11"/>
        <v>8.1111111111111108E-4</v>
      </c>
    </row>
    <row r="80" spans="1:5" x14ac:dyDescent="0.25">
      <c r="A80" s="2">
        <f t="shared" si="7"/>
        <v>1240</v>
      </c>
      <c r="B80" s="6">
        <f t="shared" si="8"/>
        <v>1.0133333333333333E-3</v>
      </c>
      <c r="C80" s="9">
        <f t="shared" si="9"/>
        <v>0.61493333333333333</v>
      </c>
      <c r="D80" s="9">
        <f t="shared" si="10"/>
        <v>1.2666666666666666E-3</v>
      </c>
      <c r="E80" s="9">
        <f t="shared" si="11"/>
        <v>8.2222222222222223E-4</v>
      </c>
    </row>
    <row r="81" spans="1:5" x14ac:dyDescent="0.25">
      <c r="A81" s="2">
        <f t="shared" si="7"/>
        <v>1250</v>
      </c>
      <c r="B81" s="6">
        <f t="shared" si="8"/>
        <v>1E-3</v>
      </c>
      <c r="C81" s="9">
        <f t="shared" si="9"/>
        <v>0.625</v>
      </c>
      <c r="D81" s="9">
        <f t="shared" si="10"/>
        <v>1.25E-3</v>
      </c>
      <c r="E81" s="9">
        <f t="shared" si="11"/>
        <v>8.3333333333333339E-4</v>
      </c>
    </row>
    <row r="82" spans="1:5" x14ac:dyDescent="0.25">
      <c r="A82" s="2">
        <f t="shared" si="7"/>
        <v>1260</v>
      </c>
      <c r="B82" s="6">
        <f t="shared" si="8"/>
        <v>9.8666666666666672E-4</v>
      </c>
      <c r="C82" s="9">
        <f t="shared" si="9"/>
        <v>0.63493333333333335</v>
      </c>
      <c r="D82" s="9">
        <f t="shared" si="10"/>
        <v>1.2333333333333332E-3</v>
      </c>
      <c r="E82" s="9">
        <f t="shared" si="11"/>
        <v>8.4444444444444443E-4</v>
      </c>
    </row>
    <row r="83" spans="1:5" x14ac:dyDescent="0.25">
      <c r="A83" s="2">
        <f t="shared" si="7"/>
        <v>1270</v>
      </c>
      <c r="B83" s="6">
        <f t="shared" si="8"/>
        <v>9.7333333333333332E-4</v>
      </c>
      <c r="C83" s="9">
        <f t="shared" si="9"/>
        <v>0.64473333333333338</v>
      </c>
      <c r="D83" s="9">
        <f t="shared" si="10"/>
        <v>1.2166666666666667E-3</v>
      </c>
      <c r="E83" s="9">
        <f t="shared" si="11"/>
        <v>8.5555555555555558E-4</v>
      </c>
    </row>
    <row r="84" spans="1:5" x14ac:dyDescent="0.25">
      <c r="A84" s="2">
        <f t="shared" si="7"/>
        <v>1280</v>
      </c>
      <c r="B84" s="6">
        <f t="shared" si="8"/>
        <v>9.6000000000000002E-4</v>
      </c>
      <c r="C84" s="9">
        <f t="shared" si="9"/>
        <v>0.65439999999999998</v>
      </c>
      <c r="D84" s="9">
        <f t="shared" si="10"/>
        <v>1.1999999999999999E-3</v>
      </c>
      <c r="E84" s="9">
        <f t="shared" si="11"/>
        <v>8.6666666666666663E-4</v>
      </c>
    </row>
    <row r="85" spans="1:5" x14ac:dyDescent="0.25">
      <c r="A85" s="2">
        <f t="shared" si="7"/>
        <v>1290</v>
      </c>
      <c r="B85" s="6">
        <f t="shared" si="8"/>
        <v>9.4666666666666662E-4</v>
      </c>
      <c r="C85" s="9">
        <f t="shared" si="9"/>
        <v>0.66393333333333326</v>
      </c>
      <c r="D85" s="9">
        <f t="shared" si="10"/>
        <v>1.1833333333333333E-3</v>
      </c>
      <c r="E85" s="9">
        <f t="shared" si="11"/>
        <v>8.7777777777777778E-4</v>
      </c>
    </row>
    <row r="86" spans="1:5" x14ac:dyDescent="0.25">
      <c r="A86" s="2">
        <f t="shared" si="7"/>
        <v>1300</v>
      </c>
      <c r="B86" s="6">
        <f t="shared" si="8"/>
        <v>9.3333333333333332E-4</v>
      </c>
      <c r="C86" s="9">
        <f t="shared" si="9"/>
        <v>0.67333333333333334</v>
      </c>
      <c r="D86" s="9">
        <f t="shared" si="10"/>
        <v>1.1666666666666668E-3</v>
      </c>
      <c r="E86" s="9">
        <f t="shared" si="11"/>
        <v>8.8888888888888893E-4</v>
      </c>
    </row>
    <row r="87" spans="1:5" x14ac:dyDescent="0.25">
      <c r="A87" s="2">
        <f t="shared" si="7"/>
        <v>1310</v>
      </c>
      <c r="B87" s="6">
        <f t="shared" si="8"/>
        <v>9.2000000000000003E-4</v>
      </c>
      <c r="C87" s="9">
        <f t="shared" si="9"/>
        <v>0.68259999999999998</v>
      </c>
      <c r="D87" s="9">
        <f t="shared" si="10"/>
        <v>1.15E-3</v>
      </c>
      <c r="E87" s="9">
        <f t="shared" si="11"/>
        <v>8.9999999999999998E-4</v>
      </c>
    </row>
    <row r="88" spans="1:5" x14ac:dyDescent="0.25">
      <c r="A88" s="2">
        <f t="shared" si="7"/>
        <v>1320</v>
      </c>
      <c r="B88" s="6">
        <f t="shared" si="8"/>
        <v>9.0666666666666662E-4</v>
      </c>
      <c r="C88" s="9">
        <f t="shared" si="9"/>
        <v>0.69173333333333331</v>
      </c>
      <c r="D88" s="9">
        <f t="shared" si="10"/>
        <v>1.1333333333333334E-3</v>
      </c>
      <c r="E88" s="9">
        <f t="shared" si="11"/>
        <v>9.1111111111111113E-4</v>
      </c>
    </row>
    <row r="89" spans="1:5" x14ac:dyDescent="0.25">
      <c r="A89" s="2">
        <f t="shared" si="7"/>
        <v>1330</v>
      </c>
      <c r="B89" s="6">
        <f t="shared" si="8"/>
        <v>8.9333333333333333E-4</v>
      </c>
      <c r="C89" s="9">
        <f t="shared" si="9"/>
        <v>0.70073333333333332</v>
      </c>
      <c r="D89" s="9">
        <f t="shared" si="10"/>
        <v>1.1166666666666666E-3</v>
      </c>
      <c r="E89" s="9">
        <f t="shared" si="11"/>
        <v>9.2222222222222217E-4</v>
      </c>
    </row>
    <row r="90" spans="1:5" x14ac:dyDescent="0.25">
      <c r="A90" s="2">
        <f t="shared" si="7"/>
        <v>1340</v>
      </c>
      <c r="B90" s="6">
        <f t="shared" si="8"/>
        <v>8.8000000000000003E-4</v>
      </c>
      <c r="C90" s="9">
        <f t="shared" si="9"/>
        <v>0.70960000000000001</v>
      </c>
      <c r="D90" s="9">
        <f t="shared" si="10"/>
        <v>1.1000000000000001E-3</v>
      </c>
      <c r="E90" s="9">
        <f t="shared" si="11"/>
        <v>9.3333333333333332E-4</v>
      </c>
    </row>
    <row r="91" spans="1:5" x14ac:dyDescent="0.25">
      <c r="A91" s="2">
        <f t="shared" si="7"/>
        <v>1350</v>
      </c>
      <c r="B91" s="6">
        <f t="shared" si="8"/>
        <v>8.6666666666666663E-4</v>
      </c>
      <c r="C91" s="9">
        <f t="shared" si="9"/>
        <v>0.71833333333333327</v>
      </c>
      <c r="D91" s="9">
        <f t="shared" si="10"/>
        <v>1.0833333333333333E-3</v>
      </c>
      <c r="E91" s="9">
        <f t="shared" si="11"/>
        <v>9.4444444444444448E-4</v>
      </c>
    </row>
    <row r="92" spans="1:5" x14ac:dyDescent="0.25">
      <c r="A92" s="2">
        <f t="shared" si="7"/>
        <v>1360</v>
      </c>
      <c r="B92" s="6">
        <f t="shared" si="8"/>
        <v>8.5333333333333333E-4</v>
      </c>
      <c r="C92" s="9">
        <f t="shared" si="9"/>
        <v>0.72693333333333332</v>
      </c>
      <c r="D92" s="9">
        <f t="shared" si="10"/>
        <v>1.0666666666666667E-3</v>
      </c>
      <c r="E92" s="9">
        <f t="shared" si="11"/>
        <v>9.5555555555555552E-4</v>
      </c>
    </row>
    <row r="93" spans="1:5" x14ac:dyDescent="0.25">
      <c r="A93" s="2">
        <f t="shared" si="7"/>
        <v>1370</v>
      </c>
      <c r="B93" s="6">
        <f t="shared" si="8"/>
        <v>8.4000000000000003E-4</v>
      </c>
      <c r="C93" s="9">
        <f t="shared" si="9"/>
        <v>0.73540000000000005</v>
      </c>
      <c r="D93" s="9">
        <f t="shared" si="10"/>
        <v>1.0499999999999999E-3</v>
      </c>
      <c r="E93" s="9">
        <f t="shared" si="11"/>
        <v>9.6666666666666667E-4</v>
      </c>
    </row>
    <row r="94" spans="1:5" x14ac:dyDescent="0.25">
      <c r="A94" s="2">
        <f t="shared" si="7"/>
        <v>1380</v>
      </c>
      <c r="B94" s="6">
        <f t="shared" si="8"/>
        <v>8.2666666666666663E-4</v>
      </c>
      <c r="C94" s="9">
        <f t="shared" si="9"/>
        <v>0.74373333333333336</v>
      </c>
      <c r="D94" s="9">
        <f t="shared" si="10"/>
        <v>1.0333333333333334E-3</v>
      </c>
      <c r="E94" s="9">
        <f t="shared" si="11"/>
        <v>9.7777777777777772E-4</v>
      </c>
    </row>
    <row r="95" spans="1:5" x14ac:dyDescent="0.25">
      <c r="A95" s="2">
        <f t="shared" si="7"/>
        <v>1390</v>
      </c>
      <c r="B95" s="6">
        <f t="shared" si="8"/>
        <v>8.1333333333333333E-4</v>
      </c>
      <c r="C95" s="9">
        <f t="shared" si="9"/>
        <v>0.75193333333333334</v>
      </c>
      <c r="D95" s="9">
        <f t="shared" si="10"/>
        <v>1.0166666666666666E-3</v>
      </c>
      <c r="E95" s="9">
        <f t="shared" si="11"/>
        <v>9.8888888888888898E-4</v>
      </c>
    </row>
    <row r="96" spans="1:5" x14ac:dyDescent="0.25">
      <c r="A96" s="2">
        <f t="shared" si="7"/>
        <v>1400</v>
      </c>
      <c r="B96" s="6">
        <f t="shared" si="8"/>
        <v>8.0000000000000004E-4</v>
      </c>
      <c r="C96" s="9">
        <f t="shared" si="9"/>
        <v>0.76</v>
      </c>
      <c r="D96" s="9">
        <f t="shared" si="10"/>
        <v>1E-3</v>
      </c>
      <c r="E96" s="9">
        <f t="shared" si="11"/>
        <v>1E-3</v>
      </c>
    </row>
    <row r="97" spans="1:5" x14ac:dyDescent="0.25">
      <c r="A97" s="2">
        <f t="shared" si="7"/>
        <v>1410</v>
      </c>
      <c r="B97" s="6">
        <f t="shared" si="8"/>
        <v>7.8666666666666663E-4</v>
      </c>
      <c r="C97" s="9">
        <f t="shared" si="9"/>
        <v>0.76793333333333336</v>
      </c>
      <c r="D97" s="9">
        <f t="shared" si="10"/>
        <v>9.8333333333333324E-4</v>
      </c>
      <c r="E97" s="9">
        <f t="shared" si="11"/>
        <v>1.0111111111111111E-3</v>
      </c>
    </row>
    <row r="98" spans="1:5" x14ac:dyDescent="0.25">
      <c r="A98" s="2">
        <f t="shared" si="7"/>
        <v>1420</v>
      </c>
      <c r="B98" s="6">
        <f t="shared" si="8"/>
        <v>7.7333333333333334E-4</v>
      </c>
      <c r="C98" s="9">
        <f t="shared" si="9"/>
        <v>0.77573333333333339</v>
      </c>
      <c r="D98" s="9">
        <f t="shared" si="10"/>
        <v>9.6666666666666667E-4</v>
      </c>
      <c r="E98" s="9">
        <f t="shared" si="11"/>
        <v>1.0222222222222223E-3</v>
      </c>
    </row>
    <row r="99" spans="1:5" x14ac:dyDescent="0.25">
      <c r="A99" s="2">
        <f t="shared" si="7"/>
        <v>1430</v>
      </c>
      <c r="B99" s="6">
        <f t="shared" si="8"/>
        <v>7.6000000000000004E-4</v>
      </c>
      <c r="C99" s="9">
        <f t="shared" si="9"/>
        <v>0.78339999999999999</v>
      </c>
      <c r="D99" s="9">
        <f t="shared" si="10"/>
        <v>9.5E-4</v>
      </c>
      <c r="E99" s="9">
        <f t="shared" si="11"/>
        <v>1.0333333333333334E-3</v>
      </c>
    </row>
    <row r="100" spans="1:5" x14ac:dyDescent="0.25">
      <c r="A100" s="2">
        <f t="shared" ref="A100:A142" si="12">+A99+10</f>
        <v>1440</v>
      </c>
      <c r="B100" s="6">
        <f t="shared" si="8"/>
        <v>7.4666666666666664E-4</v>
      </c>
      <c r="C100" s="9">
        <f t="shared" si="9"/>
        <v>0.79093333333333327</v>
      </c>
      <c r="D100" s="9">
        <f t="shared" si="10"/>
        <v>9.3333333333333332E-4</v>
      </c>
      <c r="E100" s="9">
        <f t="shared" si="11"/>
        <v>1.0444444444444444E-3</v>
      </c>
    </row>
    <row r="101" spans="1:5" x14ac:dyDescent="0.25">
      <c r="A101" s="2">
        <f t="shared" si="12"/>
        <v>1450</v>
      </c>
      <c r="B101" s="6">
        <f t="shared" si="8"/>
        <v>7.3333333333333334E-4</v>
      </c>
      <c r="C101" s="9">
        <f t="shared" si="9"/>
        <v>0.79833333333333334</v>
      </c>
      <c r="D101" s="9">
        <f t="shared" si="10"/>
        <v>9.1666666666666665E-4</v>
      </c>
      <c r="E101" s="9">
        <f t="shared" si="11"/>
        <v>1.0555555555555555E-3</v>
      </c>
    </row>
    <row r="102" spans="1:5" x14ac:dyDescent="0.25">
      <c r="A102" s="2">
        <f t="shared" si="12"/>
        <v>1460</v>
      </c>
      <c r="B102" s="6">
        <f t="shared" si="8"/>
        <v>7.2000000000000005E-4</v>
      </c>
      <c r="C102" s="9">
        <f t="shared" si="9"/>
        <v>0.80559999999999998</v>
      </c>
      <c r="D102" s="9">
        <f t="shared" si="10"/>
        <v>8.9999999999999998E-4</v>
      </c>
      <c r="E102" s="9">
        <f t="shared" si="11"/>
        <v>1.0666666666666667E-3</v>
      </c>
    </row>
    <row r="103" spans="1:5" x14ac:dyDescent="0.25">
      <c r="A103" s="2">
        <f t="shared" si="12"/>
        <v>1470</v>
      </c>
      <c r="B103" s="6">
        <f t="shared" si="8"/>
        <v>7.0666666666666664E-4</v>
      </c>
      <c r="C103" s="9">
        <f t="shared" si="9"/>
        <v>0.81273333333333331</v>
      </c>
      <c r="D103" s="9">
        <f t="shared" si="10"/>
        <v>8.833333333333333E-4</v>
      </c>
      <c r="E103" s="9">
        <f t="shared" si="11"/>
        <v>1.0777777777777778E-3</v>
      </c>
    </row>
    <row r="104" spans="1:5" x14ac:dyDescent="0.25">
      <c r="A104" s="2">
        <f t="shared" si="12"/>
        <v>1480</v>
      </c>
      <c r="B104" s="6">
        <f t="shared" si="8"/>
        <v>6.9333333333333334E-4</v>
      </c>
      <c r="C104" s="9">
        <f t="shared" si="9"/>
        <v>0.81973333333333331</v>
      </c>
      <c r="D104" s="9">
        <f t="shared" si="10"/>
        <v>8.6666666666666663E-4</v>
      </c>
      <c r="E104" s="9">
        <f t="shared" si="11"/>
        <v>1.0888888888888888E-3</v>
      </c>
    </row>
    <row r="105" spans="1:5" x14ac:dyDescent="0.25">
      <c r="A105" s="2">
        <f t="shared" si="12"/>
        <v>1490</v>
      </c>
      <c r="B105" s="6">
        <f t="shared" si="8"/>
        <v>6.8000000000000005E-4</v>
      </c>
      <c r="C105" s="9">
        <f t="shared" si="9"/>
        <v>0.8266</v>
      </c>
      <c r="D105" s="9">
        <f t="shared" si="10"/>
        <v>8.4999999999999995E-4</v>
      </c>
      <c r="E105" s="9">
        <f t="shared" si="11"/>
        <v>1.1000000000000001E-3</v>
      </c>
    </row>
    <row r="106" spans="1:5" x14ac:dyDescent="0.25">
      <c r="A106" s="2">
        <f t="shared" si="12"/>
        <v>1500</v>
      </c>
      <c r="B106" s="6">
        <f t="shared" si="8"/>
        <v>6.6666666666666664E-4</v>
      </c>
      <c r="C106" s="9">
        <f t="shared" si="9"/>
        <v>0.83333333333333337</v>
      </c>
      <c r="D106" s="9">
        <f t="shared" si="10"/>
        <v>8.3333333333333339E-4</v>
      </c>
      <c r="E106" s="9">
        <f t="shared" si="11"/>
        <v>1.1111111111111111E-3</v>
      </c>
    </row>
    <row r="107" spans="1:5" x14ac:dyDescent="0.25">
      <c r="A107" s="2">
        <f t="shared" si="12"/>
        <v>1510</v>
      </c>
      <c r="B107" s="6">
        <f t="shared" si="8"/>
        <v>6.5333333333333335E-4</v>
      </c>
      <c r="C107" s="9">
        <f t="shared" si="9"/>
        <v>0.83993333333333331</v>
      </c>
      <c r="D107" s="9">
        <f t="shared" si="10"/>
        <v>8.1666666666666671E-4</v>
      </c>
      <c r="E107" s="9">
        <f t="shared" si="11"/>
        <v>1.1222222222222222E-3</v>
      </c>
    </row>
    <row r="108" spans="1:5" x14ac:dyDescent="0.25">
      <c r="A108" s="2">
        <f t="shared" si="12"/>
        <v>1520</v>
      </c>
      <c r="B108" s="6">
        <f t="shared" si="8"/>
        <v>6.4000000000000005E-4</v>
      </c>
      <c r="C108" s="9">
        <f t="shared" si="9"/>
        <v>0.84640000000000004</v>
      </c>
      <c r="D108" s="9">
        <f t="shared" si="10"/>
        <v>8.0000000000000004E-4</v>
      </c>
      <c r="E108" s="9">
        <f t="shared" si="11"/>
        <v>1.1333333333333334E-3</v>
      </c>
    </row>
    <row r="109" spans="1:5" x14ac:dyDescent="0.25">
      <c r="A109" s="2">
        <f t="shared" si="12"/>
        <v>1530</v>
      </c>
      <c r="B109" s="6">
        <f t="shared" si="8"/>
        <v>6.2666666666666665E-4</v>
      </c>
      <c r="C109" s="9">
        <f t="shared" si="9"/>
        <v>0.85273333333333334</v>
      </c>
      <c r="D109" s="9">
        <f t="shared" si="10"/>
        <v>7.8333333333333336E-4</v>
      </c>
      <c r="E109" s="9">
        <f t="shared" si="11"/>
        <v>1.1444444444444445E-3</v>
      </c>
    </row>
    <row r="110" spans="1:5" x14ac:dyDescent="0.25">
      <c r="A110" s="2">
        <f t="shared" si="12"/>
        <v>1540</v>
      </c>
      <c r="B110" s="6">
        <f t="shared" si="8"/>
        <v>6.1333333333333335E-4</v>
      </c>
      <c r="C110" s="9">
        <f t="shared" si="9"/>
        <v>0.85893333333333333</v>
      </c>
      <c r="D110" s="9">
        <f t="shared" si="10"/>
        <v>7.6666666666666669E-4</v>
      </c>
      <c r="E110" s="9">
        <f t="shared" si="11"/>
        <v>1.1555555555555555E-3</v>
      </c>
    </row>
    <row r="111" spans="1:5" x14ac:dyDescent="0.25">
      <c r="A111" s="2">
        <f t="shared" si="12"/>
        <v>1550</v>
      </c>
      <c r="B111" s="6">
        <f t="shared" si="8"/>
        <v>5.9999999999999995E-4</v>
      </c>
      <c r="C111" s="9">
        <f t="shared" si="9"/>
        <v>0.86499999999999999</v>
      </c>
      <c r="D111" s="9">
        <f t="shared" si="10"/>
        <v>7.5000000000000002E-4</v>
      </c>
      <c r="E111" s="9">
        <f t="shared" si="11"/>
        <v>1.1666666666666668E-3</v>
      </c>
    </row>
    <row r="112" spans="1:5" x14ac:dyDescent="0.25">
      <c r="A112" s="2">
        <f t="shared" si="12"/>
        <v>1560</v>
      </c>
      <c r="B112" s="6">
        <f t="shared" si="8"/>
        <v>5.8666666666666665E-4</v>
      </c>
      <c r="C112" s="9">
        <f t="shared" si="9"/>
        <v>0.87093333333333334</v>
      </c>
      <c r="D112" s="9">
        <f t="shared" si="10"/>
        <v>7.3333333333333334E-4</v>
      </c>
      <c r="E112" s="9">
        <f t="shared" si="11"/>
        <v>1.1777777777777778E-3</v>
      </c>
    </row>
    <row r="113" spans="1:5" x14ac:dyDescent="0.25">
      <c r="A113" s="2">
        <f t="shared" si="12"/>
        <v>1570</v>
      </c>
      <c r="B113" s="6">
        <f t="shared" si="8"/>
        <v>5.7333333333333336E-4</v>
      </c>
      <c r="C113" s="9">
        <f t="shared" si="9"/>
        <v>0.87673333333333336</v>
      </c>
      <c r="D113" s="9">
        <f t="shared" si="10"/>
        <v>7.1666666666666667E-4</v>
      </c>
      <c r="E113" s="9">
        <f t="shared" si="11"/>
        <v>1.1888888888888889E-3</v>
      </c>
    </row>
    <row r="114" spans="1:5" x14ac:dyDescent="0.25">
      <c r="A114" s="2">
        <f t="shared" si="12"/>
        <v>1580</v>
      </c>
      <c r="B114" s="6">
        <f t="shared" si="8"/>
        <v>5.5999999999999995E-4</v>
      </c>
      <c r="C114" s="9">
        <f t="shared" si="9"/>
        <v>0.88239999999999996</v>
      </c>
      <c r="D114" s="9">
        <f t="shared" si="10"/>
        <v>6.9999999999999999E-4</v>
      </c>
      <c r="E114" s="9">
        <f t="shared" si="11"/>
        <v>1.1999999999999999E-3</v>
      </c>
    </row>
    <row r="115" spans="1:5" x14ac:dyDescent="0.25">
      <c r="A115" s="2">
        <f t="shared" si="12"/>
        <v>1590</v>
      </c>
      <c r="B115" s="6">
        <f t="shared" si="8"/>
        <v>5.4666666666666665E-4</v>
      </c>
      <c r="C115" s="9">
        <f t="shared" si="9"/>
        <v>0.88793333333333335</v>
      </c>
      <c r="D115" s="9">
        <f t="shared" si="10"/>
        <v>6.8333333333333332E-4</v>
      </c>
      <c r="E115" s="9">
        <f t="shared" si="11"/>
        <v>1.2111111111111112E-3</v>
      </c>
    </row>
    <row r="116" spans="1:5" x14ac:dyDescent="0.25">
      <c r="A116" s="2">
        <f t="shared" si="12"/>
        <v>1600</v>
      </c>
      <c r="B116" s="6">
        <f t="shared" si="8"/>
        <v>5.3333333333333336E-4</v>
      </c>
      <c r="C116" s="9">
        <f t="shared" si="9"/>
        <v>0.89333333333333331</v>
      </c>
      <c r="D116" s="9">
        <f t="shared" si="10"/>
        <v>6.6666666666666664E-4</v>
      </c>
      <c r="E116" s="9">
        <f t="shared" si="11"/>
        <v>1.2222222222222222E-3</v>
      </c>
    </row>
    <row r="117" spans="1:5" x14ac:dyDescent="0.25">
      <c r="A117" s="2">
        <f t="shared" si="12"/>
        <v>1610</v>
      </c>
      <c r="B117" s="6">
        <f t="shared" si="8"/>
        <v>5.1999999999999995E-4</v>
      </c>
      <c r="C117" s="9">
        <f t="shared" si="9"/>
        <v>0.89859999999999995</v>
      </c>
      <c r="D117" s="9">
        <f t="shared" si="10"/>
        <v>6.4999999999999997E-4</v>
      </c>
      <c r="E117" s="9">
        <f t="shared" si="11"/>
        <v>1.2333333333333332E-3</v>
      </c>
    </row>
    <row r="118" spans="1:5" x14ac:dyDescent="0.25">
      <c r="A118" s="2">
        <f t="shared" si="12"/>
        <v>1620</v>
      </c>
      <c r="B118" s="6">
        <f t="shared" si="8"/>
        <v>5.0666666666666666E-4</v>
      </c>
      <c r="C118" s="9">
        <f t="shared" si="9"/>
        <v>0.90373333333333328</v>
      </c>
      <c r="D118" s="9">
        <f t="shared" si="10"/>
        <v>6.333333333333333E-4</v>
      </c>
      <c r="E118" s="9">
        <f t="shared" si="11"/>
        <v>1.2444444444444445E-3</v>
      </c>
    </row>
    <row r="119" spans="1:5" x14ac:dyDescent="0.25">
      <c r="A119" s="2">
        <f t="shared" si="12"/>
        <v>1630</v>
      </c>
      <c r="B119" s="6">
        <f t="shared" si="8"/>
        <v>4.9333333333333336E-4</v>
      </c>
      <c r="C119" s="9">
        <f t="shared" si="9"/>
        <v>0.90873333333333339</v>
      </c>
      <c r="D119" s="9">
        <f t="shared" si="10"/>
        <v>6.1666666666666662E-4</v>
      </c>
      <c r="E119" s="9">
        <f t="shared" si="11"/>
        <v>1.2555555555555555E-3</v>
      </c>
    </row>
    <row r="120" spans="1:5" x14ac:dyDescent="0.25">
      <c r="A120" s="2">
        <f t="shared" si="12"/>
        <v>1640</v>
      </c>
      <c r="B120" s="6">
        <f t="shared" si="8"/>
        <v>4.8000000000000001E-4</v>
      </c>
      <c r="C120" s="9">
        <f t="shared" si="9"/>
        <v>0.91359999999999997</v>
      </c>
      <c r="D120" s="9">
        <f t="shared" si="10"/>
        <v>5.9999999999999995E-4</v>
      </c>
      <c r="E120" s="9">
        <f t="shared" si="11"/>
        <v>1.2666666666666666E-3</v>
      </c>
    </row>
    <row r="121" spans="1:5" x14ac:dyDescent="0.25">
      <c r="A121" s="2">
        <f t="shared" si="12"/>
        <v>1650</v>
      </c>
      <c r="B121" s="6">
        <f t="shared" si="8"/>
        <v>4.6666666666666666E-4</v>
      </c>
      <c r="C121" s="9">
        <f t="shared" si="9"/>
        <v>0.91833333333333333</v>
      </c>
      <c r="D121" s="9">
        <f t="shared" si="10"/>
        <v>5.8333333333333338E-4</v>
      </c>
      <c r="E121" s="9">
        <f t="shared" si="11"/>
        <v>1.2777777777777779E-3</v>
      </c>
    </row>
    <row r="122" spans="1:5" x14ac:dyDescent="0.25">
      <c r="A122" s="2">
        <f t="shared" si="12"/>
        <v>1660</v>
      </c>
      <c r="B122" s="6">
        <f t="shared" si="8"/>
        <v>4.5333333333333331E-4</v>
      </c>
      <c r="C122" s="9">
        <f t="shared" si="9"/>
        <v>0.92293333333333338</v>
      </c>
      <c r="D122" s="9">
        <f t="shared" si="10"/>
        <v>5.6666666666666671E-4</v>
      </c>
      <c r="E122" s="9">
        <f t="shared" si="11"/>
        <v>1.2888888888888889E-3</v>
      </c>
    </row>
    <row r="123" spans="1:5" x14ac:dyDescent="0.25">
      <c r="A123" s="2">
        <f t="shared" si="12"/>
        <v>1670</v>
      </c>
      <c r="B123" s="6">
        <f t="shared" si="8"/>
        <v>4.4000000000000002E-4</v>
      </c>
      <c r="C123" s="9">
        <f t="shared" si="9"/>
        <v>0.9274</v>
      </c>
      <c r="D123" s="9">
        <f t="shared" si="10"/>
        <v>5.5000000000000003E-4</v>
      </c>
      <c r="E123" s="9">
        <f t="shared" si="11"/>
        <v>1.2999999999999999E-3</v>
      </c>
    </row>
    <row r="124" spans="1:5" x14ac:dyDescent="0.25">
      <c r="A124" s="2">
        <f t="shared" si="12"/>
        <v>1680</v>
      </c>
      <c r="B124" s="6">
        <f t="shared" si="8"/>
        <v>4.2666666666666667E-4</v>
      </c>
      <c r="C124" s="9">
        <f t="shared" si="9"/>
        <v>0.9317333333333333</v>
      </c>
      <c r="D124" s="9">
        <f t="shared" si="10"/>
        <v>5.3333333333333336E-4</v>
      </c>
      <c r="E124" s="9">
        <f t="shared" si="11"/>
        <v>1.3111111111111112E-3</v>
      </c>
    </row>
    <row r="125" spans="1:5" x14ac:dyDescent="0.25">
      <c r="A125" s="2">
        <f t="shared" si="12"/>
        <v>1690</v>
      </c>
      <c r="B125" s="6">
        <f t="shared" si="8"/>
        <v>4.1333333333333332E-4</v>
      </c>
      <c r="C125" s="9">
        <f t="shared" si="9"/>
        <v>0.93593333333333328</v>
      </c>
      <c r="D125" s="9">
        <f t="shared" si="10"/>
        <v>5.1666666666666668E-4</v>
      </c>
      <c r="E125" s="9">
        <f t="shared" si="11"/>
        <v>1.3222222222222222E-3</v>
      </c>
    </row>
    <row r="126" spans="1:5" x14ac:dyDescent="0.25">
      <c r="A126" s="2">
        <f t="shared" si="12"/>
        <v>1700</v>
      </c>
      <c r="B126" s="6">
        <f t="shared" si="8"/>
        <v>4.0000000000000002E-4</v>
      </c>
      <c r="C126" s="9">
        <f t="shared" si="9"/>
        <v>0.94</v>
      </c>
      <c r="D126" s="9">
        <f t="shared" si="10"/>
        <v>5.0000000000000001E-4</v>
      </c>
      <c r="E126" s="9">
        <f t="shared" si="11"/>
        <v>1.3333333333333333E-3</v>
      </c>
    </row>
    <row r="127" spans="1:5" x14ac:dyDescent="0.25">
      <c r="A127" s="2">
        <f t="shared" si="12"/>
        <v>1710</v>
      </c>
      <c r="B127" s="6">
        <f t="shared" si="8"/>
        <v>3.8666666666666667E-4</v>
      </c>
      <c r="C127" s="9">
        <f t="shared" si="9"/>
        <v>0.94393333333333329</v>
      </c>
      <c r="D127" s="9">
        <f t="shared" si="10"/>
        <v>4.8333333333333334E-4</v>
      </c>
      <c r="E127" s="9">
        <f t="shared" si="11"/>
        <v>1.2888888888888889E-3</v>
      </c>
    </row>
    <row r="128" spans="1:5" x14ac:dyDescent="0.25">
      <c r="A128" s="2">
        <f t="shared" si="12"/>
        <v>1720</v>
      </c>
      <c r="B128" s="6">
        <f t="shared" si="8"/>
        <v>3.7333333333333332E-4</v>
      </c>
      <c r="C128" s="9">
        <f t="shared" si="9"/>
        <v>0.94773333333333332</v>
      </c>
      <c r="D128" s="9">
        <f t="shared" si="10"/>
        <v>4.6666666666666666E-4</v>
      </c>
      <c r="E128" s="9">
        <f t="shared" si="11"/>
        <v>1.2444444444444445E-3</v>
      </c>
    </row>
    <row r="129" spans="1:5" x14ac:dyDescent="0.25">
      <c r="A129" s="2">
        <f t="shared" si="12"/>
        <v>1730</v>
      </c>
      <c r="B129" s="6">
        <f t="shared" si="8"/>
        <v>3.6000000000000002E-4</v>
      </c>
      <c r="C129" s="9">
        <f t="shared" si="9"/>
        <v>0.95140000000000002</v>
      </c>
      <c r="D129" s="9">
        <f t="shared" si="10"/>
        <v>4.4999999999999999E-4</v>
      </c>
      <c r="E129" s="9">
        <f t="shared" si="11"/>
        <v>1.1999999999999999E-3</v>
      </c>
    </row>
    <row r="130" spans="1:5" x14ac:dyDescent="0.25">
      <c r="A130" s="2">
        <f t="shared" si="12"/>
        <v>1740</v>
      </c>
      <c r="B130" s="6">
        <f t="shared" si="8"/>
        <v>3.4666666666666667E-4</v>
      </c>
      <c r="C130" s="9">
        <f t="shared" si="9"/>
        <v>0.9549333333333333</v>
      </c>
      <c r="D130" s="9">
        <f t="shared" si="10"/>
        <v>4.3333333333333331E-4</v>
      </c>
      <c r="E130" s="9">
        <f t="shared" si="11"/>
        <v>1.1555555555555555E-3</v>
      </c>
    </row>
    <row r="131" spans="1:5" x14ac:dyDescent="0.25">
      <c r="A131" s="2">
        <f t="shared" si="12"/>
        <v>1750</v>
      </c>
      <c r="B131" s="6">
        <f t="shared" si="8"/>
        <v>3.3333333333333332E-4</v>
      </c>
      <c r="C131" s="9">
        <f t="shared" si="9"/>
        <v>0.95833333333333337</v>
      </c>
      <c r="D131" s="9">
        <f t="shared" si="10"/>
        <v>4.1666666666666669E-4</v>
      </c>
      <c r="E131" s="9">
        <f t="shared" si="11"/>
        <v>1.1111111111111111E-3</v>
      </c>
    </row>
    <row r="132" spans="1:5" x14ac:dyDescent="0.25">
      <c r="A132" s="2">
        <f t="shared" si="12"/>
        <v>1760</v>
      </c>
      <c r="B132" s="6">
        <f t="shared" si="8"/>
        <v>3.2000000000000003E-4</v>
      </c>
      <c r="C132" s="9">
        <f t="shared" si="9"/>
        <v>0.96160000000000001</v>
      </c>
      <c r="D132" s="9">
        <f t="shared" si="10"/>
        <v>4.0000000000000002E-4</v>
      </c>
      <c r="E132" s="9">
        <f t="shared" si="11"/>
        <v>1.0666666666666667E-3</v>
      </c>
    </row>
    <row r="133" spans="1:5" x14ac:dyDescent="0.25">
      <c r="A133" s="2">
        <f t="shared" si="12"/>
        <v>1770</v>
      </c>
      <c r="B133" s="6">
        <f t="shared" si="8"/>
        <v>3.0666666666666668E-4</v>
      </c>
      <c r="C133" s="9">
        <f t="shared" si="9"/>
        <v>0.96473333333333333</v>
      </c>
      <c r="D133" s="9">
        <f t="shared" si="10"/>
        <v>3.8333333333333334E-4</v>
      </c>
      <c r="E133" s="9">
        <f t="shared" si="11"/>
        <v>1.0222222222222223E-3</v>
      </c>
    </row>
    <row r="134" spans="1:5" x14ac:dyDescent="0.25">
      <c r="A134" s="2">
        <f t="shared" si="12"/>
        <v>1780</v>
      </c>
      <c r="B134" s="6">
        <f t="shared" si="8"/>
        <v>2.9333333333333333E-4</v>
      </c>
      <c r="C134" s="9">
        <f t="shared" si="9"/>
        <v>0.96773333333333333</v>
      </c>
      <c r="D134" s="9">
        <f t="shared" si="10"/>
        <v>3.6666666666666667E-4</v>
      </c>
      <c r="E134" s="9">
        <f t="shared" si="11"/>
        <v>9.7777777777777772E-4</v>
      </c>
    </row>
    <row r="135" spans="1:5" x14ac:dyDescent="0.25">
      <c r="A135" s="2">
        <f t="shared" si="12"/>
        <v>1790</v>
      </c>
      <c r="B135" s="6">
        <f t="shared" ref="B135:B156" si="13">+IF(A135&lt;=$C$2,2*(A135-$C$1)/(($C$2-$C$1)*($C$3-$C$1)),2*($C$3-A135)/(($C$3-$C$2)*($C$3-$C$1)))</f>
        <v>2.7999999999999998E-4</v>
      </c>
      <c r="C135" s="9">
        <f t="shared" ref="C135:C156" si="14">+IF(A135&lt;=$C$2,(A135-$C$1)^2/(($C$2-$C$1)*($C$3-$C$1)),1-($C$3-A135)^2/(($C$3-$C$2)*($C$3-$C$1)))</f>
        <v>0.97060000000000002</v>
      </c>
      <c r="D135" s="9">
        <f t="shared" ref="D135:D156" si="15">+IF(A135&lt;=$D$2,2*(A135-$D$1)/(($D$2-$D$1)*($D$3-$D$1)),2*($D$3-A135)/(($D$3-$D$2)*($D$3-$D$1)))</f>
        <v>3.5E-4</v>
      </c>
      <c r="E135" s="9">
        <f t="shared" ref="E135:E156" si="16">+IF(A135&lt;=$E$2,2*(A135-$E$1)/(($E$2-$E$1)*($E$3-$E$1)),2*($E$3-A135)/(($E$3-$E$2)*($E$3-$E$1)))</f>
        <v>9.3333333333333332E-4</v>
      </c>
    </row>
    <row r="136" spans="1:5" x14ac:dyDescent="0.25">
      <c r="A136" s="2">
        <f t="shared" si="12"/>
        <v>1800</v>
      </c>
      <c r="B136" s="6">
        <f t="shared" si="13"/>
        <v>2.6666666666666668E-4</v>
      </c>
      <c r="C136" s="9">
        <f t="shared" si="14"/>
        <v>0.97333333333333338</v>
      </c>
      <c r="D136" s="9">
        <f t="shared" si="15"/>
        <v>3.3333333333333332E-4</v>
      </c>
      <c r="E136" s="9">
        <f t="shared" si="16"/>
        <v>8.8888888888888893E-4</v>
      </c>
    </row>
    <row r="137" spans="1:5" x14ac:dyDescent="0.25">
      <c r="A137" s="2">
        <f t="shared" si="12"/>
        <v>1810</v>
      </c>
      <c r="B137" s="6">
        <f t="shared" si="13"/>
        <v>2.5333333333333333E-4</v>
      </c>
      <c r="C137" s="9">
        <f t="shared" si="14"/>
        <v>0.97593333333333332</v>
      </c>
      <c r="D137" s="9">
        <f t="shared" si="15"/>
        <v>3.1666666666666665E-4</v>
      </c>
      <c r="E137" s="9">
        <f t="shared" si="16"/>
        <v>8.4444444444444443E-4</v>
      </c>
    </row>
    <row r="138" spans="1:5" x14ac:dyDescent="0.25">
      <c r="A138" s="2">
        <f t="shared" si="12"/>
        <v>1820</v>
      </c>
      <c r="B138" s="6">
        <f t="shared" si="13"/>
        <v>2.4000000000000001E-4</v>
      </c>
      <c r="C138" s="9">
        <f t="shared" si="14"/>
        <v>0.97840000000000005</v>
      </c>
      <c r="D138" s="9">
        <f t="shared" si="15"/>
        <v>2.9999999999999997E-4</v>
      </c>
      <c r="E138" s="9">
        <f t="shared" si="16"/>
        <v>8.0000000000000004E-4</v>
      </c>
    </row>
    <row r="139" spans="1:5" x14ac:dyDescent="0.25">
      <c r="A139" s="2">
        <f t="shared" si="12"/>
        <v>1830</v>
      </c>
      <c r="B139" s="6">
        <f t="shared" si="13"/>
        <v>2.2666666666666666E-4</v>
      </c>
      <c r="C139" s="9">
        <f t="shared" si="14"/>
        <v>0.98073333333333335</v>
      </c>
      <c r="D139" s="9">
        <f t="shared" si="15"/>
        <v>2.8333333333333335E-4</v>
      </c>
      <c r="E139" s="9">
        <f t="shared" si="16"/>
        <v>7.5555555555555554E-4</v>
      </c>
    </row>
    <row r="140" spans="1:5" x14ac:dyDescent="0.25">
      <c r="A140" s="2">
        <f t="shared" si="12"/>
        <v>1840</v>
      </c>
      <c r="B140" s="6">
        <f t="shared" si="13"/>
        <v>2.1333333333333333E-4</v>
      </c>
      <c r="C140" s="9">
        <f t="shared" si="14"/>
        <v>0.98293333333333333</v>
      </c>
      <c r="D140" s="9">
        <f t="shared" si="15"/>
        <v>2.6666666666666668E-4</v>
      </c>
      <c r="E140" s="9">
        <f t="shared" si="16"/>
        <v>7.1111111111111115E-4</v>
      </c>
    </row>
    <row r="141" spans="1:5" x14ac:dyDescent="0.25">
      <c r="A141" s="2">
        <f t="shared" si="12"/>
        <v>1850</v>
      </c>
      <c r="B141" s="6">
        <f t="shared" si="13"/>
        <v>2.0000000000000001E-4</v>
      </c>
      <c r="C141" s="9">
        <f t="shared" si="14"/>
        <v>0.98499999999999999</v>
      </c>
      <c r="D141" s="9">
        <f t="shared" si="15"/>
        <v>2.5000000000000001E-4</v>
      </c>
      <c r="E141" s="9">
        <f t="shared" si="16"/>
        <v>6.6666666666666664E-4</v>
      </c>
    </row>
    <row r="142" spans="1:5" x14ac:dyDescent="0.25">
      <c r="A142" s="2">
        <f t="shared" si="12"/>
        <v>1860</v>
      </c>
      <c r="B142" s="6">
        <f t="shared" si="13"/>
        <v>1.8666666666666666E-4</v>
      </c>
      <c r="C142" s="9">
        <f t="shared" si="14"/>
        <v>0.98693333333333333</v>
      </c>
      <c r="D142" s="9">
        <f t="shared" si="15"/>
        <v>2.3333333333333333E-4</v>
      </c>
      <c r="E142" s="9">
        <f t="shared" si="16"/>
        <v>6.2222222222222225E-4</v>
      </c>
    </row>
    <row r="143" spans="1:5" x14ac:dyDescent="0.25">
      <c r="A143" s="2">
        <f t="shared" ref="A143:A153" si="17">+A142+10</f>
        <v>1870</v>
      </c>
      <c r="B143" s="6">
        <f t="shared" si="13"/>
        <v>1.7333333333333334E-4</v>
      </c>
      <c r="C143" s="9">
        <f t="shared" si="14"/>
        <v>0.98873333333333335</v>
      </c>
      <c r="D143" s="9">
        <f t="shared" si="15"/>
        <v>2.1666666666666666E-4</v>
      </c>
      <c r="E143" s="9">
        <f t="shared" si="16"/>
        <v>5.7777777777777775E-4</v>
      </c>
    </row>
    <row r="144" spans="1:5" x14ac:dyDescent="0.25">
      <c r="A144" s="2">
        <f t="shared" si="17"/>
        <v>1880</v>
      </c>
      <c r="B144" s="6">
        <f t="shared" si="13"/>
        <v>1.6000000000000001E-4</v>
      </c>
      <c r="C144" s="9">
        <f t="shared" si="14"/>
        <v>0.99039999999999995</v>
      </c>
      <c r="D144" s="9">
        <f t="shared" si="15"/>
        <v>2.0000000000000001E-4</v>
      </c>
      <c r="E144" s="9">
        <f t="shared" si="16"/>
        <v>5.3333333333333336E-4</v>
      </c>
    </row>
    <row r="145" spans="1:5" x14ac:dyDescent="0.25">
      <c r="A145" s="2">
        <f t="shared" si="17"/>
        <v>1890</v>
      </c>
      <c r="B145" s="6">
        <f t="shared" si="13"/>
        <v>1.4666666666666666E-4</v>
      </c>
      <c r="C145" s="9">
        <f t="shared" si="14"/>
        <v>0.99193333333333333</v>
      </c>
      <c r="D145" s="9">
        <f t="shared" si="15"/>
        <v>1.8333333333333334E-4</v>
      </c>
      <c r="E145" s="9">
        <f t="shared" si="16"/>
        <v>4.8888888888888886E-4</v>
      </c>
    </row>
    <row r="146" spans="1:5" x14ac:dyDescent="0.25">
      <c r="A146" s="2">
        <f t="shared" si="17"/>
        <v>1900</v>
      </c>
      <c r="B146" s="6">
        <f t="shared" si="13"/>
        <v>1.3333333333333334E-4</v>
      </c>
      <c r="C146" s="9">
        <f t="shared" si="14"/>
        <v>0.99333333333333329</v>
      </c>
      <c r="D146" s="9">
        <f t="shared" si="15"/>
        <v>1.6666666666666666E-4</v>
      </c>
      <c r="E146" s="9">
        <f t="shared" si="16"/>
        <v>4.4444444444444447E-4</v>
      </c>
    </row>
    <row r="147" spans="1:5" x14ac:dyDescent="0.25">
      <c r="A147" s="2">
        <f t="shared" si="17"/>
        <v>1910</v>
      </c>
      <c r="B147" s="6">
        <f t="shared" si="13"/>
        <v>1.2E-4</v>
      </c>
      <c r="C147" s="9">
        <f t="shared" si="14"/>
        <v>0.99460000000000004</v>
      </c>
      <c r="D147" s="9">
        <f t="shared" si="15"/>
        <v>1.4999999999999999E-4</v>
      </c>
      <c r="E147" s="9">
        <f t="shared" si="16"/>
        <v>4.0000000000000002E-4</v>
      </c>
    </row>
    <row r="148" spans="1:5" x14ac:dyDescent="0.25">
      <c r="A148" s="2">
        <f t="shared" si="17"/>
        <v>1920</v>
      </c>
      <c r="B148" s="6">
        <f t="shared" si="13"/>
        <v>1.0666666666666667E-4</v>
      </c>
      <c r="C148" s="9">
        <f t="shared" si="14"/>
        <v>0.99573333333333336</v>
      </c>
      <c r="D148" s="9">
        <f t="shared" si="15"/>
        <v>1.3333333333333334E-4</v>
      </c>
      <c r="E148" s="9">
        <f t="shared" si="16"/>
        <v>3.5555555555555557E-4</v>
      </c>
    </row>
    <row r="149" spans="1:5" x14ac:dyDescent="0.25">
      <c r="A149" s="2">
        <f t="shared" si="17"/>
        <v>1930</v>
      </c>
      <c r="B149" s="6">
        <f t="shared" si="13"/>
        <v>9.333333333333333E-5</v>
      </c>
      <c r="C149" s="9">
        <f t="shared" si="14"/>
        <v>0.99673333333333336</v>
      </c>
      <c r="D149" s="9">
        <f t="shared" si="15"/>
        <v>1.1666666666666667E-4</v>
      </c>
      <c r="E149" s="9">
        <f t="shared" si="16"/>
        <v>3.1111111111111113E-4</v>
      </c>
    </row>
    <row r="150" spans="1:5" x14ac:dyDescent="0.25">
      <c r="A150" s="2">
        <f t="shared" si="17"/>
        <v>1940</v>
      </c>
      <c r="B150" s="6">
        <f t="shared" si="13"/>
        <v>8.0000000000000007E-5</v>
      </c>
      <c r="C150" s="9">
        <f t="shared" si="14"/>
        <v>0.99760000000000004</v>
      </c>
      <c r="D150" s="9">
        <f t="shared" si="15"/>
        <v>1E-4</v>
      </c>
      <c r="E150" s="9">
        <f t="shared" si="16"/>
        <v>2.6666666666666668E-4</v>
      </c>
    </row>
    <row r="151" spans="1:5" x14ac:dyDescent="0.25">
      <c r="A151" s="2">
        <f t="shared" si="17"/>
        <v>1950</v>
      </c>
      <c r="B151" s="6">
        <f t="shared" si="13"/>
        <v>6.666666666666667E-5</v>
      </c>
      <c r="C151" s="9">
        <f t="shared" si="14"/>
        <v>0.99833333333333329</v>
      </c>
      <c r="D151" s="9">
        <f t="shared" si="15"/>
        <v>8.3333333333333331E-5</v>
      </c>
      <c r="E151" s="9">
        <f t="shared" si="16"/>
        <v>2.2222222222222223E-4</v>
      </c>
    </row>
    <row r="152" spans="1:5" x14ac:dyDescent="0.25">
      <c r="A152" s="2">
        <f t="shared" si="17"/>
        <v>1960</v>
      </c>
      <c r="B152" s="6">
        <f t="shared" si="13"/>
        <v>5.3333333333333333E-5</v>
      </c>
      <c r="C152" s="9">
        <f t="shared" si="14"/>
        <v>0.99893333333333334</v>
      </c>
      <c r="D152" s="9">
        <f t="shared" si="15"/>
        <v>6.666666666666667E-5</v>
      </c>
      <c r="E152" s="9">
        <f t="shared" si="16"/>
        <v>1.7777777777777779E-4</v>
      </c>
    </row>
    <row r="153" spans="1:5" x14ac:dyDescent="0.25">
      <c r="A153" s="2">
        <f t="shared" si="17"/>
        <v>1970</v>
      </c>
      <c r="B153" s="6">
        <f t="shared" si="13"/>
        <v>4.0000000000000003E-5</v>
      </c>
      <c r="C153" s="9">
        <f t="shared" si="14"/>
        <v>0.99939999999999996</v>
      </c>
      <c r="D153" s="9">
        <f t="shared" si="15"/>
        <v>5.0000000000000002E-5</v>
      </c>
      <c r="E153" s="9">
        <f t="shared" si="16"/>
        <v>1.3333333333333334E-4</v>
      </c>
    </row>
    <row r="154" spans="1:5" x14ac:dyDescent="0.25">
      <c r="A154" s="2">
        <f t="shared" ref="A154:A156" si="18">+A153+10</f>
        <v>1980</v>
      </c>
      <c r="B154" s="6">
        <f t="shared" si="13"/>
        <v>2.6666666666666667E-5</v>
      </c>
      <c r="C154" s="9">
        <f t="shared" si="14"/>
        <v>0.99973333333333336</v>
      </c>
      <c r="D154" s="9">
        <f t="shared" si="15"/>
        <v>3.3333333333333335E-5</v>
      </c>
      <c r="E154" s="9">
        <f t="shared" si="16"/>
        <v>8.8888888888888893E-5</v>
      </c>
    </row>
    <row r="155" spans="1:5" x14ac:dyDescent="0.25">
      <c r="A155" s="2">
        <f t="shared" si="18"/>
        <v>1990</v>
      </c>
      <c r="B155" s="6">
        <f t="shared" si="13"/>
        <v>1.3333333333333333E-5</v>
      </c>
      <c r="C155" s="9">
        <f t="shared" si="14"/>
        <v>0.99993333333333334</v>
      </c>
      <c r="D155" s="9">
        <f t="shared" si="15"/>
        <v>1.6666666666666667E-5</v>
      </c>
      <c r="E155" s="9">
        <f t="shared" si="16"/>
        <v>4.4444444444444447E-5</v>
      </c>
    </row>
    <row r="156" spans="1:5" x14ac:dyDescent="0.25">
      <c r="A156" s="2">
        <f t="shared" si="18"/>
        <v>2000</v>
      </c>
      <c r="B156" s="6">
        <f t="shared" si="13"/>
        <v>0</v>
      </c>
      <c r="C156" s="9">
        <f t="shared" si="14"/>
        <v>1</v>
      </c>
      <c r="D156" s="9">
        <f t="shared" si="15"/>
        <v>0</v>
      </c>
      <c r="E156" s="9">
        <f t="shared" si="16"/>
        <v>0</v>
      </c>
    </row>
    <row r="157" spans="1:5" x14ac:dyDescent="0.25">
      <c r="A157" s="2"/>
      <c r="B157" s="5"/>
    </row>
    <row r="158" spans="1:5" x14ac:dyDescent="0.25">
      <c r="A158" s="2"/>
      <c r="B158" s="5"/>
    </row>
    <row r="159" spans="1:5" x14ac:dyDescent="0.25">
      <c r="A159" s="2"/>
      <c r="B159" s="5"/>
    </row>
    <row r="160" spans="1:5" x14ac:dyDescent="0.25">
      <c r="A160" s="2"/>
      <c r="B160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4D13-75DB-4FE6-9CA7-FB31000A79FE}">
  <dimension ref="A1:C15"/>
  <sheetViews>
    <sheetView zoomScale="175" zoomScaleNormal="175" workbookViewId="0">
      <selection sqref="A1:B2"/>
    </sheetView>
  </sheetViews>
  <sheetFormatPr baseColWidth="10" defaultRowHeight="15" x14ac:dyDescent="0.25"/>
  <cols>
    <col min="1" max="1" width="13.42578125" bestFit="1" customWidth="1"/>
  </cols>
  <sheetData>
    <row r="1" spans="1:3" x14ac:dyDescent="0.25">
      <c r="A1" s="1" t="s">
        <v>16</v>
      </c>
      <c r="B1" s="2">
        <v>1000</v>
      </c>
    </row>
    <row r="2" spans="1:3" x14ac:dyDescent="0.25">
      <c r="A2" s="1" t="s">
        <v>18</v>
      </c>
      <c r="B2" s="2">
        <v>2000</v>
      </c>
    </row>
    <row r="4" spans="1:3" x14ac:dyDescent="0.25">
      <c r="A4" s="8" t="s">
        <v>4</v>
      </c>
      <c r="B4" s="8" t="s">
        <v>6</v>
      </c>
      <c r="C4" s="8" t="s">
        <v>9</v>
      </c>
    </row>
    <row r="5" spans="1:3" x14ac:dyDescent="0.25">
      <c r="A5" s="2">
        <f>+B1</f>
        <v>1000</v>
      </c>
      <c r="B5" s="16">
        <f>1/($B$2-$B$1)</f>
        <v>1E-3</v>
      </c>
      <c r="C5" s="9">
        <f>+(A5-$B$1)/($B$2-$B$1)</f>
        <v>0</v>
      </c>
    </row>
    <row r="6" spans="1:3" x14ac:dyDescent="0.25">
      <c r="A6" s="2">
        <f>+A5+100</f>
        <v>1100</v>
      </c>
      <c r="B6" s="16">
        <f t="shared" ref="B6:B15" si="0">1/($B$2-$B$1)</f>
        <v>1E-3</v>
      </c>
      <c r="C6" s="9">
        <f t="shared" ref="C6:C15" si="1">+(A6-$B$1)/($B$2-$B$1)</f>
        <v>0.1</v>
      </c>
    </row>
    <row r="7" spans="1:3" x14ac:dyDescent="0.25">
      <c r="A7" s="2">
        <f t="shared" ref="A7:A15" si="2">+A6+100</f>
        <v>1200</v>
      </c>
      <c r="B7" s="16">
        <f t="shared" si="0"/>
        <v>1E-3</v>
      </c>
      <c r="C7" s="9">
        <f t="shared" si="1"/>
        <v>0.2</v>
      </c>
    </row>
    <row r="8" spans="1:3" x14ac:dyDescent="0.25">
      <c r="A8" s="2">
        <f t="shared" si="2"/>
        <v>1300</v>
      </c>
      <c r="B8" s="16">
        <f t="shared" si="0"/>
        <v>1E-3</v>
      </c>
      <c r="C8" s="9">
        <f t="shared" si="1"/>
        <v>0.3</v>
      </c>
    </row>
    <row r="9" spans="1:3" x14ac:dyDescent="0.25">
      <c r="A9" s="2">
        <f t="shared" si="2"/>
        <v>1400</v>
      </c>
      <c r="B9" s="16">
        <f t="shared" si="0"/>
        <v>1E-3</v>
      </c>
      <c r="C9" s="9">
        <f t="shared" si="1"/>
        <v>0.4</v>
      </c>
    </row>
    <row r="10" spans="1:3" x14ac:dyDescent="0.25">
      <c r="A10" s="2">
        <f t="shared" si="2"/>
        <v>1500</v>
      </c>
      <c r="B10" s="16">
        <f t="shared" si="0"/>
        <v>1E-3</v>
      </c>
      <c r="C10" s="9">
        <f t="shared" si="1"/>
        <v>0.5</v>
      </c>
    </row>
    <row r="11" spans="1:3" x14ac:dyDescent="0.25">
      <c r="A11" s="2">
        <f t="shared" si="2"/>
        <v>1600</v>
      </c>
      <c r="B11" s="16">
        <f t="shared" si="0"/>
        <v>1E-3</v>
      </c>
      <c r="C11" s="9">
        <f t="shared" si="1"/>
        <v>0.6</v>
      </c>
    </row>
    <row r="12" spans="1:3" x14ac:dyDescent="0.25">
      <c r="A12" s="2">
        <f t="shared" si="2"/>
        <v>1700</v>
      </c>
      <c r="B12" s="16">
        <f t="shared" si="0"/>
        <v>1E-3</v>
      </c>
      <c r="C12" s="9">
        <f t="shared" si="1"/>
        <v>0.7</v>
      </c>
    </row>
    <row r="13" spans="1:3" x14ac:dyDescent="0.25">
      <c r="A13" s="2">
        <f t="shared" si="2"/>
        <v>1800</v>
      </c>
      <c r="B13" s="16">
        <f t="shared" si="0"/>
        <v>1E-3</v>
      </c>
      <c r="C13" s="9">
        <f t="shared" si="1"/>
        <v>0.8</v>
      </c>
    </row>
    <row r="14" spans="1:3" x14ac:dyDescent="0.25">
      <c r="A14" s="2">
        <f>+A13+100</f>
        <v>1900</v>
      </c>
      <c r="B14" s="16">
        <f t="shared" si="0"/>
        <v>1E-3</v>
      </c>
      <c r="C14" s="9">
        <f t="shared" si="1"/>
        <v>0.9</v>
      </c>
    </row>
    <row r="15" spans="1:3" x14ac:dyDescent="0.25">
      <c r="A15" s="2">
        <f t="shared" si="2"/>
        <v>2000</v>
      </c>
      <c r="B15" s="16">
        <f t="shared" si="0"/>
        <v>1E-3</v>
      </c>
      <c r="C15" s="9">
        <f t="shared" si="1"/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2C7C-5277-4EF8-9843-9B8822920B6C}">
  <dimension ref="A1:F595"/>
  <sheetViews>
    <sheetView workbookViewId="0">
      <selection activeCell="B7" sqref="B7"/>
    </sheetView>
  </sheetViews>
  <sheetFormatPr baseColWidth="10" defaultRowHeight="15" x14ac:dyDescent="0.25"/>
  <cols>
    <col min="3" max="4" width="14.7109375" customWidth="1"/>
  </cols>
  <sheetData>
    <row r="1" spans="1:6" x14ac:dyDescent="0.25">
      <c r="E1" s="8" t="s">
        <v>25</v>
      </c>
      <c r="F1" s="8" t="s">
        <v>4</v>
      </c>
    </row>
    <row r="2" spans="1:6" x14ac:dyDescent="0.25">
      <c r="E2" s="17">
        <v>0.6</v>
      </c>
      <c r="F2" s="18">
        <f>+LOGINV(E2,C4,C5)</f>
        <v>9.5195454720966008</v>
      </c>
    </row>
    <row r="4" spans="1:6" x14ac:dyDescent="0.25">
      <c r="A4" s="1" t="s">
        <v>0</v>
      </c>
      <c r="B4" s="3" t="s">
        <v>2</v>
      </c>
      <c r="C4" s="2">
        <v>2</v>
      </c>
      <c r="D4" s="2"/>
    </row>
    <row r="5" spans="1:6" x14ac:dyDescent="0.25">
      <c r="A5" s="1" t="s">
        <v>1</v>
      </c>
      <c r="B5" s="2" t="s">
        <v>3</v>
      </c>
      <c r="C5" s="2">
        <v>1</v>
      </c>
      <c r="D5" s="2"/>
    </row>
    <row r="6" spans="1:6" x14ac:dyDescent="0.25">
      <c r="A6" s="1"/>
      <c r="B6" s="8" t="s">
        <v>4</v>
      </c>
      <c r="C6" s="8" t="s">
        <v>6</v>
      </c>
      <c r="D6" s="8" t="s">
        <v>9</v>
      </c>
    </row>
    <row r="7" spans="1:6" x14ac:dyDescent="0.25">
      <c r="A7" s="1"/>
      <c r="B7" s="13">
        <v>0.01</v>
      </c>
      <c r="C7" s="9">
        <f>+_xlfn.LOGNORM.DIST(B7,$C$4,$C$5,FALSE)</f>
        <v>1.3401423019409554E-8</v>
      </c>
      <c r="D7" s="9">
        <f>+_xlfn.LOGNORM.DIST(B7,$C$4,$C$5,TRUE)</f>
        <v>1.9853047047540227E-11</v>
      </c>
    </row>
    <row r="8" spans="1:6" x14ac:dyDescent="0.25">
      <c r="B8" s="13">
        <f>+B7+0.001</f>
        <v>1.0999999999999999E-2</v>
      </c>
      <c r="C8" s="9">
        <f t="shared" ref="C8:C71" si="0">+_xlfn.LOGNORM.DIST(B8,$C$4,$C$5,FALSE)</f>
        <v>2.2761002614010115E-8</v>
      </c>
      <c r="D8" s="9">
        <f t="shared" ref="D8:D71" si="1">+_xlfn.LOGNORM.DIST(B8,$C$4,$C$5,TRUE)</f>
        <v>3.761043696259795E-11</v>
      </c>
    </row>
    <row r="9" spans="1:6" x14ac:dyDescent="0.25">
      <c r="B9" s="13">
        <f t="shared" ref="B9:B22" si="2">+B8+0.001</f>
        <v>1.2E-2</v>
      </c>
      <c r="C9" s="9">
        <f t="shared" si="0"/>
        <v>3.6623264339458599E-8</v>
      </c>
      <c r="D9" s="9">
        <f t="shared" si="1"/>
        <v>6.6873738232876297E-11</v>
      </c>
    </row>
    <row r="10" spans="1:6" x14ac:dyDescent="0.25">
      <c r="B10" s="13">
        <f t="shared" si="2"/>
        <v>1.3000000000000001E-2</v>
      </c>
      <c r="C10" s="9">
        <f t="shared" si="0"/>
        <v>5.6347605499221518E-8</v>
      </c>
      <c r="D10" s="9">
        <f t="shared" si="1"/>
        <v>1.1280879411308696E-10</v>
      </c>
    </row>
    <row r="11" spans="1:6" x14ac:dyDescent="0.25">
      <c r="B11" s="13">
        <f t="shared" si="2"/>
        <v>1.4000000000000002E-2</v>
      </c>
      <c r="C11" s="9">
        <f t="shared" si="0"/>
        <v>8.3490951683258807E-8</v>
      </c>
      <c r="D11" s="9">
        <f t="shared" si="1"/>
        <v>1.8203979029034817E-10</v>
      </c>
    </row>
    <row r="12" spans="1:6" x14ac:dyDescent="0.25">
      <c r="B12" s="13">
        <f t="shared" si="2"/>
        <v>1.5000000000000003E-2</v>
      </c>
      <c r="C12" s="9">
        <f t="shared" si="0"/>
        <v>1.1980445300026672E-7</v>
      </c>
      <c r="D12" s="9">
        <f t="shared" si="1"/>
        <v>2.8284531421172973E-10</v>
      </c>
    </row>
    <row r="13" spans="1:6" x14ac:dyDescent="0.25">
      <c r="B13" s="13">
        <f t="shared" si="2"/>
        <v>1.6000000000000004E-2</v>
      </c>
      <c r="C13" s="9">
        <f t="shared" si="0"/>
        <v>1.6722822914504034E-7</v>
      </c>
      <c r="D13" s="9">
        <f t="shared" si="1"/>
        <v>4.2535009524592736E-10</v>
      </c>
    </row>
    <row r="14" spans="1:6" x14ac:dyDescent="0.25">
      <c r="B14" s="13">
        <f t="shared" si="2"/>
        <v>1.7000000000000005E-2</v>
      </c>
      <c r="C14" s="9">
        <f t="shared" si="0"/>
        <v>2.2788460424083793E-7</v>
      </c>
      <c r="D14" s="9">
        <f t="shared" si="1"/>
        <v>6.2171070106164747E-10</v>
      </c>
    </row>
    <row r="15" spans="1:6" x14ac:dyDescent="0.25">
      <c r="B15" s="13">
        <f t="shared" si="2"/>
        <v>1.8000000000000006E-2</v>
      </c>
      <c r="C15" s="9">
        <f t="shared" si="0"/>
        <v>3.0407020276962614E-7</v>
      </c>
      <c r="D15" s="9">
        <f t="shared" si="1"/>
        <v>8.862938711590973E-10</v>
      </c>
    </row>
    <row r="16" spans="1:6" x14ac:dyDescent="0.25">
      <c r="B16" s="13">
        <f t="shared" si="2"/>
        <v>1.9000000000000006E-2</v>
      </c>
      <c r="C16" s="9">
        <f t="shared" si="0"/>
        <v>3.982472158214765E-7</v>
      </c>
      <c r="D16" s="9">
        <f t="shared" si="1"/>
        <v>1.2358465080953436E-9</v>
      </c>
    </row>
    <row r="17" spans="2:4" x14ac:dyDescent="0.25">
      <c r="B17" s="13">
        <f t="shared" si="2"/>
        <v>2.0000000000000007E-2</v>
      </c>
      <c r="C17" s="9">
        <f t="shared" si="0"/>
        <v>5.1303409287782768E-7</v>
      </c>
      <c r="D17" s="9">
        <f t="shared" si="1"/>
        <v>1.6896566284994522E-9</v>
      </c>
    </row>
    <row r="18" spans="2:4" x14ac:dyDescent="0.25">
      <c r="B18" s="13">
        <f t="shared" si="2"/>
        <v>2.1000000000000008E-2</v>
      </c>
      <c r="C18" s="9">
        <f t="shared" si="0"/>
        <v>6.5119586808708277E-7</v>
      </c>
      <c r="D18" s="9">
        <f t="shared" si="1"/>
        <v>2.2697048074383782E-9</v>
      </c>
    </row>
    <row r="19" spans="2:4" x14ac:dyDescent="0.25">
      <c r="B19" s="13">
        <f t="shared" si="2"/>
        <v>2.2000000000000009E-2</v>
      </c>
      <c r="C19" s="9">
        <f t="shared" si="0"/>
        <v>8.1563429080969876E-7</v>
      </c>
      <c r="D19" s="9">
        <f t="shared" si="1"/>
        <v>3.0008058385063796E-9</v>
      </c>
    </row>
    <row r="20" spans="2:4" x14ac:dyDescent="0.25">
      <c r="B20" s="13">
        <f t="shared" si="2"/>
        <v>2.300000000000001E-2</v>
      </c>
      <c r="C20" s="9">
        <f t="shared" si="0"/>
        <v>1.0093778972787314E-6</v>
      </c>
      <c r="D20" s="9">
        <f t="shared" si="1"/>
        <v>3.9107404848361807E-9</v>
      </c>
    </row>
    <row r="21" spans="2:4" x14ac:dyDescent="0.25">
      <c r="B21" s="13">
        <f t="shared" si="2"/>
        <v>2.4000000000000011E-2</v>
      </c>
      <c r="C21" s="9">
        <f t="shared" si="0"/>
        <v>1.2355721327044517E-6</v>
      </c>
      <c r="D21" s="9">
        <f t="shared" si="1"/>
        <v>5.0303773189010221E-9</v>
      </c>
    </row>
    <row r="22" spans="2:4" x14ac:dyDescent="0.25">
      <c r="B22" s="13">
        <f t="shared" si="2"/>
        <v>2.5000000000000012E-2</v>
      </c>
      <c r="C22" s="9">
        <f t="shared" si="0"/>
        <v>1.4974696102623434E-6</v>
      </c>
      <c r="D22" s="9">
        <f t="shared" si="1"/>
        <v>6.3937847465049279E-9</v>
      </c>
    </row>
    <row r="23" spans="2:4" x14ac:dyDescent="0.25">
      <c r="B23" s="13">
        <f t="shared" ref="B23:B33" si="3">+B22+0.1</f>
        <v>0.12500000000000003</v>
      </c>
      <c r="C23" s="9">
        <f t="shared" si="0"/>
        <v>7.7672931711207226E-4</v>
      </c>
      <c r="D23" s="9">
        <f t="shared" si="1"/>
        <v>2.257201003778653E-5</v>
      </c>
    </row>
    <row r="24" spans="2:4" x14ac:dyDescent="0.25">
      <c r="B24" s="13">
        <f t="shared" si="3"/>
        <v>0.22500000000000003</v>
      </c>
      <c r="C24" s="9">
        <f t="shared" si="0"/>
        <v>3.993406928242382E-3</v>
      </c>
      <c r="D24" s="9">
        <f t="shared" si="1"/>
        <v>2.400190358303976E-4</v>
      </c>
    </row>
    <row r="25" spans="2:4" x14ac:dyDescent="0.25">
      <c r="B25" s="13">
        <f t="shared" si="3"/>
        <v>0.32500000000000007</v>
      </c>
      <c r="C25" s="9">
        <f t="shared" si="0"/>
        <v>9.3303937640276148E-3</v>
      </c>
      <c r="D25" s="9">
        <f t="shared" si="1"/>
        <v>8.922642340681913E-4</v>
      </c>
    </row>
    <row r="26" spans="2:4" x14ac:dyDescent="0.25">
      <c r="B26" s="13">
        <f t="shared" si="3"/>
        <v>0.42500000000000004</v>
      </c>
      <c r="C26" s="9">
        <f t="shared" si="0"/>
        <v>1.5911918025046691E-2</v>
      </c>
      <c r="D26" s="9">
        <f t="shared" si="1"/>
        <v>2.1473325472008658E-3</v>
      </c>
    </row>
    <row r="27" spans="2:4" x14ac:dyDescent="0.25">
      <c r="B27" s="13">
        <f t="shared" si="3"/>
        <v>0.52500000000000002</v>
      </c>
      <c r="C27" s="9">
        <f t="shared" si="0"/>
        <v>2.3031474733389398E-2</v>
      </c>
      <c r="D27" s="9">
        <f t="shared" si="1"/>
        <v>4.0923138973606651E-3</v>
      </c>
    </row>
    <row r="28" spans="2:4" x14ac:dyDescent="0.25">
      <c r="B28" s="13">
        <f t="shared" si="3"/>
        <v>0.625</v>
      </c>
      <c r="C28" s="9">
        <f t="shared" si="0"/>
        <v>3.0215692564928582E-2</v>
      </c>
      <c r="D28" s="9">
        <f t="shared" si="1"/>
        <v>6.7555840692250816E-3</v>
      </c>
    </row>
    <row r="29" spans="2:4" x14ac:dyDescent="0.25">
      <c r="B29" s="13">
        <f t="shared" si="3"/>
        <v>0.72499999999999998</v>
      </c>
      <c r="C29" s="9">
        <f t="shared" si="0"/>
        <v>3.7170859517396966E-2</v>
      </c>
      <c r="D29" s="9">
        <f t="shared" si="1"/>
        <v>1.0127683253524557E-2</v>
      </c>
    </row>
    <row r="30" spans="2:4" x14ac:dyDescent="0.25">
      <c r="B30" s="13">
        <f t="shared" si="3"/>
        <v>0.82499999999999996</v>
      </c>
      <c r="C30" s="9">
        <f t="shared" si="0"/>
        <v>4.3725933962199419E-2</v>
      </c>
      <c r="D30" s="9">
        <f t="shared" si="1"/>
        <v>1.4176332229658866E-2</v>
      </c>
    </row>
    <row r="31" spans="2:4" x14ac:dyDescent="0.25">
      <c r="B31" s="13">
        <f t="shared" si="3"/>
        <v>0.92499999999999993</v>
      </c>
      <c r="C31" s="9">
        <f t="shared" si="0"/>
        <v>4.9790101705115899E-2</v>
      </c>
      <c r="D31" s="9">
        <f t="shared" si="1"/>
        <v>1.8856450742345692E-2</v>
      </c>
    </row>
    <row r="32" spans="2:4" x14ac:dyDescent="0.25">
      <c r="B32" s="13">
        <f t="shared" si="3"/>
        <v>1.0249999999999999</v>
      </c>
      <c r="C32" s="9">
        <f t="shared" si="0"/>
        <v>5.5323871927694321E-2</v>
      </c>
      <c r="D32" s="9">
        <f t="shared" si="1"/>
        <v>2.4116637703783556E-2</v>
      </c>
    </row>
    <row r="33" spans="2:4" x14ac:dyDescent="0.25">
      <c r="B33" s="13">
        <f t="shared" si="3"/>
        <v>1.125</v>
      </c>
      <c r="C33" s="9">
        <f t="shared" si="0"/>
        <v>6.0319978042916625E-2</v>
      </c>
      <c r="D33" s="9">
        <f t="shared" si="1"/>
        <v>2.9903281617004299E-2</v>
      </c>
    </row>
    <row r="34" spans="2:4" x14ac:dyDescent="0.25">
      <c r="B34" s="13">
        <f t="shared" ref="B34:B57" si="4">+B33+0.1</f>
        <v>1.2250000000000001</v>
      </c>
      <c r="C34" s="9">
        <f t="shared" si="0"/>
        <v>6.479089580771516E-2</v>
      </c>
      <c r="D34" s="9">
        <f t="shared" si="1"/>
        <v>3.6163114486676057E-2</v>
      </c>
    </row>
    <row r="35" spans="2:4" x14ac:dyDescent="0.25">
      <c r="B35" s="13">
        <f t="shared" si="4"/>
        <v>1.3250000000000002</v>
      </c>
      <c r="C35" s="9">
        <f t="shared" si="0"/>
        <v>6.8760724633655193E-2</v>
      </c>
      <c r="D35" s="9">
        <f t="shared" si="1"/>
        <v>4.2844750984288971E-2</v>
      </c>
    </row>
    <row r="36" spans="2:4" x14ac:dyDescent="0.25">
      <c r="B36" s="13">
        <f t="shared" si="4"/>
        <v>1.4250000000000003</v>
      </c>
      <c r="C36" s="9">
        <f t="shared" si="0"/>
        <v>7.225992752047504E-2</v>
      </c>
      <c r="D36" s="9">
        <f t="shared" si="1"/>
        <v>4.9899568733076223E-2</v>
      </c>
    </row>
    <row r="37" spans="2:4" x14ac:dyDescent="0.25">
      <c r="B37" s="13">
        <f t="shared" si="4"/>
        <v>1.5250000000000004</v>
      </c>
      <c r="C37" s="9">
        <f t="shared" si="0"/>
        <v>7.5321944108646052E-2</v>
      </c>
      <c r="D37" s="9">
        <f t="shared" si="1"/>
        <v>5.7282162805085884E-2</v>
      </c>
    </row>
    <row r="38" spans="2:4" x14ac:dyDescent="0.25">
      <c r="B38" s="13">
        <f t="shared" si="4"/>
        <v>1.6250000000000004</v>
      </c>
      <c r="C38" s="9">
        <f t="shared" si="0"/>
        <v>7.7981033897833771E-2</v>
      </c>
      <c r="D38" s="9">
        <f t="shared" si="1"/>
        <v>6.4950527315999373E-2</v>
      </c>
    </row>
    <row r="39" spans="2:4" x14ac:dyDescent="0.25">
      <c r="B39" s="13">
        <f t="shared" si="4"/>
        <v>1.7250000000000005</v>
      </c>
      <c r="C39" s="9">
        <f t="shared" si="0"/>
        <v>8.0270929197086047E-2</v>
      </c>
      <c r="D39" s="9">
        <f t="shared" si="1"/>
        <v>7.2866064636607747E-2</v>
      </c>
    </row>
    <row r="40" spans="2:4" x14ac:dyDescent="0.25">
      <c r="B40" s="13">
        <f t="shared" si="4"/>
        <v>1.8250000000000006</v>
      </c>
      <c r="C40" s="9">
        <f t="shared" si="0"/>
        <v>8.2224021555999421E-2</v>
      </c>
      <c r="D40" s="9">
        <f t="shared" si="1"/>
        <v>8.0993488424067353E-2</v>
      </c>
    </row>
    <row r="41" spans="2:4" x14ac:dyDescent="0.25">
      <c r="B41" s="13">
        <f t="shared" si="4"/>
        <v>1.9250000000000007</v>
      </c>
      <c r="C41" s="9">
        <f t="shared" si="0"/>
        <v>8.3870899167622942E-2</v>
      </c>
      <c r="D41" s="9">
        <f t="shared" si="1"/>
        <v>8.9300664071162231E-2</v>
      </c>
    </row>
    <row r="42" spans="2:4" x14ac:dyDescent="0.25">
      <c r="B42" s="13">
        <f t="shared" si="4"/>
        <v>2.0250000000000008</v>
      </c>
      <c r="C42" s="9">
        <f t="shared" si="0"/>
        <v>8.5240114045437729E-2</v>
      </c>
      <c r="D42" s="9">
        <f t="shared" si="1"/>
        <v>9.7758415200942236E-2</v>
      </c>
    </row>
    <row r="43" spans="2:4" x14ac:dyDescent="0.25">
      <c r="B43" s="13">
        <f t="shared" si="4"/>
        <v>2.1250000000000009</v>
      </c>
      <c r="C43" s="9">
        <f t="shared" si="0"/>
        <v>8.6358098155973798E-2</v>
      </c>
      <c r="D43" s="9">
        <f t="shared" si="1"/>
        <v>0.10634031487220606</v>
      </c>
    </row>
    <row r="44" spans="2:4" x14ac:dyDescent="0.25">
      <c r="B44" s="13">
        <f t="shared" si="4"/>
        <v>2.225000000000001</v>
      </c>
      <c r="C44" s="9">
        <f t="shared" si="0"/>
        <v>8.7249174468273627E-2</v>
      </c>
      <c r="D44" s="9">
        <f t="shared" si="1"/>
        <v>0.11502247350904897</v>
      </c>
    </row>
    <row r="45" spans="2:4" x14ac:dyDescent="0.25">
      <c r="B45" s="13">
        <f t="shared" si="4"/>
        <v>2.3250000000000011</v>
      </c>
      <c r="C45" s="9">
        <f t="shared" si="0"/>
        <v>8.7935626758084404E-2</v>
      </c>
      <c r="D45" s="9">
        <f t="shared" si="1"/>
        <v>0.12378333111722549</v>
      </c>
    </row>
    <row r="46" spans="2:4" x14ac:dyDescent="0.25">
      <c r="B46" s="13">
        <f t="shared" si="4"/>
        <v>2.4250000000000012</v>
      </c>
      <c r="C46" s="9">
        <f t="shared" si="0"/>
        <v>8.8437804006930548E-2</v>
      </c>
      <c r="D46" s="9">
        <f t="shared" si="1"/>
        <v>0.13260345837346027</v>
      </c>
    </row>
    <row r="47" spans="2:4" x14ac:dyDescent="0.25">
      <c r="B47" s="13">
        <f t="shared" si="4"/>
        <v>2.5250000000000012</v>
      </c>
      <c r="C47" s="9">
        <f t="shared" si="0"/>
        <v>8.8774243332576358E-2</v>
      </c>
      <c r="D47" s="9">
        <f t="shared" si="1"/>
        <v>0.14146536918902594</v>
      </c>
    </row>
    <row r="48" spans="2:4" x14ac:dyDescent="0.25">
      <c r="B48" s="13">
        <f t="shared" si="4"/>
        <v>2.6250000000000013</v>
      </c>
      <c r="C48" s="9">
        <f t="shared" si="0"/>
        <v>8.8961800867945459E-2</v>
      </c>
      <c r="D48" s="9">
        <f t="shared" si="1"/>
        <v>0.15035334603430472</v>
      </c>
    </row>
    <row r="49" spans="2:4" x14ac:dyDescent="0.25">
      <c r="B49" s="13">
        <f t="shared" si="4"/>
        <v>2.7250000000000014</v>
      </c>
      <c r="C49" s="9">
        <f t="shared" si="0"/>
        <v>8.9015783722839595E-2</v>
      </c>
      <c r="D49" s="9">
        <f t="shared" si="1"/>
        <v>0.15925327845059911</v>
      </c>
    </row>
    <row r="50" spans="2:4" x14ac:dyDescent="0.25">
      <c r="B50" s="13">
        <f t="shared" si="4"/>
        <v>2.8250000000000015</v>
      </c>
      <c r="C50" s="9">
        <f t="shared" si="0"/>
        <v>8.8950078684635336E-2</v>
      </c>
      <c r="D50" s="9">
        <f t="shared" si="1"/>
        <v>0.16815251462313216</v>
      </c>
    </row>
    <row r="51" spans="2:4" x14ac:dyDescent="0.25">
      <c r="B51" s="13">
        <f t="shared" si="4"/>
        <v>2.9250000000000016</v>
      </c>
      <c r="C51" s="9">
        <f t="shared" si="0"/>
        <v>8.8777275021595214E-2</v>
      </c>
      <c r="D51" s="9">
        <f t="shared" si="1"/>
        <v>0.17703972554572686</v>
      </c>
    </row>
    <row r="52" spans="2:4" x14ac:dyDescent="0.25">
      <c r="B52" s="13">
        <f t="shared" si="4"/>
        <v>3.0250000000000017</v>
      </c>
      <c r="C52" s="9">
        <f t="shared" si="0"/>
        <v>8.8508779902985668E-2</v>
      </c>
      <c r="D52" s="9">
        <f t="shared" si="1"/>
        <v>0.18590478110535891</v>
      </c>
    </row>
    <row r="53" spans="2:4" x14ac:dyDescent="0.25">
      <c r="B53" s="13">
        <f t="shared" si="4"/>
        <v>3.1250000000000018</v>
      </c>
      <c r="C53" s="9">
        <f t="shared" si="0"/>
        <v>8.8154925718919308E-2</v>
      </c>
      <c r="D53" s="9">
        <f t="shared" si="1"/>
        <v>0.19473863730724322</v>
      </c>
    </row>
    <row r="54" spans="2:4" x14ac:dyDescent="0.25">
      <c r="B54" s="13">
        <f t="shared" si="4"/>
        <v>3.2250000000000019</v>
      </c>
      <c r="C54" s="9">
        <f t="shared" si="0"/>
        <v>8.7725069089428953E-2</v>
      </c>
      <c r="D54" s="9">
        <f t="shared" si="1"/>
        <v>0.20353323381653532</v>
      </c>
    </row>
    <row r="55" spans="2:4" x14ac:dyDescent="0.25">
      <c r="B55" s="13">
        <f t="shared" si="4"/>
        <v>3.325000000000002</v>
      </c>
      <c r="C55" s="9">
        <f t="shared" si="0"/>
        <v>8.7227681678952881E-2</v>
      </c>
      <c r="D55" s="9">
        <f t="shared" si="1"/>
        <v>0.21228140098924031</v>
      </c>
    </row>
    <row r="56" spans="2:4" x14ac:dyDescent="0.25">
      <c r="B56" s="13">
        <f t="shared" si="4"/>
        <v>3.425000000000002</v>
      </c>
      <c r="C56" s="9">
        <f t="shared" si="0"/>
        <v>8.6670433135878841E-2</v>
      </c>
      <c r="D56" s="9">
        <f t="shared" si="1"/>
        <v>0.22097677558755754</v>
      </c>
    </row>
    <row r="57" spans="2:4" x14ac:dyDescent="0.25">
      <c r="B57" s="13">
        <f t="shared" si="4"/>
        <v>3.5250000000000021</v>
      </c>
      <c r="C57" s="9">
        <f t="shared" si="0"/>
        <v>8.6060266596269072E-2</v>
      </c>
      <c r="D57" s="9">
        <f t="shared" si="1"/>
        <v>0.22961372441339808</v>
      </c>
    </row>
    <row r="58" spans="2:4" x14ac:dyDescent="0.25">
      <c r="B58" s="13">
        <f t="shared" ref="B58:B121" si="5">+B57+0.1</f>
        <v>3.6250000000000022</v>
      </c>
      <c r="C58" s="9">
        <f t="shared" si="0"/>
        <v>8.5403467253565235E-2</v>
      </c>
      <c r="D58" s="9">
        <f t="shared" si="1"/>
        <v>0.23818727514124224</v>
      </c>
    </row>
    <row r="59" spans="2:4" x14ac:dyDescent="0.25">
      <c r="B59" s="13">
        <f t="shared" si="5"/>
        <v>3.7250000000000023</v>
      </c>
      <c r="C59" s="9">
        <f t="shared" si="0"/>
        <v>8.4705724520797249E-2</v>
      </c>
      <c r="D59" s="9">
        <f t="shared" si="1"/>
        <v>0.24669305368317607</v>
      </c>
    </row>
    <row r="60" spans="2:4" x14ac:dyDescent="0.25">
      <c r="B60" s="13">
        <f t="shared" si="5"/>
        <v>3.8250000000000024</v>
      </c>
      <c r="C60" s="9">
        <f t="shared" si="0"/>
        <v>8.3972188311667528E-2</v>
      </c>
      <c r="D60" s="9">
        <f t="shared" si="1"/>
        <v>0.25512722747175398</v>
      </c>
    </row>
    <row r="61" spans="2:4" x14ac:dyDescent="0.25">
      <c r="B61" s="13">
        <f t="shared" si="5"/>
        <v>3.9250000000000025</v>
      </c>
      <c r="C61" s="9">
        <f t="shared" si="0"/>
        <v>8.3207519950885198E-2</v>
      </c>
      <c r="D61" s="9">
        <f t="shared" si="1"/>
        <v>0.26348645409827409</v>
      </c>
    </row>
    <row r="62" spans="2:4" x14ac:dyDescent="0.25">
      <c r="B62" s="13">
        <f t="shared" si="5"/>
        <v>4.0250000000000021</v>
      </c>
      <c r="C62" s="9">
        <f t="shared" si="0"/>
        <v>8.2415938198512839E-2</v>
      </c>
      <c r="D62" s="9">
        <f t="shared" si="1"/>
        <v>0.27176783479387306</v>
      </c>
    </row>
    <row r="63" spans="2:4" x14ac:dyDescent="0.25">
      <c r="B63" s="13">
        <f t="shared" si="5"/>
        <v>4.1250000000000018</v>
      </c>
      <c r="C63" s="9">
        <f t="shared" si="0"/>
        <v>8.1601260842109391E-2</v>
      </c>
      <c r="D63" s="9">
        <f t="shared" si="1"/>
        <v>0.27996887228779915</v>
      </c>
    </row>
    <row r="64" spans="2:4" x14ac:dyDescent="0.25">
      <c r="B64" s="13">
        <f t="shared" si="5"/>
        <v>4.2250000000000014</v>
      </c>
      <c r="C64" s="9">
        <f t="shared" si="0"/>
        <v>8.0766942276988163E-2</v>
      </c>
      <c r="D64" s="9">
        <f t="shared" si="1"/>
        <v>0.28808743262094705</v>
      </c>
    </row>
    <row r="65" spans="2:4" x14ac:dyDescent="0.25">
      <c r="B65" s="13">
        <f t="shared" si="5"/>
        <v>4.3250000000000011</v>
      </c>
      <c r="C65" s="9">
        <f t="shared" si="0"/>
        <v>7.9916107460864652E-2</v>
      </c>
      <c r="D65" s="9">
        <f t="shared" si="1"/>
        <v>0.29612171053305758</v>
      </c>
    </row>
    <row r="66" spans="2:4" x14ac:dyDescent="0.25">
      <c r="B66" s="13">
        <f t="shared" si="5"/>
        <v>4.4250000000000007</v>
      </c>
      <c r="C66" s="9">
        <f t="shared" si="0"/>
        <v>7.9051582595797629E-2</v>
      </c>
      <c r="D66" s="9">
        <f t="shared" si="1"/>
        <v>0.3040701980789432</v>
      </c>
    </row>
    <row r="67" spans="2:4" x14ac:dyDescent="0.25">
      <c r="B67" s="13">
        <f t="shared" si="5"/>
        <v>4.5250000000000004</v>
      </c>
      <c r="C67" s="9">
        <f t="shared" si="0"/>
        <v>7.817592285838891E-2</v>
      </c>
      <c r="D67" s="9">
        <f t="shared" si="1"/>
        <v>0.31193165616277363</v>
      </c>
    </row>
    <row r="68" spans="2:4" x14ac:dyDescent="0.25">
      <c r="B68" s="13">
        <f t="shared" si="5"/>
        <v>4.625</v>
      </c>
      <c r="C68" s="9">
        <f t="shared" si="0"/>
        <v>7.7291437469168445E-2</v>
      </c>
      <c r="D68" s="9">
        <f t="shared" si="1"/>
        <v>0.31970508871003578</v>
      </c>
    </row>
    <row r="69" spans="2:4" x14ac:dyDescent="0.25">
      <c r="B69" s="13">
        <f t="shared" si="5"/>
        <v>4.7249999999999996</v>
      </c>
      <c r="C69" s="9">
        <f t="shared" si="0"/>
        <v>7.6400212364177031E-2</v>
      </c>
      <c r="D69" s="9">
        <f t="shared" si="1"/>
        <v>0.32738971922446158</v>
      </c>
    </row>
    <row r="70" spans="2:4" x14ac:dyDescent="0.25">
      <c r="B70" s="13">
        <f t="shared" si="5"/>
        <v>4.8249999999999993</v>
      </c>
      <c r="C70" s="9">
        <f t="shared" si="0"/>
        <v>7.5504130706051539E-2</v>
      </c>
      <c r="D70" s="9">
        <f t="shared" si="1"/>
        <v>0.33498496950221168</v>
      </c>
    </row>
    <row r="71" spans="2:4" x14ac:dyDescent="0.25">
      <c r="B71" s="13">
        <f t="shared" si="5"/>
        <v>4.9249999999999989</v>
      </c>
      <c r="C71" s="9">
        <f t="shared" si="0"/>
        <v>7.4604891448414548E-2</v>
      </c>
      <c r="D71" s="9">
        <f t="shared" si="1"/>
        <v>0.34249044029814474</v>
      </c>
    </row>
    <row r="72" spans="2:4" x14ac:dyDescent="0.25">
      <c r="B72" s="13">
        <f t="shared" si="5"/>
        <v>5.0249999999999986</v>
      </c>
      <c r="C72" s="9">
        <f t="shared" ref="C72:C135" si="6">+_xlfn.LOGNORM.DIST(B72,$C$4,$C$5,FALSE)</f>
        <v>7.3704026145981802E-2</v>
      </c>
      <c r="D72" s="9">
        <f t="shared" ref="D72:D135" si="7">+_xlfn.LOGNORM.DIST(B72,$C$4,$C$5,TRUE)</f>
        <v>0.34990589375929093</v>
      </c>
    </row>
    <row r="73" spans="2:4" x14ac:dyDescent="0.25">
      <c r="B73" s="13">
        <f t="shared" si="5"/>
        <v>5.1249999999999982</v>
      </c>
      <c r="C73" s="9">
        <f t="shared" si="6"/>
        <v>7.2802914183424619E-2</v>
      </c>
      <c r="D73" s="9">
        <f t="shared" si="7"/>
        <v>0.35723123745890811</v>
      </c>
    </row>
    <row r="74" spans="2:4" x14ac:dyDescent="0.25">
      <c r="B74" s="13">
        <f t="shared" si="5"/>
        <v>5.2249999999999979</v>
      </c>
      <c r="C74" s="9">
        <f t="shared" si="6"/>
        <v>7.1902796578519834E-2</v>
      </c>
      <c r="D74" s="9">
        <f t="shared" si="7"/>
        <v>0.36446650988091067</v>
      </c>
    </row>
    <row r="75" spans="2:4" x14ac:dyDescent="0.25">
      <c r="B75" s="13">
        <f t="shared" si="5"/>
        <v>5.3249999999999975</v>
      </c>
      <c r="C75" s="9">
        <f t="shared" si="6"/>
        <v>7.1004788499346716E-2</v>
      </c>
      <c r="D75" s="9">
        <f t="shared" si="7"/>
        <v>0.37161186721921241</v>
      </c>
    </row>
    <row r="76" spans="2:4" x14ac:dyDescent="0.25">
      <c r="B76" s="13">
        <f t="shared" si="5"/>
        <v>5.4249999999999972</v>
      </c>
      <c r="C76" s="9">
        <f t="shared" si="6"/>
        <v>7.0109890621100374E-2</v>
      </c>
      <c r="D76" s="9">
        <f t="shared" si="7"/>
        <v>0.37866757136977885</v>
      </c>
    </row>
    <row r="77" spans="2:4" x14ac:dyDescent="0.25">
      <c r="B77" s="13">
        <f t="shared" si="5"/>
        <v>5.5249999999999968</v>
      </c>
      <c r="C77" s="9">
        <f t="shared" si="6"/>
        <v>6.9218999435344417E-2</v>
      </c>
      <c r="D77" s="9">
        <f t="shared" si="7"/>
        <v>0.38563397900509205</v>
      </c>
    </row>
    <row r="78" spans="2:4" x14ac:dyDescent="0.25">
      <c r="B78" s="13">
        <f t="shared" si="5"/>
        <v>5.6249999999999964</v>
      </c>
      <c r="C78" s="9">
        <f t="shared" si="6"/>
        <v>6.833291661308824E-2</v>
      </c>
      <c r="D78" s="9">
        <f t="shared" si="7"/>
        <v>0.39251153163143171</v>
      </c>
    </row>
    <row r="79" spans="2:4" x14ac:dyDescent="0.25">
      <c r="B79" s="13">
        <f t="shared" si="5"/>
        <v>5.7249999999999961</v>
      </c>
      <c r="C79" s="9">
        <f t="shared" si="6"/>
        <v>6.7452357512814254E-2</v>
      </c>
      <c r="D79" s="9">
        <f t="shared" si="7"/>
        <v>0.39930074653899178</v>
      </c>
    </row>
    <row r="80" spans="2:4" x14ac:dyDescent="0.25">
      <c r="B80" s="13">
        <f t="shared" si="5"/>
        <v>5.8249999999999957</v>
      </c>
      <c r="C80" s="9">
        <f t="shared" si="6"/>
        <v>6.6577958915386412E-2</v>
      </c>
      <c r="D80" s="9">
        <f t="shared" si="7"/>
        <v>0.406002208563497</v>
      </c>
    </row>
    <row r="81" spans="2:4" x14ac:dyDescent="0.25">
      <c r="B81" s="13">
        <f t="shared" si="5"/>
        <v>5.9249999999999954</v>
      </c>
      <c r="C81" s="9">
        <f t="shared" si="6"/>
        <v>6.5710286059532247E-2</v>
      </c>
      <c r="D81" s="9">
        <f t="shared" si="7"/>
        <v>0.41261656258575663</v>
      </c>
    </row>
    <row r="82" spans="2:4" x14ac:dyDescent="0.25">
      <c r="B82" s="13">
        <f t="shared" si="5"/>
        <v>6.024999999999995</v>
      </c>
      <c r="C82" s="9">
        <f t="shared" si="6"/>
        <v>6.484983904420645E-2</v>
      </c>
      <c r="D82" s="9">
        <f t="shared" si="7"/>
        <v>0.41914450670258668</v>
      </c>
    </row>
    <row r="83" spans="2:4" x14ac:dyDescent="0.25">
      <c r="B83" s="13">
        <f t="shared" si="5"/>
        <v>6.1249999999999947</v>
      </c>
      <c r="C83" s="9">
        <f t="shared" si="6"/>
        <v>6.3997058657529429E-2</v>
      </c>
      <c r="D83" s="9">
        <f t="shared" si="7"/>
        <v>0.42558678600882566</v>
      </c>
    </row>
    <row r="84" spans="2:4" x14ac:dyDescent="0.25">
      <c r="B84" s="13">
        <f t="shared" si="5"/>
        <v>6.2249999999999943</v>
      </c>
      <c r="C84" s="9">
        <f t="shared" si="6"/>
        <v>6.3152331686066904E-2</v>
      </c>
      <c r="D84" s="9">
        <f t="shared" si="7"/>
        <v>0.43194418693583597</v>
      </c>
    </row>
    <row r="85" spans="2:4" x14ac:dyDescent="0.25">
      <c r="B85" s="13">
        <f t="shared" si="5"/>
        <v>6.324999999999994</v>
      </c>
      <c r="C85" s="9">
        <f t="shared" si="6"/>
        <v>6.2315995752900803E-2</v>
      </c>
      <c r="D85" s="9">
        <f t="shared" si="7"/>
        <v>0.43821753209698977</v>
      </c>
    </row>
    <row r="86" spans="2:4" x14ac:dyDescent="0.25">
      <c r="B86" s="13">
        <f t="shared" si="5"/>
        <v>6.4249999999999936</v>
      </c>
      <c r="C86" s="9">
        <f t="shared" si="6"/>
        <v>6.1488343728180288E-2</v>
      </c>
      <c r="D86" s="9">
        <f t="shared" si="7"/>
        <v>0.44440767559524047</v>
      </c>
    </row>
    <row r="87" spans="2:4" x14ac:dyDescent="0.25">
      <c r="B87" s="13">
        <f t="shared" si="5"/>
        <v>6.5249999999999932</v>
      </c>
      <c r="C87" s="9">
        <f t="shared" si="6"/>
        <v>6.0669627751565168E-2</v>
      </c>
      <c r="D87" s="9">
        <f t="shared" si="7"/>
        <v>0.45051549875203206</v>
      </c>
    </row>
    <row r="88" spans="2:4" x14ac:dyDescent="0.25">
      <c r="B88" s="13">
        <f t="shared" si="5"/>
        <v>6.6249999999999929</v>
      </c>
      <c r="C88" s="9">
        <f t="shared" si="6"/>
        <v>5.986006290214322E-2</v>
      </c>
      <c r="D88" s="9">
        <f t="shared" si="7"/>
        <v>0.45654190622054486</v>
      </c>
    </row>
    <row r="89" spans="2:4" x14ac:dyDescent="0.25">
      <c r="B89" s="13">
        <f t="shared" si="5"/>
        <v>6.7249999999999925</v>
      </c>
      <c r="C89" s="9">
        <f t="shared" si="6"/>
        <v>5.9059830547956348E-2</v>
      </c>
      <c r="D89" s="9">
        <f t="shared" si="7"/>
        <v>0.46248782244965891</v>
      </c>
    </row>
    <row r="90" spans="2:4" x14ac:dyDescent="0.25">
      <c r="B90" s="13">
        <f t="shared" si="5"/>
        <v>6.8249999999999922</v>
      </c>
      <c r="C90" s="9">
        <f t="shared" si="6"/>
        <v>5.8269081404183305E-2</v>
      </c>
      <c r="D90" s="9">
        <f t="shared" si="7"/>
        <v>0.46835418846807331</v>
      </c>
    </row>
    <row r="91" spans="2:4" x14ac:dyDescent="0.25">
      <c r="B91" s="13">
        <f t="shared" si="5"/>
        <v>6.9249999999999918</v>
      </c>
      <c r="C91" s="9">
        <f t="shared" si="6"/>
        <v>5.7487938326244672E-2</v>
      </c>
      <c r="D91" s="9">
        <f t="shared" si="7"/>
        <v>0.47414195896078087</v>
      </c>
    </row>
    <row r="92" spans="2:4" x14ac:dyDescent="0.25">
      <c r="B92" s="13">
        <f t="shared" si="5"/>
        <v>7.0249999999999915</v>
      </c>
      <c r="C92" s="9">
        <f t="shared" si="6"/>
        <v>5.6716498861599414E-2</v>
      </c>
      <c r="D92" s="9">
        <f t="shared" si="7"/>
        <v>0.47985209961260095</v>
      </c>
    </row>
    <row r="93" spans="2:4" x14ac:dyDescent="0.25">
      <c r="B93" s="13">
        <f t="shared" si="5"/>
        <v>7.1249999999999911</v>
      </c>
      <c r="C93" s="9">
        <f t="shared" si="6"/>
        <v>5.5954837581755165E-2</v>
      </c>
      <c r="D93" s="9">
        <f t="shared" si="7"/>
        <v>0.48548558469573028</v>
      </c>
    </row>
    <row r="94" spans="2:4" x14ac:dyDescent="0.25">
      <c r="B94" s="13">
        <f t="shared" si="5"/>
        <v>7.2249999999999908</v>
      </c>
      <c r="C94" s="9">
        <f t="shared" si="6"/>
        <v>5.5203008213989699E-2</v>
      </c>
      <c r="D94" s="9">
        <f t="shared" si="7"/>
        <v>0.49104339488032711</v>
      </c>
    </row>
    <row r="95" spans="2:4" x14ac:dyDescent="0.25">
      <c r="B95" s="13">
        <f t="shared" si="5"/>
        <v>7.3249999999999904</v>
      </c>
      <c r="C95" s="9">
        <f t="shared" si="6"/>
        <v>5.4461045590460833E-2</v>
      </c>
      <c r="D95" s="9">
        <f t="shared" si="7"/>
        <v>0.4965265152489966</v>
      </c>
    </row>
    <row r="96" spans="2:4" x14ac:dyDescent="0.25">
      <c r="B96" s="13">
        <f t="shared" si="5"/>
        <v>7.4249999999999901</v>
      </c>
      <c r="C96" s="9">
        <f t="shared" si="6"/>
        <v>5.3728967430737989E-2</v>
      </c>
      <c r="D96" s="9">
        <f t="shared" si="7"/>
        <v>0.50193593349773002</v>
      </c>
    </row>
    <row r="97" spans="2:4" x14ac:dyDescent="0.25">
      <c r="B97" s="13">
        <f t="shared" si="5"/>
        <v>7.5249999999999897</v>
      </c>
      <c r="C97" s="9">
        <f t="shared" si="6"/>
        <v>5.3006775972308774E-2</v>
      </c>
      <c r="D97" s="9">
        <f t="shared" si="7"/>
        <v>0.50727263830738223</v>
      </c>
    </row>
    <row r="98" spans="2:4" x14ac:dyDescent="0.25">
      <c r="B98" s="13">
        <f t="shared" si="5"/>
        <v>7.6249999999999893</v>
      </c>
      <c r="C98" s="9">
        <f t="shared" si="6"/>
        <v>5.2294459462276961E-2</v>
      </c>
      <c r="D98" s="9">
        <f t="shared" si="7"/>
        <v>0.51253761787115137</v>
      </c>
    </row>
    <row r="99" spans="2:4" x14ac:dyDescent="0.25">
      <c r="B99" s="13">
        <f t="shared" si="5"/>
        <v>7.724999999999989</v>
      </c>
      <c r="C99" s="9">
        <f t="shared" si="6"/>
        <v>5.1591993522261154E-2</v>
      </c>
      <c r="D99" s="9">
        <f t="shared" si="7"/>
        <v>0.51773185856479786</v>
      </c>
    </row>
    <row r="100" spans="2:4" x14ac:dyDescent="0.25">
      <c r="B100" s="13">
        <f t="shared" si="5"/>
        <v>7.8249999999999886</v>
      </c>
      <c r="C100" s="9">
        <f t="shared" si="6"/>
        <v>5.0899342397414282E-2</v>
      </c>
      <c r="D100" s="9">
        <f t="shared" si="7"/>
        <v>0.52285634374746692</v>
      </c>
    </row>
    <row r="101" spans="2:4" x14ac:dyDescent="0.25">
      <c r="B101" s="13">
        <f t="shared" si="5"/>
        <v>7.9249999999999883</v>
      </c>
      <c r="C101" s="9">
        <f t="shared" si="6"/>
        <v>5.0216460099497505E-2</v>
      </c>
      <c r="D101" s="9">
        <f t="shared" si="7"/>
        <v>0.52791205268204133</v>
      </c>
    </row>
    <row r="102" spans="2:4" x14ac:dyDescent="0.25">
      <c r="B102" s="13">
        <f t="shared" si="5"/>
        <v>8.0249999999999879</v>
      </c>
      <c r="C102" s="9">
        <f t="shared" si="6"/>
        <v>4.9543291453050135E-2</v>
      </c>
      <c r="D102" s="9">
        <f t="shared" si="7"/>
        <v>0.53289995956488212</v>
      </c>
    </row>
    <row r="103" spans="2:4" x14ac:dyDescent="0.25">
      <c r="B103" s="13">
        <f t="shared" si="5"/>
        <v>8.1249999999999876</v>
      </c>
      <c r="C103" s="9">
        <f t="shared" si="6"/>
        <v>4.8879773052891852E-2</v>
      </c>
      <c r="D103" s="9">
        <f t="shared" si="7"/>
        <v>0.53782103265568826</v>
      </c>
    </row>
    <row r="104" spans="2:4" x14ac:dyDescent="0.25">
      <c r="B104" s="13">
        <f t="shared" si="5"/>
        <v>8.2249999999999872</v>
      </c>
      <c r="C104" s="9">
        <f t="shared" si="6"/>
        <v>4.8225834140459861E-2</v>
      </c>
      <c r="D104" s="9">
        <f t="shared" si="7"/>
        <v>0.54267623349898819</v>
      </c>
    </row>
    <row r="105" spans="2:4" x14ac:dyDescent="0.25">
      <c r="B105" s="13">
        <f t="shared" si="5"/>
        <v>8.3249999999999869</v>
      </c>
      <c r="C105" s="9">
        <f t="shared" si="6"/>
        <v>4.758139740582383E-2</v>
      </c>
      <c r="D105" s="9">
        <f t="shared" si="7"/>
        <v>0.5474665162294956</v>
      </c>
    </row>
    <row r="106" spans="2:4" x14ac:dyDescent="0.25">
      <c r="B106" s="13">
        <f t="shared" si="5"/>
        <v>8.4249999999999865</v>
      </c>
      <c r="C106" s="9">
        <f t="shared" si="6"/>
        <v>4.6946379721619323E-2</v>
      </c>
      <c r="D106" s="9">
        <f t="shared" si="7"/>
        <v>0.5521928269542109</v>
      </c>
    </row>
    <row r="107" spans="2:4" x14ac:dyDescent="0.25">
      <c r="B107" s="13">
        <f t="shared" si="5"/>
        <v>8.5249999999999861</v>
      </c>
      <c r="C107" s="9">
        <f t="shared" si="6"/>
        <v>4.6320692814594326E-2</v>
      </c>
      <c r="D107" s="9">
        <f t="shared" si="7"/>
        <v>0.55685610320475354</v>
      </c>
    </row>
    <row r="108" spans="2:4" x14ac:dyDescent="0.25">
      <c r="B108" s="13">
        <f t="shared" si="5"/>
        <v>8.6249999999999858</v>
      </c>
      <c r="C108" s="9">
        <f t="shared" si="6"/>
        <v>4.5704243879971518E-2</v>
      </c>
      <c r="D108" s="9">
        <f t="shared" si="7"/>
        <v>0.56145727345394736</v>
      </c>
    </row>
    <row r="109" spans="2:4" x14ac:dyDescent="0.25">
      <c r="B109" s="13">
        <f t="shared" si="5"/>
        <v>8.7249999999999854</v>
      </c>
      <c r="C109" s="9">
        <f t="shared" si="6"/>
        <v>4.509693614337662E-2</v>
      </c>
      <c r="D109" s="9">
        <f t="shared" si="7"/>
        <v>0.5659972566911825</v>
      </c>
    </row>
    <row r="110" spans="2:4" x14ac:dyDescent="0.25">
      <c r="B110" s="13">
        <f t="shared" si="5"/>
        <v>8.8249999999999851</v>
      </c>
      <c r="C110" s="9">
        <f t="shared" si="6"/>
        <v>4.4498669374675247E-2</v>
      </c>
      <c r="D110" s="9">
        <f t="shared" si="7"/>
        <v>0.57047696205153164</v>
      </c>
    </row>
    <row r="111" spans="2:4" x14ac:dyDescent="0.25">
      <c r="B111" s="13">
        <f t="shared" si="5"/>
        <v>8.9249999999999847</v>
      </c>
      <c r="C111" s="9">
        <f t="shared" si="6"/>
        <v>4.3909340357690639E-2</v>
      </c>
      <c r="D111" s="9">
        <f t="shared" si="7"/>
        <v>0.57489728849401089</v>
      </c>
    </row>
    <row r="112" spans="2:4" x14ac:dyDescent="0.25">
      <c r="B112" s="13">
        <f t="shared" si="5"/>
        <v>9.0249999999999844</v>
      </c>
      <c r="C112" s="9">
        <f t="shared" si="6"/>
        <v>4.3328843319433506E-2</v>
      </c>
      <c r="D112" s="9">
        <f t="shared" si="7"/>
        <v>0.57925912452476136</v>
      </c>
    </row>
    <row r="113" spans="2:4" x14ac:dyDescent="0.25">
      <c r="B113" s="13">
        <f t="shared" si="5"/>
        <v>9.124999999999984</v>
      </c>
      <c r="C113" s="9">
        <f t="shared" si="6"/>
        <v>4.2757070322170521E-2</v>
      </c>
      <c r="D113" s="9">
        <f t="shared" si="7"/>
        <v>0.58356334796126741</v>
      </c>
    </row>
    <row r="114" spans="2:4" x14ac:dyDescent="0.25">
      <c r="B114" s="13">
        <f t="shared" si="5"/>
        <v>9.2249999999999837</v>
      </c>
      <c r="C114" s="9">
        <f t="shared" si="6"/>
        <v>4.2193911621375042E-2</v>
      </c>
      <c r="D114" s="9">
        <f t="shared" si="7"/>
        <v>0.58781082573405186</v>
      </c>
    </row>
    <row r="115" spans="2:4" x14ac:dyDescent="0.25">
      <c r="B115" s="13">
        <f t="shared" si="5"/>
        <v>9.3249999999999833</v>
      </c>
      <c r="C115" s="9">
        <f t="shared" si="6"/>
        <v>4.1639255992349397E-2</v>
      </c>
      <c r="D115" s="9">
        <f t="shared" si="7"/>
        <v>0.59200241372257822</v>
      </c>
    </row>
    <row r="116" spans="2:4" x14ac:dyDescent="0.25">
      <c r="B116" s="13">
        <f t="shared" si="5"/>
        <v>9.4249999999999829</v>
      </c>
      <c r="C116" s="9">
        <f t="shared" si="6"/>
        <v>4.1092991028074163E-2</v>
      </c>
      <c r="D116" s="9">
        <f t="shared" si="7"/>
        <v>0.59613895662235572</v>
      </c>
    </row>
    <row r="117" spans="2:4" x14ac:dyDescent="0.25">
      <c r="B117" s="13">
        <f t="shared" si="5"/>
        <v>9.5249999999999826</v>
      </c>
      <c r="C117" s="9">
        <f t="shared" si="6"/>
        <v>4.0555003410628183E-2</v>
      </c>
      <c r="D117" s="9">
        <f t="shared" si="7"/>
        <v>0.60022128784048856</v>
      </c>
    </row>
    <row r="118" spans="2:4" x14ac:dyDescent="0.25">
      <c r="B118" s="13">
        <f t="shared" si="5"/>
        <v>9.6249999999999822</v>
      </c>
      <c r="C118" s="9">
        <f t="shared" si="6"/>
        <v>4.0025179158326887E-2</v>
      </c>
      <c r="D118" s="9">
        <f t="shared" si="7"/>
        <v>0.6042502294171378</v>
      </c>
    </row>
    <row r="119" spans="2:4" x14ac:dyDescent="0.25">
      <c r="B119" s="13">
        <f t="shared" si="5"/>
        <v>9.7249999999999819</v>
      </c>
      <c r="C119" s="9">
        <f t="shared" si="6"/>
        <v>3.9503403850552232E-2</v>
      </c>
      <c r="D119" s="9">
        <f t="shared" si="7"/>
        <v>0.60822659197056306</v>
      </c>
    </row>
    <row r="120" spans="2:4" x14ac:dyDescent="0.25">
      <c r="B120" s="13">
        <f t="shared" si="5"/>
        <v>9.8249999999999815</v>
      </c>
      <c r="C120" s="9">
        <f t="shared" si="6"/>
        <v>3.8989562832082096E-2</v>
      </c>
      <c r="D120" s="9">
        <f t="shared" si="7"/>
        <v>0.61215117466361058</v>
      </c>
    </row>
    <row r="121" spans="2:4" x14ac:dyDescent="0.25">
      <c r="B121" s="13">
        <f t="shared" si="5"/>
        <v>9.9249999999999812</v>
      </c>
      <c r="C121" s="9">
        <f t="shared" si="6"/>
        <v>3.8483541398581497E-2</v>
      </c>
      <c r="D121" s="9">
        <f t="shared" si="7"/>
        <v>0.6160247651896773</v>
      </c>
    </row>
    <row r="122" spans="2:4" x14ac:dyDescent="0.25">
      <c r="B122" s="13">
        <f t="shared" ref="B122:B185" si="8">+B121+0.1</f>
        <v>10.024999999999981</v>
      </c>
      <c r="C122" s="9">
        <f t="shared" si="6"/>
        <v>3.7985224964781038E-2</v>
      </c>
      <c r="D122" s="9">
        <f t="shared" si="7"/>
        <v>0.61984813977634678</v>
      </c>
    </row>
    <row r="123" spans="2:4" x14ac:dyDescent="0.25">
      <c r="B123" s="13">
        <f t="shared" si="8"/>
        <v>10.12499999999998</v>
      </c>
      <c r="C123" s="9">
        <f t="shared" si="6"/>
        <v>3.7494499216744567E-2</v>
      </c>
      <c r="D123" s="9">
        <f t="shared" si="7"/>
        <v>0.62362206320503599</v>
      </c>
    </row>
    <row r="124" spans="2:4" x14ac:dyDescent="0.25">
      <c r="B124" s="13">
        <f t="shared" si="8"/>
        <v>10.22499999999998</v>
      </c>
      <c r="C124" s="9">
        <f t="shared" si="6"/>
        <v>3.7011250249514287E-2</v>
      </c>
      <c r="D124" s="9">
        <f t="shared" si="7"/>
        <v>0.62734728884512858</v>
      </c>
    </row>
    <row r="125" spans="2:4" x14ac:dyDescent="0.25">
      <c r="B125" s="13">
        <f t="shared" si="8"/>
        <v>10.32499999999998</v>
      </c>
      <c r="C125" s="9">
        <f t="shared" si="6"/>
        <v>3.6535364691317941E-2</v>
      </c>
      <c r="D125" s="9">
        <f t="shared" si="7"/>
        <v>0.63102455870118856</v>
      </c>
    </row>
    <row r="126" spans="2:4" x14ac:dyDescent="0.25">
      <c r="B126" s="13">
        <f t="shared" si="8"/>
        <v>10.424999999999979</v>
      </c>
      <c r="C126" s="9">
        <f t="shared" si="6"/>
        <v>3.6066729815426593E-2</v>
      </c>
      <c r="D126" s="9">
        <f t="shared" si="7"/>
        <v>0.63465460347197244</v>
      </c>
    </row>
    <row r="127" spans="2:4" x14ac:dyDescent="0.25">
      <c r="B127" s="13">
        <f t="shared" si="8"/>
        <v>10.524999999999979</v>
      </c>
      <c r="C127" s="9">
        <f t="shared" si="6"/>
        <v>3.5605233640665687E-2</v>
      </c>
      <c r="D127" s="9">
        <f t="shared" si="7"/>
        <v>0.63823814262004841</v>
      </c>
    </row>
    <row r="128" spans="2:4" x14ac:dyDescent="0.25">
      <c r="B128" s="13">
        <f t="shared" si="8"/>
        <v>10.624999999999979</v>
      </c>
      <c r="C128" s="9">
        <f t="shared" si="6"/>
        <v>3.5150765021500108E-2</v>
      </c>
      <c r="D128" s="9">
        <f t="shared" si="7"/>
        <v>0.64177588445093969</v>
      </c>
    </row>
    <row r="129" spans="2:4" x14ac:dyDescent="0.25">
      <c r="B129" s="13">
        <f t="shared" si="8"/>
        <v>10.724999999999978</v>
      </c>
      <c r="C129" s="9">
        <f t="shared" si="6"/>
        <v>3.4703213728542424E-2</v>
      </c>
      <c r="D129" s="9">
        <f t="shared" si="7"/>
        <v>0.64526852620079</v>
      </c>
    </row>
    <row r="130" spans="2:4" x14ac:dyDescent="0.25">
      <c r="B130" s="13">
        <f t="shared" si="8"/>
        <v>10.824999999999978</v>
      </c>
      <c r="C130" s="9">
        <f t="shared" si="6"/>
        <v>3.4262470520264272E-2</v>
      </c>
      <c r="D130" s="9">
        <f t="shared" si="7"/>
        <v>0.64871675413163477</v>
      </c>
    </row>
    <row r="131" spans="2:4" x14ac:dyDescent="0.25">
      <c r="B131" s="13">
        <f t="shared" si="8"/>
        <v>10.924999999999978</v>
      </c>
      <c r="C131" s="9">
        <f t="shared" si="6"/>
        <v>3.3828427206630519E-2</v>
      </c>
      <c r="D131" s="9">
        <f t="shared" si="7"/>
        <v>0.65212124363343271</v>
      </c>
    </row>
    <row r="132" spans="2:4" x14ac:dyDescent="0.25">
      <c r="B132" s="13">
        <f t="shared" si="8"/>
        <v>11.024999999999977</v>
      </c>
      <c r="C132" s="9">
        <f t="shared" si="6"/>
        <v>3.3400976705317914E-2</v>
      </c>
      <c r="D132" s="9">
        <f t="shared" si="7"/>
        <v>0.65548265933208505</v>
      </c>
    </row>
    <row r="133" spans="2:4" x14ac:dyDescent="0.25">
      <c r="B133" s="13">
        <f t="shared" si="8"/>
        <v>11.124999999999977</v>
      </c>
      <c r="C133" s="9">
        <f t="shared" si="6"/>
        <v>3.2980013091127761E-2</v>
      </c>
      <c r="D133" s="9">
        <f t="shared" si="7"/>
        <v>0.65880165520273248</v>
      </c>
    </row>
    <row r="134" spans="2:4" x14ac:dyDescent="0.25">
      <c r="B134" s="13">
        <f t="shared" si="8"/>
        <v>11.224999999999977</v>
      </c>
      <c r="C134" s="9">
        <f t="shared" si="6"/>
        <v>3.2565431639155276E-2</v>
      </c>
      <c r="D134" s="9">
        <f t="shared" si="7"/>
        <v>0.66207887468767523</v>
      </c>
    </row>
    <row r="135" spans="2:4" x14ac:dyDescent="0.25">
      <c r="B135" s="13">
        <f t="shared" si="8"/>
        <v>11.324999999999976</v>
      </c>
      <c r="C135" s="9">
        <f t="shared" si="6"/>
        <v>3.2157128862232209E-2</v>
      </c>
      <c r="D135" s="9">
        <f t="shared" si="7"/>
        <v>0.66531495081832026</v>
      </c>
    </row>
    <row r="136" spans="2:4" x14ac:dyDescent="0.25">
      <c r="B136" s="13">
        <f t="shared" si="8"/>
        <v>11.424999999999976</v>
      </c>
      <c r="C136" s="9">
        <f t="shared" ref="C136:C199" si="9">+_xlfn.LOGNORM.DIST(B136,$C$4,$C$5,FALSE)</f>
        <v>3.1755002543120588E-2</v>
      </c>
      <c r="D136" s="9">
        <f t="shared" ref="D136:D199" si="10">+_xlfn.LOGNORM.DIST(B136,$C$4,$C$5,TRUE)</f>
        <v>0.6685105063406066</v>
      </c>
    </row>
    <row r="137" spans="2:4" x14ac:dyDescent="0.25">
      <c r="B137" s="13">
        <f t="shared" si="8"/>
        <v>11.524999999999975</v>
      </c>
      <c r="C137" s="9">
        <f t="shared" si="9"/>
        <v>3.1358951761896577E-2</v>
      </c>
      <c r="D137" s="9">
        <f t="shared" si="10"/>
        <v>0.67166615384340633</v>
      </c>
    </row>
    <row r="138" spans="2:4" x14ac:dyDescent="0.25">
      <c r="B138" s="13">
        <f t="shared" si="8"/>
        <v>11.624999999999975</v>
      </c>
      <c r="C138" s="9">
        <f t="shared" si="9"/>
        <v>3.0968876918930553E-2</v>
      </c>
      <c r="D138" s="9">
        <f t="shared" si="10"/>
        <v>0.67478249588943928</v>
      </c>
    </row>
    <row r="139" spans="2:4" x14ac:dyDescent="0.25">
      <c r="B139" s="13">
        <f t="shared" si="8"/>
        <v>11.724999999999975</v>
      </c>
      <c r="C139" s="9">
        <f t="shared" si="9"/>
        <v>3.0584679753836035E-2</v>
      </c>
      <c r="D139" s="9">
        <f t="shared" si="10"/>
        <v>0.67786012514828264</v>
      </c>
    </row>
    <row r="140" spans="2:4" x14ac:dyDescent="0.25">
      <c r="B140" s="13">
        <f t="shared" si="8"/>
        <v>11.824999999999974</v>
      </c>
      <c r="C140" s="9">
        <f t="shared" si="9"/>
        <v>3.0206263360732601E-2</v>
      </c>
      <c r="D140" s="9">
        <f t="shared" si="10"/>
        <v>0.68089962453108765</v>
      </c>
    </row>
    <row r="141" spans="2:4" x14ac:dyDescent="0.25">
      <c r="B141" s="13">
        <f t="shared" si="8"/>
        <v>11.924999999999974</v>
      </c>
      <c r="C141" s="9">
        <f t="shared" si="9"/>
        <v>2.9833532200140223E-2</v>
      </c>
      <c r="D141" s="9">
        <f t="shared" si="10"/>
        <v>0.68390156732665108</v>
      </c>
    </row>
    <row r="142" spans="2:4" x14ac:dyDescent="0.25">
      <c r="B142" s="13">
        <f t="shared" si="8"/>
        <v>12.024999999999974</v>
      </c>
      <c r="C142" s="9">
        <f t="shared" si="9"/>
        <v>2.9466392107797567E-2</v>
      </c>
      <c r="D142" s="9">
        <f t="shared" si="10"/>
        <v>0.68686651733852222</v>
      </c>
    </row>
    <row r="143" spans="2:4" x14ac:dyDescent="0.25">
      <c r="B143" s="13">
        <f t="shared" si="8"/>
        <v>12.124999999999973</v>
      </c>
      <c r="C143" s="9">
        <f t="shared" si="9"/>
        <v>2.9104750300674574E-2</v>
      </c>
      <c r="D143" s="9">
        <f t="shared" si="10"/>
        <v>0.68979502902284584</v>
      </c>
    </row>
    <row r="144" spans="2:4" x14ac:dyDescent="0.25">
      <c r="B144" s="13">
        <f t="shared" si="8"/>
        <v>12.224999999999973</v>
      </c>
      <c r="C144" s="9">
        <f t="shared" si="9"/>
        <v>2.8748515380428354E-2</v>
      </c>
      <c r="D144" s="9">
        <f t="shared" si="10"/>
        <v>0.69268764762667956</v>
      </c>
    </row>
    <row r="145" spans="2:4" x14ac:dyDescent="0.25">
      <c r="B145" s="13">
        <f t="shared" si="8"/>
        <v>12.324999999999973</v>
      </c>
      <c r="C145" s="9">
        <f t="shared" si="9"/>
        <v>2.8397597334531548E-2</v>
      </c>
      <c r="D145" s="9">
        <f t="shared" si="10"/>
        <v>0.69554490932653745</v>
      </c>
    </row>
    <row r="146" spans="2:4" x14ac:dyDescent="0.25">
      <c r="B146" s="13">
        <f t="shared" si="8"/>
        <v>12.424999999999972</v>
      </c>
      <c r="C146" s="9">
        <f t="shared" si="9"/>
        <v>2.8051907535285282E-2</v>
      </c>
      <c r="D146" s="9">
        <f t="shared" si="10"/>
        <v>0.69836734136693845</v>
      </c>
    </row>
    <row r="147" spans="2:4" x14ac:dyDescent="0.25">
      <c r="B147" s="13">
        <f t="shared" si="8"/>
        <v>12.524999999999972</v>
      </c>
      <c r="C147" s="9">
        <f t="shared" si="9"/>
        <v>2.7711358736911613E-2</v>
      </c>
      <c r="D147" s="9">
        <f t="shared" si="10"/>
        <v>0.70115546219875968</v>
      </c>
    </row>
    <row r="148" spans="2:4" x14ac:dyDescent="0.25">
      <c r="B148" s="13">
        <f t="shared" si="8"/>
        <v>12.624999999999972</v>
      </c>
      <c r="C148" s="9">
        <f t="shared" si="9"/>
        <v>2.7375865070905656E-2</v>
      </c>
      <c r="D148" s="9">
        <f t="shared" si="10"/>
        <v>0.70390978161720952</v>
      </c>
    </row>
    <row r="149" spans="2:4" x14ac:dyDescent="0.25">
      <c r="B149" s="13">
        <f t="shared" si="8"/>
        <v>12.724999999999971</v>
      </c>
      <c r="C149" s="9">
        <f t="shared" si="9"/>
        <v>2.7045342039812778E-2</v>
      </c>
      <c r="D149" s="9">
        <f t="shared" si="10"/>
        <v>0.70663080089925612</v>
      </c>
    </row>
    <row r="150" spans="2:4" x14ac:dyDescent="0.25">
      <c r="B150" s="13">
        <f t="shared" si="8"/>
        <v>12.824999999999971</v>
      </c>
      <c r="C150" s="9">
        <f t="shared" si="9"/>
        <v>2.6719706509584475E-2</v>
      </c>
      <c r="D150" s="9">
        <f t="shared" si="10"/>
        <v>0.70931901294036237</v>
      </c>
    </row>
    <row r="151" spans="2:4" x14ac:dyDescent="0.25">
      <c r="B151" s="13">
        <f t="shared" si="8"/>
        <v>12.924999999999971</v>
      </c>
      <c r="C151" s="9">
        <f t="shared" si="9"/>
        <v>2.6398876700653089E-2</v>
      </c>
      <c r="D151" s="9">
        <f t="shared" si="10"/>
        <v>0.71197490239038919</v>
      </c>
    </row>
    <row r="152" spans="2:4" x14ac:dyDescent="0.25">
      <c r="B152" s="13">
        <f t="shared" si="8"/>
        <v>13.02499999999997</v>
      </c>
      <c r="C152" s="9">
        <f t="shared" si="9"/>
        <v>2.6082772177855689E-2</v>
      </c>
      <c r="D152" s="9">
        <f t="shared" si="10"/>
        <v>0.71459894578854932</v>
      </c>
    </row>
    <row r="153" spans="2:4" x14ac:dyDescent="0.25">
      <c r="B153" s="13">
        <f t="shared" si="8"/>
        <v>13.12499999999997</v>
      </c>
      <c r="C153" s="9">
        <f t="shared" si="9"/>
        <v>2.5771313839326605E-2</v>
      </c>
      <c r="D153" s="9">
        <f t="shared" si="10"/>
        <v>0.71719161169730095</v>
      </c>
    </row>
    <row r="154" spans="2:4" x14ac:dyDescent="0.25">
      <c r="B154" s="13">
        <f t="shared" si="8"/>
        <v>13.224999999999969</v>
      </c>
      <c r="C154" s="9">
        <f t="shared" si="9"/>
        <v>2.5464423904468403E-2</v>
      </c>
      <c r="D154" s="9">
        <f t="shared" si="10"/>
        <v>0.71975336083508301</v>
      </c>
    </row>
    <row r="155" spans="2:4" x14ac:dyDescent="0.25">
      <c r="B155" s="13">
        <f t="shared" si="8"/>
        <v>13.324999999999969</v>
      </c>
      <c r="C155" s="9">
        <f t="shared" si="9"/>
        <v>2.5162025901103641E-2</v>
      </c>
      <c r="D155" s="9">
        <f t="shared" si="10"/>
        <v>0.72228464620780564</v>
      </c>
    </row>
    <row r="156" spans="2:4" x14ac:dyDescent="0.25">
      <c r="B156" s="13">
        <f t="shared" si="8"/>
        <v>13.424999999999969</v>
      </c>
      <c r="C156" s="9">
        <f t="shared" si="9"/>
        <v>2.4864044651899325E-2</v>
      </c>
      <c r="D156" s="9">
        <f t="shared" si="10"/>
        <v>0.72478591323901942</v>
      </c>
    </row>
    <row r="157" spans="2:4" x14ac:dyDescent="0.25">
      <c r="B157" s="13">
        <f t="shared" si="8"/>
        <v>13.524999999999968</v>
      </c>
      <c r="C157" s="9">
        <f t="shared" si="9"/>
        <v>2.4570406260151612E-2</v>
      </c>
      <c r="D157" s="9">
        <f t="shared" si="10"/>
        <v>0.72725759989869421</v>
      </c>
    </row>
    <row r="158" spans="2:4" x14ac:dyDescent="0.25">
      <c r="B158" s="13">
        <f t="shared" si="8"/>
        <v>13.624999999999968</v>
      </c>
      <c r="C158" s="9">
        <f t="shared" si="9"/>
        <v>2.4281038095008367E-2</v>
      </c>
      <c r="D158" s="9">
        <f t="shared" si="10"/>
        <v>0.72970013683054702</v>
      </c>
    </row>
    <row r="159" spans="2:4" x14ac:dyDescent="0.25">
      <c r="B159" s="13">
        <f t="shared" si="8"/>
        <v>13.724999999999968</v>
      </c>
      <c r="C159" s="9">
        <f t="shared" si="9"/>
        <v>2.3995868776203091E-2</v>
      </c>
      <c r="D159" s="9">
        <f t="shared" si="10"/>
        <v>0.73211394747786829</v>
      </c>
    </row>
    <row r="160" spans="2:4" x14ac:dyDescent="0.25">
      <c r="B160" s="13">
        <f t="shared" si="8"/>
        <v>13.824999999999967</v>
      </c>
      <c r="C160" s="9">
        <f t="shared" si="9"/>
        <v>2.3714828158366397E-2</v>
      </c>
      <c r="D160" s="9">
        <f t="shared" si="10"/>
        <v>0.73449944820779889</v>
      </c>
    </row>
    <row r="161" spans="2:4" x14ac:dyDescent="0.25">
      <c r="B161" s="13">
        <f t="shared" si="8"/>
        <v>13.924999999999967</v>
      </c>
      <c r="C161" s="9">
        <f t="shared" si="9"/>
        <v>2.3437847314976903E-2</v>
      </c>
      <c r="D161" s="9">
        <f t="shared" si="10"/>
        <v>0.73685704843402022</v>
      </c>
    </row>
    <row r="162" spans="2:4" x14ac:dyDescent="0.25">
      <c r="B162" s="13">
        <f t="shared" si="8"/>
        <v>14.024999999999967</v>
      </c>
      <c r="C162" s="9">
        <f t="shared" si="9"/>
        <v>2.3164858522007274E-2</v>
      </c>
      <c r="D162" s="9">
        <f t="shared" si="10"/>
        <v>0.73918715073782382</v>
      </c>
    </row>
    <row r="163" spans="2:4" x14ac:dyDescent="0.25">
      <c r="B163" s="13">
        <f t="shared" si="8"/>
        <v>14.124999999999966</v>
      </c>
      <c r="C163" s="9">
        <f t="shared" si="9"/>
        <v>2.2895795241317338E-2</v>
      </c>
      <c r="D163" s="9">
        <f t="shared" si="10"/>
        <v>0.74149015098753213</v>
      </c>
    </row>
    <row r="164" spans="2:4" x14ac:dyDescent="0.25">
      <c r="B164" s="13">
        <f t="shared" si="8"/>
        <v>14.224999999999966</v>
      </c>
      <c r="C164" s="9">
        <f t="shared" si="9"/>
        <v>2.2630592103841503E-2</v>
      </c>
      <c r="D164" s="9">
        <f t="shared" si="10"/>
        <v>0.74376643845624768</v>
      </c>
    </row>
    <row r="165" spans="2:4" x14ac:dyDescent="0.25">
      <c r="B165" s="13">
        <f t="shared" si="8"/>
        <v>14.324999999999966</v>
      </c>
      <c r="C165" s="9">
        <f t="shared" si="9"/>
        <v>2.2369184892613785E-2</v>
      </c>
      <c r="D165" s="9">
        <f t="shared" si="10"/>
        <v>0.74601639593791413</v>
      </c>
    </row>
    <row r="166" spans="2:4" x14ac:dyDescent="0.25">
      <c r="B166" s="13">
        <f t="shared" si="8"/>
        <v>14.424999999999965</v>
      </c>
      <c r="C166" s="9">
        <f t="shared" si="9"/>
        <v>2.2111510525670095E-2</v>
      </c>
      <c r="D166" s="9">
        <f t="shared" si="10"/>
        <v>0.74824039986167123</v>
      </c>
    </row>
    <row r="167" spans="2:4" x14ac:dyDescent="0.25">
      <c r="B167" s="13">
        <f t="shared" si="8"/>
        <v>14.524999999999965</v>
      </c>
      <c r="C167" s="9">
        <f t="shared" si="9"/>
        <v>2.1857507038864125E-2</v>
      </c>
      <c r="D167" s="9">
        <f t="shared" si="10"/>
        <v>0.7504388204044965</v>
      </c>
    </row>
    <row r="168" spans="2:4" x14ac:dyDescent="0.25">
      <c r="B168" s="13">
        <f t="shared" si="8"/>
        <v>14.624999999999964</v>
      </c>
      <c r="C168" s="9">
        <f t="shared" si="9"/>
        <v>2.1607113568629762E-2</v>
      </c>
      <c r="D168" s="9">
        <f t="shared" si="10"/>
        <v>0.75261202160212604</v>
      </c>
    </row>
    <row r="169" spans="2:4" x14ac:dyDescent="0.25">
      <c r="B169" s="13">
        <f t="shared" si="8"/>
        <v>14.724999999999964</v>
      </c>
      <c r="C169" s="9">
        <f t="shared" si="9"/>
        <v>2.1360270334720564E-2</v>
      </c>
      <c r="D169" s="9">
        <f t="shared" si="10"/>
        <v>0.75476036145824876</v>
      </c>
    </row>
    <row r="170" spans="2:4" x14ac:dyDescent="0.25">
      <c r="B170" s="13">
        <f t="shared" si="8"/>
        <v>14.824999999999964</v>
      </c>
      <c r="C170" s="9">
        <f t="shared" si="9"/>
        <v>2.1116918622953205E-2</v>
      </c>
      <c r="D170" s="9">
        <f t="shared" si="10"/>
        <v>0.75688419205197621</v>
      </c>
    </row>
    <row r="171" spans="2:4" x14ac:dyDescent="0.25">
      <c r="B171" s="13">
        <f t="shared" si="8"/>
        <v>14.924999999999963</v>
      </c>
      <c r="C171" s="9">
        <f t="shared" si="9"/>
        <v>2.0877000767980654E-2</v>
      </c>
      <c r="D171" s="9">
        <f t="shared" si="10"/>
        <v>0.75898385964358628</v>
      </c>
    </row>
    <row r="172" spans="2:4" x14ac:dyDescent="0.25">
      <c r="B172" s="13">
        <f t="shared" si="8"/>
        <v>15.024999999999963</v>
      </c>
      <c r="C172" s="9">
        <f t="shared" si="9"/>
        <v>2.0640460136117231E-2</v>
      </c>
      <c r="D172" s="9">
        <f t="shared" si="10"/>
        <v>0.76105970477854856</v>
      </c>
    </row>
    <row r="173" spans="2:4" x14ac:dyDescent="0.25">
      <c r="B173" s="13">
        <f t="shared" si="8"/>
        <v>15.124999999999963</v>
      </c>
      <c r="C173" s="9">
        <f t="shared" si="9"/>
        <v>2.0407241108236468E-2</v>
      </c>
      <c r="D173" s="9">
        <f t="shared" si="10"/>
        <v>0.76311206238983398</v>
      </c>
    </row>
    <row r="174" spans="2:4" x14ac:dyDescent="0.25">
      <c r="B174" s="13">
        <f t="shared" si="8"/>
        <v>15.224999999999962</v>
      </c>
      <c r="C174" s="9">
        <f t="shared" si="9"/>
        <v>2.0177289062760333E-2</v>
      </c>
      <c r="D174" s="9">
        <f t="shared" si="10"/>
        <v>0.76514126189851983</v>
      </c>
    </row>
    <row r="175" spans="2:4" x14ac:dyDescent="0.25">
      <c r="B175" s="13">
        <f t="shared" si="8"/>
        <v>15.324999999999962</v>
      </c>
      <c r="C175" s="9">
        <f t="shared" si="9"/>
        <v>1.9950550358756619E-2</v>
      </c>
      <c r="D175" s="9">
        <f t="shared" si="10"/>
        <v>0.76714762731269759</v>
      </c>
    </row>
    <row r="176" spans="2:4" x14ac:dyDescent="0.25">
      <c r="B176" s="13">
        <f t="shared" si="8"/>
        <v>15.424999999999962</v>
      </c>
      <c r="C176" s="9">
        <f t="shared" si="9"/>
        <v>1.9726972319159739E-2</v>
      </c>
      <c r="D176" s="9">
        <f t="shared" si="10"/>
        <v>0.76913147732469889</v>
      </c>
    </row>
    <row r="177" spans="2:4" x14ac:dyDescent="0.25">
      <c r="B177" s="13">
        <f t="shared" si="8"/>
        <v>15.524999999999961</v>
      </c>
      <c r="C177" s="9">
        <f t="shared" si="9"/>
        <v>1.9506503214128414E-2</v>
      </c>
      <c r="D177" s="9">
        <f t="shared" si="10"/>
        <v>0.77109312540664754</v>
      </c>
    </row>
    <row r="178" spans="2:4" x14ac:dyDescent="0.25">
      <c r="B178" s="13">
        <f t="shared" si="8"/>
        <v>15.624999999999961</v>
      </c>
      <c r="C178" s="9">
        <f t="shared" si="9"/>
        <v>1.9289092244552691E-2</v>
      </c>
      <c r="D178" s="9">
        <f t="shared" si="10"/>
        <v>0.7730328799043571</v>
      </c>
    </row>
    <row r="179" spans="2:4" x14ac:dyDescent="0.25">
      <c r="B179" s="13">
        <f t="shared" si="8"/>
        <v>15.724999999999961</v>
      </c>
      <c r="C179" s="9">
        <f t="shared" si="9"/>
        <v>1.9074689525721018E-2</v>
      </c>
      <c r="D179" s="9">
        <f t="shared" si="10"/>
        <v>0.77495104412958482</v>
      </c>
    </row>
    <row r="180" spans="2:4" x14ac:dyDescent="0.25">
      <c r="B180" s="13">
        <f t="shared" si="8"/>
        <v>15.82499999999996</v>
      </c>
      <c r="C180" s="9">
        <f t="shared" si="9"/>
        <v>1.8863246071156966E-2</v>
      </c>
      <c r="D180" s="9">
        <f t="shared" si="10"/>
        <v>0.77684791645066331</v>
      </c>
    </row>
    <row r="181" spans="2:4" x14ac:dyDescent="0.25">
      <c r="B181" s="13">
        <f t="shared" si="8"/>
        <v>15.92499999999996</v>
      </c>
      <c r="C181" s="9">
        <f t="shared" si="9"/>
        <v>1.865471377663435E-2</v>
      </c>
      <c r="D181" s="9">
        <f t="shared" si="10"/>
        <v>0.77872379038152173</v>
      </c>
    </row>
    <row r="182" spans="2:4" x14ac:dyDescent="0.25">
      <c r="B182" s="13">
        <f t="shared" si="8"/>
        <v>16.024999999999959</v>
      </c>
      <c r="C182" s="9">
        <f t="shared" si="9"/>
        <v>1.844904540437825E-2</v>
      </c>
      <c r="D182" s="9">
        <f t="shared" si="10"/>
        <v>0.78057895466912042</v>
      </c>
    </row>
    <row r="183" spans="2:4" x14ac:dyDescent="0.25">
      <c r="B183" s="13">
        <f t="shared" si="8"/>
        <v>16.124999999999961</v>
      </c>
      <c r="C183" s="9">
        <f t="shared" si="9"/>
        <v>1.824619456745823E-2</v>
      </c>
      <c r="D183" s="9">
        <f t="shared" si="10"/>
        <v>0.78241369337931366</v>
      </c>
    </row>
    <row r="184" spans="2:4" x14ac:dyDescent="0.25">
      <c r="B184" s="13">
        <f t="shared" si="8"/>
        <v>16.224999999999962</v>
      </c>
      <c r="C184" s="9">
        <f t="shared" si="9"/>
        <v>1.8046115714379932E-2</v>
      </c>
      <c r="D184" s="9">
        <f t="shared" si="10"/>
        <v>0.78422828598116212</v>
      </c>
    </row>
    <row r="185" spans="2:4" x14ac:dyDescent="0.25">
      <c r="B185" s="13">
        <f t="shared" si="8"/>
        <v>16.324999999999964</v>
      </c>
      <c r="C185" s="9">
        <f t="shared" si="9"/>
        <v>1.7848764113879537E-2</v>
      </c>
      <c r="D185" s="9">
        <f t="shared" si="10"/>
        <v>0.7860230074297142</v>
      </c>
    </row>
    <row r="186" spans="2:4" x14ac:dyDescent="0.25">
      <c r="B186" s="13">
        <f t="shared" ref="B186:B249" si="11">+B185+0.1</f>
        <v>16.424999999999965</v>
      </c>
      <c r="C186" s="9">
        <f t="shared" si="9"/>
        <v>1.7654095839925353E-2</v>
      </c>
      <c r="D186" s="9">
        <f t="shared" si="10"/>
        <v>0.78779812824727802</v>
      </c>
    </row>
    <row r="187" spans="2:4" x14ac:dyDescent="0.25">
      <c r="B187" s="13">
        <f t="shared" si="11"/>
        <v>16.524999999999967</v>
      </c>
      <c r="C187" s="9">
        <f t="shared" si="9"/>
        <v>1.7462067756930214E-2</v>
      </c>
      <c r="D187" s="9">
        <f t="shared" si="10"/>
        <v>0.78955391460320257</v>
      </c>
    </row>
    <row r="188" spans="2:4" x14ac:dyDescent="0.25">
      <c r="B188" s="13">
        <f t="shared" si="11"/>
        <v>16.624999999999968</v>
      </c>
      <c r="C188" s="9">
        <f t="shared" si="9"/>
        <v>1.7272637505177366E-2</v>
      </c>
      <c r="D188" s="9">
        <f t="shared" si="10"/>
        <v>0.79129062839219266</v>
      </c>
    </row>
    <row r="189" spans="2:4" x14ac:dyDescent="0.25">
      <c r="B189" s="13">
        <f t="shared" si="11"/>
        <v>16.724999999999969</v>
      </c>
      <c r="C189" s="9">
        <f t="shared" si="9"/>
        <v>1.708576348646192E-2</v>
      </c>
      <c r="D189" s="9">
        <f t="shared" si="10"/>
        <v>0.79300852731117566</v>
      </c>
    </row>
    <row r="190" spans="2:4" x14ac:dyDescent="0.25">
      <c r="B190" s="13">
        <f t="shared" si="11"/>
        <v>16.824999999999971</v>
      </c>
      <c r="C190" s="9">
        <f t="shared" si="9"/>
        <v>1.6901404849950341E-2</v>
      </c>
      <c r="D190" s="9">
        <f t="shared" si="10"/>
        <v>0.79470786493474366</v>
      </c>
    </row>
    <row r="191" spans="2:4" x14ac:dyDescent="0.25">
      <c r="B191" s="13">
        <f t="shared" si="11"/>
        <v>16.924999999999972</v>
      </c>
      <c r="C191" s="9">
        <f t="shared" si="9"/>
        <v>1.6719521478258129E-2</v>
      </c>
      <c r="D191" s="9">
        <f t="shared" si="10"/>
        <v>0.79638889078919339</v>
      </c>
    </row>
    <row r="192" spans="2:4" x14ac:dyDescent="0.25">
      <c r="B192" s="13">
        <f t="shared" si="11"/>
        <v>17.024999999999974</v>
      </c>
      <c r="C192" s="9">
        <f t="shared" si="9"/>
        <v>1.6540073973747842E-2</v>
      </c>
      <c r="D192" s="9">
        <f t="shared" si="10"/>
        <v>0.79805185042518345</v>
      </c>
    </row>
    <row r="193" spans="2:4" x14ac:dyDescent="0.25">
      <c r="B193" s="13">
        <f t="shared" si="11"/>
        <v>17.124999999999975</v>
      </c>
      <c r="C193" s="9">
        <f t="shared" si="9"/>
        <v>1.6363023645046701E-2</v>
      </c>
      <c r="D193" s="9">
        <f t="shared" si="10"/>
        <v>0.79969698548903345</v>
      </c>
    </row>
    <row r="194" spans="2:4" x14ac:dyDescent="0.25">
      <c r="B194" s="13">
        <f t="shared" si="11"/>
        <v>17.224999999999977</v>
      </c>
      <c r="C194" s="9">
        <f t="shared" si="9"/>
        <v>1.618833249378469E-2</v>
      </c>
      <c r="D194" s="9">
        <f t="shared" si="10"/>
        <v>0.80132453379268531</v>
      </c>
    </row>
    <row r="195" spans="2:4" x14ac:dyDescent="0.25">
      <c r="B195" s="13">
        <f t="shared" si="11"/>
        <v>17.324999999999978</v>
      </c>
      <c r="C195" s="9">
        <f t="shared" si="9"/>
        <v>1.6015963201552581E-2</v>
      </c>
      <c r="D195" s="9">
        <f t="shared" si="10"/>
        <v>0.80293472938235011</v>
      </c>
    </row>
    <row r="196" spans="2:4" x14ac:dyDescent="0.25">
      <c r="B196" s="13">
        <f t="shared" si="11"/>
        <v>17.424999999999979</v>
      </c>
      <c r="C196" s="9">
        <f t="shared" si="9"/>
        <v>1.5845879117078854E-2</v>
      </c>
      <c r="D196" s="9">
        <f t="shared" si="10"/>
        <v>0.80452780260586054</v>
      </c>
    </row>
    <row r="197" spans="2:4" x14ac:dyDescent="0.25">
      <c r="B197" s="13">
        <f t="shared" si="11"/>
        <v>17.524999999999981</v>
      </c>
      <c r="C197" s="9">
        <f t="shared" si="9"/>
        <v>1.567804424362599E-2</v>
      </c>
      <c r="D197" s="9">
        <f t="shared" si="10"/>
        <v>0.80610398017875307</v>
      </c>
    </row>
    <row r="198" spans="2:4" x14ac:dyDescent="0.25">
      <c r="B198" s="13">
        <f t="shared" si="11"/>
        <v>17.624999999999982</v>
      </c>
      <c r="C198" s="9">
        <f t="shared" si="9"/>
        <v>1.5512423226603145E-2</v>
      </c>
      <c r="D198" s="9">
        <f t="shared" si="10"/>
        <v>0.80766348524910014</v>
      </c>
    </row>
    <row r="199" spans="2:4" x14ac:dyDescent="0.25">
      <c r="B199" s="13">
        <f t="shared" si="11"/>
        <v>17.724999999999984</v>
      </c>
      <c r="C199" s="9">
        <f t="shared" si="9"/>
        <v>1.5348981341395836E-2</v>
      </c>
      <c r="D199" s="9">
        <f t="shared" si="10"/>
        <v>0.80920653746111437</v>
      </c>
    </row>
    <row r="200" spans="2:4" x14ac:dyDescent="0.25">
      <c r="B200" s="13">
        <f t="shared" si="11"/>
        <v>17.824999999999985</v>
      </c>
      <c r="C200" s="9">
        <f t="shared" ref="C200:C263" si="12">+_xlfn.LOGNORM.DIST(B200,$C$4,$C$5,FALSE)</f>
        <v>1.5187684481409508E-2</v>
      </c>
      <c r="D200" s="9">
        <f t="shared" ref="D200:D263" si="13">+_xlfn.LOGNORM.DIST(B200,$C$4,$C$5,TRUE)</f>
        <v>0.81073335301754645</v>
      </c>
    </row>
    <row r="201" spans="2:4" x14ac:dyDescent="0.25">
      <c r="B201" s="13">
        <f t="shared" si="11"/>
        <v>17.924999999999986</v>
      </c>
      <c r="C201" s="9">
        <f t="shared" si="12"/>
        <v>1.5028499146326358E-2</v>
      </c>
      <c r="D201" s="9">
        <f t="shared" si="13"/>
        <v>0.81224414474089901</v>
      </c>
    </row>
    <row r="202" spans="2:4" x14ac:dyDescent="0.25">
      <c r="B202" s="13">
        <f t="shared" si="11"/>
        <v>18.024999999999988</v>
      </c>
      <c r="C202" s="9">
        <f t="shared" si="12"/>
        <v>1.4871392430572981E-2</v>
      </c>
      <c r="D202" s="9">
        <f t="shared" si="13"/>
        <v>0.81373912213347466</v>
      </c>
    </row>
    <row r="203" spans="2:4" x14ac:dyDescent="0.25">
      <c r="B203" s="13">
        <f t="shared" si="11"/>
        <v>18.124999999999989</v>
      </c>
      <c r="C203" s="9">
        <f t="shared" si="12"/>
        <v>1.4716332011996942E-2</v>
      </c>
      <c r="D203" s="9">
        <f t="shared" si="13"/>
        <v>0.81521849143628367</v>
      </c>
    </row>
    <row r="204" spans="2:4" x14ac:dyDescent="0.25">
      <c r="B204" s="13">
        <f t="shared" si="11"/>
        <v>18.224999999999991</v>
      </c>
      <c r="C204" s="9">
        <f t="shared" si="12"/>
        <v>1.4563286140750201E-2</v>
      </c>
      <c r="D204" s="9">
        <f t="shared" si="13"/>
        <v>0.81668245568682796</v>
      </c>
    </row>
    <row r="205" spans="2:4" x14ac:dyDescent="0.25">
      <c r="B205" s="13">
        <f t="shared" si="11"/>
        <v>18.324999999999992</v>
      </c>
      <c r="C205" s="9">
        <f t="shared" si="12"/>
        <v>1.4412223628377036E-2</v>
      </c>
      <c r="D205" s="9">
        <f t="shared" si="13"/>
        <v>0.81813121477578421</v>
      </c>
    </row>
    <row r="206" spans="2:4" x14ac:dyDescent="0.25">
      <c r="B206" s="13">
        <f t="shared" si="11"/>
        <v>18.424999999999994</v>
      </c>
      <c r="C206" s="9">
        <f t="shared" si="12"/>
        <v>1.4263113837104113E-2</v>
      </c>
      <c r="D206" s="9">
        <f t="shared" si="13"/>
        <v>0.8195649655026066</v>
      </c>
    </row>
    <row r="207" spans="2:4" x14ac:dyDescent="0.25">
      <c r="B207" s="13">
        <f t="shared" si="11"/>
        <v>18.524999999999995</v>
      </c>
      <c r="C207" s="9">
        <f t="shared" si="12"/>
        <v>1.4115926669330266E-2</v>
      </c>
      <c r="D207" s="9">
        <f t="shared" si="13"/>
        <v>0.8209839016300664</v>
      </c>
    </row>
    <row r="208" spans="2:4" x14ac:dyDescent="0.25">
      <c r="B208" s="13">
        <f t="shared" si="11"/>
        <v>18.624999999999996</v>
      </c>
      <c r="C208" s="9">
        <f t="shared" si="12"/>
        <v>1.3970632557313265E-2</v>
      </c>
      <c r="D208" s="9">
        <f t="shared" si="13"/>
        <v>0.82238821393775374</v>
      </c>
    </row>
    <row r="209" spans="2:4" x14ac:dyDescent="0.25">
      <c r="B209" s="13">
        <f t="shared" si="11"/>
        <v>18.724999999999998</v>
      </c>
      <c r="C209" s="9">
        <f t="shared" si="12"/>
        <v>1.3827202453051373E-2</v>
      </c>
      <c r="D209" s="9">
        <f t="shared" si="13"/>
        <v>0.82377809027455451</v>
      </c>
    </row>
    <row r="210" spans="2:4" x14ac:dyDescent="0.25">
      <c r="B210" s="13">
        <f t="shared" si="11"/>
        <v>18.824999999999999</v>
      </c>
      <c r="C210" s="9">
        <f t="shared" si="12"/>
        <v>1.3685607818356441E-2</v>
      </c>
      <c r="D210" s="9">
        <f t="shared" si="13"/>
        <v>0.8251537156101274</v>
      </c>
    </row>
    <row r="211" spans="2:4" x14ac:dyDescent="0.25">
      <c r="B211" s="13">
        <f t="shared" si="11"/>
        <v>18.925000000000001</v>
      </c>
      <c r="C211" s="9">
        <f t="shared" si="12"/>
        <v>1.3545820615116333E-2</v>
      </c>
      <c r="D211" s="9">
        <f t="shared" si="13"/>
        <v>0.8265152720853961</v>
      </c>
    </row>
    <row r="212" spans="2:4" x14ac:dyDescent="0.25">
      <c r="B212" s="13">
        <f t="shared" si="11"/>
        <v>19.025000000000002</v>
      </c>
      <c r="C212" s="9">
        <f t="shared" si="12"/>
        <v>1.3407813295743734E-2</v>
      </c>
      <c r="D212" s="9">
        <f t="shared" si="13"/>
        <v>0.82786293906207831</v>
      </c>
    </row>
    <row r="213" spans="2:4" x14ac:dyDescent="0.25">
      <c r="B213" s="13">
        <f t="shared" si="11"/>
        <v>19.125000000000004</v>
      </c>
      <c r="C213" s="9">
        <f t="shared" si="12"/>
        <v>1.3271558793808331E-2</v>
      </c>
      <c r="D213" s="9">
        <f t="shared" si="13"/>
        <v>0.82919689317126832</v>
      </c>
    </row>
    <row r="214" spans="2:4" x14ac:dyDescent="0.25">
      <c r="B214" s="13">
        <f t="shared" si="11"/>
        <v>19.225000000000005</v>
      </c>
      <c r="C214" s="9">
        <f t="shared" si="12"/>
        <v>1.3137030514849955E-2</v>
      </c>
      <c r="D214" s="9">
        <f t="shared" si="13"/>
        <v>0.83051730836109161</v>
      </c>
    </row>
    <row r="215" spans="2:4" x14ac:dyDescent="0.25">
      <c r="B215" s="13">
        <f t="shared" si="11"/>
        <v>19.325000000000006</v>
      </c>
      <c r="C215" s="9">
        <f t="shared" si="12"/>
        <v>1.300420232736948E-2</v>
      </c>
      <c r="D215" s="9">
        <f t="shared" si="13"/>
        <v>0.83182435594344972</v>
      </c>
    </row>
    <row r="216" spans="2:4" x14ac:dyDescent="0.25">
      <c r="B216" s="13">
        <f t="shared" si="11"/>
        <v>19.425000000000008</v>
      </c>
      <c r="C216" s="9">
        <f t="shared" si="12"/>
        <v>1.2873048553994933E-2</v>
      </c>
      <c r="D216" s="9">
        <f t="shared" si="13"/>
        <v>0.83311820463987407</v>
      </c>
    </row>
    <row r="217" spans="2:4" x14ac:dyDescent="0.25">
      <c r="B217" s="13">
        <f t="shared" si="11"/>
        <v>19.525000000000009</v>
      </c>
      <c r="C217" s="9">
        <f t="shared" si="12"/>
        <v>1.2743543962819716E-2</v>
      </c>
      <c r="D217" s="9">
        <f t="shared" si="13"/>
        <v>0.83439902062650328</v>
      </c>
    </row>
    <row r="218" spans="2:4" x14ac:dyDescent="0.25">
      <c r="B218" s="13">
        <f t="shared" si="11"/>
        <v>19.625000000000011</v>
      </c>
      <c r="C218" s="9">
        <f t="shared" si="12"/>
        <v>1.2615663758910102E-2</v>
      </c>
      <c r="D218" s="9">
        <f t="shared" si="13"/>
        <v>0.83566696757820402</v>
      </c>
    </row>
    <row r="219" spans="2:4" x14ac:dyDescent="0.25">
      <c r="B219" s="13">
        <f t="shared" si="11"/>
        <v>19.725000000000012</v>
      </c>
      <c r="C219" s="9">
        <f t="shared" si="12"/>
        <v>1.2489383575979377E-2</v>
      </c>
      <c r="D219" s="9">
        <f t="shared" si="13"/>
        <v>0.83692220671185069</v>
      </c>
    </row>
    <row r="220" spans="2:4" x14ac:dyDescent="0.25">
      <c r="B220" s="13">
        <f t="shared" si="11"/>
        <v>19.825000000000014</v>
      </c>
      <c r="C220" s="9">
        <f t="shared" si="12"/>
        <v>1.2364679468225424E-2</v>
      </c>
      <c r="D220" s="9">
        <f t="shared" si="13"/>
        <v>0.83816489682878081</v>
      </c>
    </row>
    <row r="221" spans="2:4" x14ac:dyDescent="0.25">
      <c r="B221" s="13">
        <f t="shared" si="11"/>
        <v>19.925000000000015</v>
      </c>
      <c r="C221" s="9">
        <f t="shared" si="12"/>
        <v>1.2241527902329258E-2</v>
      </c>
      <c r="D221" s="9">
        <f t="shared" si="13"/>
        <v>0.8393951943564415</v>
      </c>
    </row>
    <row r="222" spans="2:4" x14ac:dyDescent="0.25">
      <c r="B222" s="13">
        <f t="shared" si="11"/>
        <v>20.025000000000016</v>
      </c>
      <c r="C222" s="9">
        <f t="shared" si="12"/>
        <v>1.2119905749611358E-2</v>
      </c>
      <c r="D222" s="9">
        <f t="shared" si="13"/>
        <v>0.84061325338924497</v>
      </c>
    </row>
    <row r="223" spans="2:4" x14ac:dyDescent="0.25">
      <c r="B223" s="13">
        <f t="shared" si="11"/>
        <v>20.125000000000018</v>
      </c>
      <c r="C223" s="9">
        <f t="shared" si="12"/>
        <v>1.1999790278343192E-2</v>
      </c>
      <c r="D223" s="9">
        <f t="shared" si="13"/>
        <v>0.84181922572864609</v>
      </c>
    </row>
    <row r="224" spans="2:4" x14ac:dyDescent="0.25">
      <c r="B224" s="13">
        <f t="shared" si="11"/>
        <v>20.225000000000019</v>
      </c>
      <c r="C224" s="9">
        <f t="shared" si="12"/>
        <v>1.1881159146211141E-2</v>
      </c>
      <c r="D224" s="9">
        <f t="shared" si="13"/>
        <v>0.84301326092246032</v>
      </c>
    </row>
    <row r="225" spans="2:4" x14ac:dyDescent="0.25">
      <c r="B225" s="13">
        <f t="shared" si="11"/>
        <v>20.325000000000021</v>
      </c>
      <c r="C225" s="9">
        <f t="shared" si="12"/>
        <v>1.1763990392929833E-2</v>
      </c>
      <c r="D225" s="9">
        <f t="shared" si="13"/>
        <v>0.84419550630343365</v>
      </c>
    </row>
    <row r="226" spans="2:4" x14ac:dyDescent="0.25">
      <c r="B226" s="13">
        <f t="shared" si="11"/>
        <v>20.425000000000022</v>
      </c>
      <c r="C226" s="9">
        <f t="shared" si="12"/>
        <v>1.164826243300235E-2</v>
      </c>
      <c r="D226" s="9">
        <f t="shared" si="13"/>
        <v>0.84536610702708292</v>
      </c>
    </row>
    <row r="227" spans="2:4" x14ac:dyDescent="0.25">
      <c r="B227" s="13">
        <f t="shared" si="11"/>
        <v>20.525000000000023</v>
      </c>
      <c r="C227" s="9">
        <f t="shared" si="12"/>
        <v>1.1533954048624596E-2</v>
      </c>
      <c r="D227" s="9">
        <f t="shared" si="13"/>
        <v>0.84652520610881832</v>
      </c>
    </row>
    <row r="228" spans="2:4" x14ac:dyDescent="0.25">
      <c r="B228" s="13">
        <f t="shared" si="11"/>
        <v>20.625000000000025</v>
      </c>
      <c r="C228" s="9">
        <f t="shared" si="12"/>
        <v>1.1421044382730918E-2</v>
      </c>
      <c r="D228" s="9">
        <f t="shared" si="13"/>
        <v>0.84767294446036412</v>
      </c>
    </row>
    <row r="229" spans="2:4" x14ac:dyDescent="0.25">
      <c r="B229" s="13">
        <f t="shared" si="11"/>
        <v>20.725000000000026</v>
      </c>
      <c r="C229" s="9">
        <f t="shared" si="12"/>
        <v>1.1309512932178524E-2</v>
      </c>
      <c r="D229" s="9">
        <f t="shared" si="13"/>
        <v>0.84880946092549014</v>
      </c>
    </row>
    <row r="230" spans="2:4" x14ac:dyDescent="0.25">
      <c r="B230" s="13">
        <f t="shared" si="11"/>
        <v>20.825000000000028</v>
      </c>
      <c r="C230" s="9">
        <f t="shared" si="12"/>
        <v>1.1199339541067874E-2</v>
      </c>
      <c r="D230" s="9">
        <f t="shared" si="13"/>
        <v>0.84993489231506947</v>
      </c>
    </row>
    <row r="231" spans="2:4" x14ac:dyDescent="0.25">
      <c r="B231" s="13">
        <f t="shared" si="11"/>
        <v>20.925000000000029</v>
      </c>
      <c r="C231" s="9">
        <f t="shared" si="12"/>
        <v>1.1090504394196773E-2</v>
      </c>
      <c r="D231" s="9">
        <f t="shared" si="13"/>
        <v>0.85104937344147369</v>
      </c>
    </row>
    <row r="232" spans="2:4" x14ac:dyDescent="0.25">
      <c r="B232" s="13">
        <f t="shared" si="11"/>
        <v>21.025000000000031</v>
      </c>
      <c r="C232" s="9">
        <f t="shared" si="12"/>
        <v>1.098298801064502E-2</v>
      </c>
      <c r="D232" s="9">
        <f t="shared" si="13"/>
        <v>0.85215303715232171</v>
      </c>
    </row>
    <row r="233" spans="2:4" x14ac:dyDescent="0.25">
      <c r="B233" s="13">
        <f t="shared" si="11"/>
        <v>21.125000000000032</v>
      </c>
      <c r="C233" s="9">
        <f t="shared" si="12"/>
        <v>1.0876771237487688E-2</v>
      </c>
      <c r="D233" s="9">
        <f t="shared" si="13"/>
        <v>0.8532460143635916</v>
      </c>
    </row>
    <row r="234" spans="2:4" x14ac:dyDescent="0.25">
      <c r="B234" s="13">
        <f t="shared" si="11"/>
        <v>21.225000000000033</v>
      </c>
      <c r="C234" s="9">
        <f t="shared" si="12"/>
        <v>1.0771835243634117E-2</v>
      </c>
      <c r="D234" s="9">
        <f t="shared" si="13"/>
        <v>0.8543284340921119</v>
      </c>
    </row>
    <row r="235" spans="2:4" x14ac:dyDescent="0.25">
      <c r="B235" s="13">
        <f t="shared" si="11"/>
        <v>21.325000000000035</v>
      </c>
      <c r="C235" s="9">
        <f t="shared" si="12"/>
        <v>1.0668161513790464E-2</v>
      </c>
      <c r="D235" s="9">
        <f t="shared" si="13"/>
        <v>0.85540042348744116</v>
      </c>
    </row>
    <row r="236" spans="2:4" x14ac:dyDescent="0.25">
      <c r="B236" s="13">
        <f t="shared" si="11"/>
        <v>21.425000000000036</v>
      </c>
      <c r="C236" s="9">
        <f t="shared" si="12"/>
        <v>1.0565731842542867E-2</v>
      </c>
      <c r="D236" s="9">
        <f t="shared" si="13"/>
        <v>0.85646210786315191</v>
      </c>
    </row>
    <row r="237" spans="2:4" x14ac:dyDescent="0.25">
      <c r="B237" s="13">
        <f t="shared" si="11"/>
        <v>21.525000000000038</v>
      </c>
      <c r="C237" s="9">
        <f t="shared" si="12"/>
        <v>1.0464528328559599E-2</v>
      </c>
      <c r="D237" s="9">
        <f t="shared" si="13"/>
        <v>0.85751361072752696</v>
      </c>
    </row>
    <row r="238" spans="2:4" x14ac:dyDescent="0.25">
      <c r="B238" s="13">
        <f t="shared" si="11"/>
        <v>21.625000000000039</v>
      </c>
      <c r="C238" s="9">
        <f t="shared" si="12"/>
        <v>1.0364533368909089E-2</v>
      </c>
      <c r="D238" s="9">
        <f t="shared" si="13"/>
        <v>0.85855505381368302</v>
      </c>
    </row>
    <row r="239" spans="2:4" x14ac:dyDescent="0.25">
      <c r="B239" s="13">
        <f t="shared" si="11"/>
        <v>21.725000000000041</v>
      </c>
      <c r="C239" s="9">
        <f t="shared" si="12"/>
        <v>1.0265729653491934E-2</v>
      </c>
      <c r="D239" s="9">
        <f t="shared" si="13"/>
        <v>0.85958655710913079</v>
      </c>
    </row>
    <row r="240" spans="2:4" x14ac:dyDescent="0.25">
      <c r="B240" s="13">
        <f t="shared" si="11"/>
        <v>21.825000000000042</v>
      </c>
      <c r="C240" s="9">
        <f t="shared" si="12"/>
        <v>1.0168100159584643E-2</v>
      </c>
      <c r="D240" s="9">
        <f t="shared" si="13"/>
        <v>0.8606082388847851</v>
      </c>
    </row>
    <row r="241" spans="2:4" x14ac:dyDescent="0.25">
      <c r="B241" s="13">
        <f t="shared" si="11"/>
        <v>21.925000000000043</v>
      </c>
      <c r="C241" s="9">
        <f t="shared" si="12"/>
        <v>1.0071628146492465E-2</v>
      </c>
      <c r="D241" s="9">
        <f t="shared" si="13"/>
        <v>0.86162021572343395</v>
      </c>
    </row>
    <row r="242" spans="2:4" x14ac:dyDescent="0.25">
      <c r="B242" s="13">
        <f t="shared" si="11"/>
        <v>22.025000000000045</v>
      </c>
      <c r="C242" s="9">
        <f t="shared" si="12"/>
        <v>9.9762971503095689E-3</v>
      </c>
      <c r="D242" s="9">
        <f t="shared" si="13"/>
        <v>0.86262260254767875</v>
      </c>
    </row>
    <row r="243" spans="2:4" x14ac:dyDescent="0.25">
      <c r="B243" s="13">
        <f t="shared" si="11"/>
        <v>22.125000000000046</v>
      </c>
      <c r="C243" s="9">
        <f t="shared" si="12"/>
        <v>9.8820909787841887E-3</v>
      </c>
      <c r="D243" s="9">
        <f t="shared" si="13"/>
        <v>0.86361551264735492</v>
      </c>
    </row>
    <row r="244" spans="2:4" x14ac:dyDescent="0.25">
      <c r="B244" s="13">
        <f t="shared" si="11"/>
        <v>22.225000000000048</v>
      </c>
      <c r="C244" s="9">
        <f t="shared" si="12"/>
        <v>9.7889937062864835E-3</v>
      </c>
      <c r="D244" s="9">
        <f t="shared" si="13"/>
        <v>0.86459905770644585</v>
      </c>
    </row>
    <row r="245" spans="2:4" x14ac:dyDescent="0.25">
      <c r="B245" s="13">
        <f t="shared" si="11"/>
        <v>22.325000000000049</v>
      </c>
      <c r="C245" s="9">
        <f t="shared" si="12"/>
        <v>9.6969896688772414E-3</v>
      </c>
      <c r="D245" s="9">
        <f t="shared" si="13"/>
        <v>0.86557334782949646</v>
      </c>
    </row>
    <row r="246" spans="2:4" x14ac:dyDescent="0.25">
      <c r="B246" s="13">
        <f t="shared" si="11"/>
        <v>22.42500000000005</v>
      </c>
      <c r="C246" s="9">
        <f t="shared" si="12"/>
        <v>9.6060634594752805E-3</v>
      </c>
      <c r="D246" s="9">
        <f t="shared" si="13"/>
        <v>0.86653849156754137</v>
      </c>
    </row>
    <row r="247" spans="2:4" x14ac:dyDescent="0.25">
      <c r="B247" s="13">
        <f t="shared" si="11"/>
        <v>22.525000000000052</v>
      </c>
      <c r="C247" s="9">
        <f t="shared" si="12"/>
        <v>9.5161999231214989E-3</v>
      </c>
      <c r="D247" s="9">
        <f t="shared" si="13"/>
        <v>0.86749459594355161</v>
      </c>
    </row>
    <row r="248" spans="2:4" x14ac:dyDescent="0.25">
      <c r="B248" s="13">
        <f t="shared" si="11"/>
        <v>22.625000000000053</v>
      </c>
      <c r="C248" s="9">
        <f t="shared" si="12"/>
        <v>9.4273841523376499E-3</v>
      </c>
      <c r="D248" s="9">
        <f t="shared" si="13"/>
        <v>0.86844176647741478</v>
      </c>
    </row>
    <row r="249" spans="2:4" x14ac:dyDescent="0.25">
      <c r="B249" s="13">
        <f t="shared" si="11"/>
        <v>22.725000000000055</v>
      </c>
      <c r="C249" s="9">
        <f t="shared" si="12"/>
        <v>9.339601482577729E-3</v>
      </c>
      <c r="D249" s="9">
        <f t="shared" si="13"/>
        <v>0.869380107210455</v>
      </c>
    </row>
    <row r="250" spans="2:4" x14ac:dyDescent="0.25">
      <c r="B250" s="13">
        <f t="shared" ref="B250:B313" si="14">+B249+0.1</f>
        <v>22.825000000000056</v>
      </c>
      <c r="C250" s="9">
        <f t="shared" si="12"/>
        <v>9.2528374877704125E-3</v>
      </c>
      <c r="D250" s="9">
        <f t="shared" si="13"/>
        <v>0.87030972072950197</v>
      </c>
    </row>
    <row r="251" spans="2:4" x14ac:dyDescent="0.25">
      <c r="B251" s="13">
        <f t="shared" si="14"/>
        <v>22.925000000000058</v>
      </c>
      <c r="C251" s="9">
        <f t="shared" si="12"/>
        <v>9.1670779759502902E-3</v>
      </c>
      <c r="D251" s="9">
        <f t="shared" si="13"/>
        <v>0.87123070819051995</v>
      </c>
    </row>
    <row r="252" spans="2:4" x14ac:dyDescent="0.25">
      <c r="B252" s="13">
        <f t="shared" si="14"/>
        <v>23.025000000000059</v>
      </c>
      <c r="C252" s="9">
        <f t="shared" si="12"/>
        <v>9.0823089849762714E-3</v>
      </c>
      <c r="D252" s="9">
        <f t="shared" si="13"/>
        <v>0.87214316934180292</v>
      </c>
    </row>
    <row r="253" spans="2:4" x14ac:dyDescent="0.25">
      <c r="B253" s="13">
        <f t="shared" si="14"/>
        <v>23.12500000000006</v>
      </c>
      <c r="C253" s="9">
        <f t="shared" si="12"/>
        <v>8.9985167783353422E-3</v>
      </c>
      <c r="D253" s="9">
        <f t="shared" si="13"/>
        <v>0.87304720254674684</v>
      </c>
    </row>
    <row r="254" spans="2:4" x14ac:dyDescent="0.25">
      <c r="B254" s="13">
        <f t="shared" si="14"/>
        <v>23.225000000000062</v>
      </c>
      <c r="C254" s="9">
        <f t="shared" si="12"/>
        <v>8.9156878410298363E-3</v>
      </c>
      <c r="D254" s="9">
        <f t="shared" si="13"/>
        <v>0.87394290480620629</v>
      </c>
    </row>
    <row r="255" spans="2:4" x14ac:dyDescent="0.25">
      <c r="B255" s="13">
        <f t="shared" si="14"/>
        <v>23.325000000000063</v>
      </c>
      <c r="C255" s="9">
        <f t="shared" si="12"/>
        <v>8.8338088755465626E-3</v>
      </c>
      <c r="D255" s="9">
        <f t="shared" si="13"/>
        <v>0.87483037178044309</v>
      </c>
    </row>
    <row r="256" spans="2:4" x14ac:dyDescent="0.25">
      <c r="B256" s="13">
        <f t="shared" si="14"/>
        <v>23.425000000000065</v>
      </c>
      <c r="C256" s="9">
        <f t="shared" si="12"/>
        <v>8.7528667979060466E-3</v>
      </c>
      <c r="D256" s="9">
        <f t="shared" si="13"/>
        <v>0.87570969781067731</v>
      </c>
    </row>
    <row r="257" spans="2:4" x14ac:dyDescent="0.25">
      <c r="B257" s="13">
        <f t="shared" si="14"/>
        <v>23.525000000000066</v>
      </c>
      <c r="C257" s="9">
        <f t="shared" si="12"/>
        <v>8.6728487337901939E-3</v>
      </c>
      <c r="D257" s="9">
        <f t="shared" si="13"/>
        <v>0.87658097594024631</v>
      </c>
    </row>
    <row r="258" spans="2:4" x14ac:dyDescent="0.25">
      <c r="B258" s="13">
        <f t="shared" si="14"/>
        <v>23.625000000000068</v>
      </c>
      <c r="C258" s="9">
        <f t="shared" si="12"/>
        <v>8.593742014746877E-3</v>
      </c>
      <c r="D258" s="9">
        <f t="shared" si="13"/>
        <v>0.87744429793538004</v>
      </c>
    </row>
    <row r="259" spans="2:4" x14ac:dyDescent="0.25">
      <c r="B259" s="13">
        <f t="shared" si="14"/>
        <v>23.725000000000069</v>
      </c>
      <c r="C259" s="9">
        <f t="shared" si="12"/>
        <v>8.515534174469673E-3</v>
      </c>
      <c r="D259" s="9">
        <f t="shared" si="13"/>
        <v>0.87829975430560081</v>
      </c>
    </row>
    <row r="260" spans="2:4" x14ac:dyDescent="0.25">
      <c r="B260" s="13">
        <f t="shared" si="14"/>
        <v>23.82500000000007</v>
      </c>
      <c r="C260" s="9">
        <f t="shared" si="12"/>
        <v>8.4382129451512165E-3</v>
      </c>
      <c r="D260" s="9">
        <f t="shared" si="13"/>
        <v>0.87914743432375597</v>
      </c>
    </row>
    <row r="261" spans="2:4" x14ac:dyDescent="0.25">
      <c r="B261" s="13">
        <f t="shared" si="14"/>
        <v>23.925000000000072</v>
      </c>
      <c r="C261" s="9">
        <f t="shared" si="12"/>
        <v>8.3617662539088467E-3</v>
      </c>
      <c r="D261" s="9">
        <f t="shared" si="13"/>
        <v>0.87998742604568747</v>
      </c>
    </row>
    <row r="262" spans="2:4" x14ac:dyDescent="0.25">
      <c r="B262" s="13">
        <f t="shared" si="14"/>
        <v>24.025000000000073</v>
      </c>
      <c r="C262" s="9">
        <f t="shared" si="12"/>
        <v>8.2861822192807234E-3</v>
      </c>
      <c r="D262" s="9">
        <f t="shared" si="13"/>
        <v>0.88081981632954942</v>
      </c>
    </row>
    <row r="263" spans="2:4" x14ac:dyDescent="0.25">
      <c r="B263" s="13">
        <f t="shared" si="14"/>
        <v>24.125000000000075</v>
      </c>
      <c r="C263" s="9">
        <f t="shared" si="12"/>
        <v>8.2114491477911847E-3</v>
      </c>
      <c r="D263" s="9">
        <f t="shared" si="13"/>
        <v>0.88164469085477648</v>
      </c>
    </row>
    <row r="264" spans="2:4" x14ac:dyDescent="0.25">
      <c r="B264" s="13">
        <f t="shared" si="14"/>
        <v>24.225000000000076</v>
      </c>
      <c r="C264" s="9">
        <f t="shared" ref="C264:C327" si="15">+_xlfn.LOGNORM.DIST(B264,$C$4,$C$5,FALSE)</f>
        <v>8.1375555305837569E-3</v>
      </c>
      <c r="D264" s="9">
        <f t="shared" ref="D264:D327" si="16">+_xlfn.LOGNORM.DIST(B264,$C$4,$C$5,TRUE)</f>
        <v>0.88246213414071561</v>
      </c>
    </row>
    <row r="265" spans="2:4" x14ac:dyDescent="0.25">
      <c r="B265" s="13">
        <f t="shared" si="14"/>
        <v>24.325000000000077</v>
      </c>
      <c r="C265" s="9">
        <f t="shared" si="15"/>
        <v>8.064490040120496E-3</v>
      </c>
      <c r="D265" s="9">
        <f t="shared" si="16"/>
        <v>0.88327222956492024</v>
      </c>
    </row>
    <row r="266" spans="2:4" x14ac:dyDescent="0.25">
      <c r="B266" s="13">
        <f t="shared" si="14"/>
        <v>24.425000000000079</v>
      </c>
      <c r="C266" s="9">
        <f t="shared" si="15"/>
        <v>7.992241526946265E-3</v>
      </c>
      <c r="D266" s="9">
        <f t="shared" si="16"/>
        <v>0.88407505938112163</v>
      </c>
    </row>
    <row r="267" spans="2:4" x14ac:dyDescent="0.25">
      <c r="B267" s="13">
        <f t="shared" si="14"/>
        <v>24.52500000000008</v>
      </c>
      <c r="C267" s="9">
        <f t="shared" si="15"/>
        <v>7.920799016516494E-3</v>
      </c>
      <c r="D267" s="9">
        <f t="shared" si="16"/>
        <v>0.88487070473687679</v>
      </c>
    </row>
    <row r="268" spans="2:4" x14ac:dyDescent="0.25">
      <c r="B268" s="13">
        <f t="shared" si="14"/>
        <v>24.625000000000082</v>
      </c>
      <c r="C268" s="9">
        <f t="shared" si="15"/>
        <v>7.8501517060872595E-3</v>
      </c>
      <c r="D268" s="9">
        <f t="shared" si="16"/>
        <v>0.88565924569090415</v>
      </c>
    </row>
    <row r="269" spans="2:4" x14ac:dyDescent="0.25">
      <c r="B269" s="13">
        <f t="shared" si="14"/>
        <v>24.725000000000083</v>
      </c>
      <c r="C269" s="9">
        <f t="shared" si="15"/>
        <v>7.7802889616662273E-3</v>
      </c>
      <c r="D269" s="9">
        <f t="shared" si="16"/>
        <v>0.88644076123011051</v>
      </c>
    </row>
    <row r="270" spans="2:4" x14ac:dyDescent="0.25">
      <c r="B270" s="13">
        <f t="shared" si="14"/>
        <v>24.825000000000085</v>
      </c>
      <c r="C270" s="9">
        <f t="shared" si="15"/>
        <v>7.7112003150233335E-3</v>
      </c>
      <c r="D270" s="9">
        <f t="shared" si="16"/>
        <v>0.88721532928631575</v>
      </c>
    </row>
    <row r="271" spans="2:4" x14ac:dyDescent="0.25">
      <c r="B271" s="13">
        <f t="shared" si="14"/>
        <v>24.925000000000086</v>
      </c>
      <c r="C271" s="9">
        <f t="shared" si="15"/>
        <v>7.6428754607597797E-3</v>
      </c>
      <c r="D271" s="9">
        <f t="shared" si="16"/>
        <v>0.88798302675268337</v>
      </c>
    </row>
    <row r="272" spans="2:4" x14ac:dyDescent="0.25">
      <c r="B272" s="13">
        <f t="shared" si="14"/>
        <v>25.025000000000087</v>
      </c>
      <c r="C272" s="9">
        <f t="shared" si="15"/>
        <v>7.5753042534343392E-3</v>
      </c>
      <c r="D272" s="9">
        <f t="shared" si="16"/>
        <v>0.88874392949985781</v>
      </c>
    </row>
    <row r="273" spans="2:4" x14ac:dyDescent="0.25">
      <c r="B273" s="13">
        <f t="shared" si="14"/>
        <v>25.125000000000089</v>
      </c>
      <c r="C273" s="9">
        <f t="shared" si="15"/>
        <v>7.5084767047456074E-3</v>
      </c>
      <c r="D273" s="9">
        <f t="shared" si="16"/>
        <v>0.88949811239181997</v>
      </c>
    </row>
    <row r="274" spans="2:4" x14ac:dyDescent="0.25">
      <c r="B274" s="13">
        <f t="shared" si="14"/>
        <v>25.22500000000009</v>
      </c>
      <c r="C274" s="9">
        <f t="shared" si="15"/>
        <v>7.4423829807690883E-3</v>
      </c>
      <c r="D274" s="9">
        <f t="shared" si="16"/>
        <v>0.89024564930146211</v>
      </c>
    </row>
    <row r="275" spans="2:4" x14ac:dyDescent="0.25">
      <c r="B275" s="13">
        <f t="shared" si="14"/>
        <v>25.325000000000092</v>
      </c>
      <c r="C275" s="9">
        <f t="shared" si="15"/>
        <v>7.3770133992479732E-3</v>
      </c>
      <c r="D275" s="9">
        <f t="shared" si="16"/>
        <v>0.89098661312589</v>
      </c>
    </row>
    <row r="276" spans="2:4" x14ac:dyDescent="0.25">
      <c r="B276" s="13">
        <f t="shared" si="14"/>
        <v>25.425000000000093</v>
      </c>
      <c r="C276" s="9">
        <f t="shared" si="15"/>
        <v>7.3123584269366004E-3</v>
      </c>
      <c r="D276" s="9">
        <f t="shared" si="16"/>
        <v>0.8917210758014561</v>
      </c>
    </row>
    <row r="277" spans="2:4" x14ac:dyDescent="0.25">
      <c r="B277" s="13">
        <f t="shared" si="14"/>
        <v>25.525000000000095</v>
      </c>
      <c r="C277" s="9">
        <f t="shared" si="15"/>
        <v>7.2484086769952138E-3</v>
      </c>
      <c r="D277" s="9">
        <f t="shared" si="16"/>
        <v>0.89244910831852997</v>
      </c>
    </row>
    <row r="278" spans="2:4" x14ac:dyDescent="0.25">
      <c r="B278" s="13">
        <f t="shared" si="14"/>
        <v>25.625000000000096</v>
      </c>
      <c r="C278" s="9">
        <f t="shared" si="15"/>
        <v>7.1851549064353322E-3</v>
      </c>
      <c r="D278" s="9">
        <f t="shared" si="16"/>
        <v>0.89317078073601075</v>
      </c>
    </row>
    <row r="279" spans="2:4" x14ac:dyDescent="0.25">
      <c r="B279" s="13">
        <f t="shared" si="14"/>
        <v>25.725000000000097</v>
      </c>
      <c r="C279" s="9">
        <f t="shared" si="15"/>
        <v>7.1225880136143154E-3</v>
      </c>
      <c r="D279" s="9">
        <f t="shared" si="16"/>
        <v>0.89388616219558736</v>
      </c>
    </row>
    <row r="280" spans="2:4" x14ac:dyDescent="0.25">
      <c r="B280" s="13">
        <f t="shared" si="14"/>
        <v>25.825000000000099</v>
      </c>
      <c r="C280" s="9">
        <f t="shared" si="15"/>
        <v>7.0606990357783795E-3</v>
      </c>
      <c r="D280" s="9">
        <f t="shared" si="16"/>
        <v>0.89459532093574823</v>
      </c>
    </row>
    <row r="281" spans="2:4" x14ac:dyDescent="0.25">
      <c r="B281" s="13">
        <f t="shared" si="14"/>
        <v>25.9250000000001</v>
      </c>
      <c r="C281" s="9">
        <f t="shared" si="15"/>
        <v>6.9994791466528776E-3</v>
      </c>
      <c r="D281" s="9">
        <f t="shared" si="16"/>
        <v>0.8952983243055509</v>
      </c>
    </row>
    <row r="282" spans="2:4" x14ac:dyDescent="0.25">
      <c r="B282" s="13">
        <f t="shared" si="14"/>
        <v>26.025000000000102</v>
      </c>
      <c r="C282" s="9">
        <f t="shared" si="15"/>
        <v>6.9389196540790331E-3</v>
      </c>
      <c r="D282" s="9">
        <f t="shared" si="16"/>
        <v>0.89599523877815079</v>
      </c>
    </row>
    <row r="283" spans="2:4" x14ac:dyDescent="0.25">
      <c r="B283" s="13">
        <f t="shared" si="14"/>
        <v>26.125000000000103</v>
      </c>
      <c r="C283" s="9">
        <f t="shared" si="15"/>
        <v>6.879011997695951E-3</v>
      </c>
      <c r="D283" s="9">
        <f t="shared" si="16"/>
        <v>0.89668612996409591</v>
      </c>
    </row>
    <row r="284" spans="2:4" x14ac:dyDescent="0.25">
      <c r="B284" s="13">
        <f t="shared" si="14"/>
        <v>26.225000000000104</v>
      </c>
      <c r="C284" s="9">
        <f t="shared" si="15"/>
        <v>6.8197477466671024E-3</v>
      </c>
      <c r="D284" s="9">
        <f t="shared" si="16"/>
        <v>0.8973710626243937</v>
      </c>
    </row>
    <row r="285" spans="2:4" x14ac:dyDescent="0.25">
      <c r="B285" s="13">
        <f t="shared" si="14"/>
        <v>26.325000000000106</v>
      </c>
      <c r="C285" s="9">
        <f t="shared" si="15"/>
        <v>6.7611185974504225E-3</v>
      </c>
      <c r="D285" s="9">
        <f t="shared" si="16"/>
        <v>0.89805010068335078</v>
      </c>
    </row>
    <row r="286" spans="2:4" x14ac:dyDescent="0.25">
      <c r="B286" s="13">
        <f t="shared" si="14"/>
        <v>26.425000000000107</v>
      </c>
      <c r="C286" s="9">
        <f t="shared" si="15"/>
        <v>6.7031163716109662E-3</v>
      </c>
      <c r="D286" s="9">
        <f t="shared" si="16"/>
        <v>0.89872330724119309</v>
      </c>
    </row>
    <row r="287" spans="2:4" x14ac:dyDescent="0.25">
      <c r="B287" s="13">
        <f t="shared" si="14"/>
        <v>26.525000000000109</v>
      </c>
      <c r="C287" s="9">
        <f t="shared" si="15"/>
        <v>6.6457330136752866E-3</v>
      </c>
      <c r="D287" s="9">
        <f t="shared" si="16"/>
        <v>0.89939074458646884</v>
      </c>
    </row>
    <row r="288" spans="2:4" x14ac:dyDescent="0.25">
      <c r="B288" s="13">
        <f t="shared" si="14"/>
        <v>26.62500000000011</v>
      </c>
      <c r="C288" s="9">
        <f t="shared" si="15"/>
        <v>6.5889605890268191E-3</v>
      </c>
      <c r="D288" s="9">
        <f t="shared" si="16"/>
        <v>0.90005247420823908</v>
      </c>
    </row>
    <row r="289" spans="2:4" x14ac:dyDescent="0.25">
      <c r="B289" s="13">
        <f t="shared" si="14"/>
        <v>26.725000000000112</v>
      </c>
      <c r="C289" s="9">
        <f t="shared" si="15"/>
        <v>6.5327912818411629E-3</v>
      </c>
      <c r="D289" s="9">
        <f t="shared" si="16"/>
        <v>0.90070855680805983</v>
      </c>
    </row>
    <row r="290" spans="2:4" x14ac:dyDescent="0.25">
      <c r="B290" s="13">
        <f t="shared" si="14"/>
        <v>26.825000000000113</v>
      </c>
      <c r="C290" s="9">
        <f t="shared" si="15"/>
        <v>6.4772173930606799E-3</v>
      </c>
      <c r="D290" s="9">
        <f t="shared" si="16"/>
        <v>0.90135905231175995</v>
      </c>
    </row>
    <row r="291" spans="2:4" x14ac:dyDescent="0.25">
      <c r="B291" s="13">
        <f t="shared" si="14"/>
        <v>26.925000000000114</v>
      </c>
      <c r="C291" s="9">
        <f t="shared" si="15"/>
        <v>6.4222313384074883E-3</v>
      </c>
      <c r="D291" s="9">
        <f t="shared" si="16"/>
        <v>0.90200401988101753</v>
      </c>
    </row>
    <row r="292" spans="2:4" x14ac:dyDescent="0.25">
      <c r="B292" s="13">
        <f t="shared" si="14"/>
        <v>27.025000000000116</v>
      </c>
      <c r="C292" s="9">
        <f t="shared" si="15"/>
        <v>6.3678256464340449E-3</v>
      </c>
      <c r="D292" s="9">
        <f t="shared" si="16"/>
        <v>0.90264351792474096</v>
      </c>
    </row>
    <row r="293" spans="2:4" x14ac:dyDescent="0.25">
      <c r="B293" s="13">
        <f t="shared" si="14"/>
        <v>27.125000000000117</v>
      </c>
      <c r="C293" s="9">
        <f t="shared" si="15"/>
        <v>6.3139929566106102E-3</v>
      </c>
      <c r="D293" s="9">
        <f t="shared" si="16"/>
        <v>0.90327760411025493</v>
      </c>
    </row>
    <row r="294" spans="2:4" x14ac:dyDescent="0.25">
      <c r="B294" s="13">
        <f t="shared" si="14"/>
        <v>27.225000000000119</v>
      </c>
      <c r="C294" s="9">
        <f t="shared" si="15"/>
        <v>6.2607260174487806E-3</v>
      </c>
      <c r="D294" s="9">
        <f t="shared" si="16"/>
        <v>0.90390633537429932</v>
      </c>
    </row>
    <row r="295" spans="2:4" x14ac:dyDescent="0.25">
      <c r="B295" s="13">
        <f t="shared" si="14"/>
        <v>27.32500000000012</v>
      </c>
      <c r="C295" s="9">
        <f t="shared" si="15"/>
        <v>6.2080176846603975E-3</v>
      </c>
      <c r="D295" s="9">
        <f t="shared" si="16"/>
        <v>0.9045297679338401</v>
      </c>
    </row>
    <row r="296" spans="2:4" x14ac:dyDescent="0.25">
      <c r="B296" s="13">
        <f t="shared" si="14"/>
        <v>27.425000000000122</v>
      </c>
      <c r="C296" s="9">
        <f t="shared" si="15"/>
        <v>6.1558609193510319E-3</v>
      </c>
      <c r="D296" s="9">
        <f t="shared" si="16"/>
        <v>0.90514795729669895</v>
      </c>
    </row>
    <row r="297" spans="2:4" x14ac:dyDescent="0.25">
      <c r="B297" s="13">
        <f t="shared" si="14"/>
        <v>27.525000000000123</v>
      </c>
      <c r="C297" s="9">
        <f t="shared" si="15"/>
        <v>6.1042487862474808E-3</v>
      </c>
      <c r="D297" s="9">
        <f t="shared" si="16"/>
        <v>0.90576095827200387</v>
      </c>
    </row>
    <row r="298" spans="2:4" x14ac:dyDescent="0.25">
      <c r="B298" s="13">
        <f t="shared" si="14"/>
        <v>27.625000000000124</v>
      </c>
      <c r="C298" s="9">
        <f t="shared" si="15"/>
        <v>6.0531744519583819E-3</v>
      </c>
      <c r="D298" s="9">
        <f t="shared" si="16"/>
        <v>0.90636882498046434</v>
      </c>
    </row>
    <row r="299" spans="2:4" x14ac:dyDescent="0.25">
      <c r="B299" s="13">
        <f t="shared" si="14"/>
        <v>27.725000000000126</v>
      </c>
      <c r="C299" s="9">
        <f t="shared" si="15"/>
        <v>6.0026311832674919E-3</v>
      </c>
      <c r="D299" s="9">
        <f t="shared" si="16"/>
        <v>0.90697161086447287</v>
      </c>
    </row>
    <row r="300" spans="2:4" x14ac:dyDescent="0.25">
      <c r="B300" s="13">
        <f t="shared" si="14"/>
        <v>27.825000000000127</v>
      </c>
      <c r="C300" s="9">
        <f t="shared" si="15"/>
        <v>5.9526123454586959E-3</v>
      </c>
      <c r="D300" s="9">
        <f t="shared" si="16"/>
        <v>0.90756936869803961</v>
      </c>
    </row>
    <row r="301" spans="2:4" x14ac:dyDescent="0.25">
      <c r="B301" s="13">
        <f t="shared" si="14"/>
        <v>27.925000000000129</v>
      </c>
      <c r="C301" s="9">
        <f t="shared" si="15"/>
        <v>5.9031114006724318E-3</v>
      </c>
      <c r="D301" s="9">
        <f t="shared" si="16"/>
        <v>0.90816215059655947</v>
      </c>
    </row>
    <row r="302" spans="2:4" x14ac:dyDescent="0.25">
      <c r="B302" s="13">
        <f t="shared" si="14"/>
        <v>28.02500000000013</v>
      </c>
      <c r="C302" s="9">
        <f t="shared" si="15"/>
        <v>5.8541219062925995E-3</v>
      </c>
      <c r="D302" s="9">
        <f t="shared" si="16"/>
        <v>0.90875000802641692</v>
      </c>
    </row>
    <row r="303" spans="2:4" x14ac:dyDescent="0.25">
      <c r="B303" s="13">
        <f t="shared" si="14"/>
        <v>28.125000000000131</v>
      </c>
      <c r="C303" s="9">
        <f t="shared" si="15"/>
        <v>5.8056375133634479E-3</v>
      </c>
      <c r="D303" s="9">
        <f t="shared" si="16"/>
        <v>0.90933299181443072</v>
      </c>
    </row>
    <row r="304" spans="2:4" x14ac:dyDescent="0.25">
      <c r="B304" s="13">
        <f t="shared" si="14"/>
        <v>28.225000000000133</v>
      </c>
      <c r="C304" s="9">
        <f t="shared" si="15"/>
        <v>5.7576519650359018E-3</v>
      </c>
      <c r="D304" s="9">
        <f t="shared" si="16"/>
        <v>0.90991115215714236</v>
      </c>
    </row>
    <row r="305" spans="2:4" x14ac:dyDescent="0.25">
      <c r="B305" s="13">
        <f t="shared" si="14"/>
        <v>28.325000000000134</v>
      </c>
      <c r="C305" s="9">
        <f t="shared" si="15"/>
        <v>5.710159095042599E-3</v>
      </c>
      <c r="D305" s="9">
        <f t="shared" si="16"/>
        <v>0.91048453862995005</v>
      </c>
    </row>
    <row r="306" spans="2:4" x14ac:dyDescent="0.25">
      <c r="B306" s="13">
        <f t="shared" si="14"/>
        <v>28.425000000000136</v>
      </c>
      <c r="C306" s="9">
        <f t="shared" si="15"/>
        <v>5.6631528262011729E-3</v>
      </c>
      <c r="D306" s="9">
        <f t="shared" si="16"/>
        <v>0.91105320019609193</v>
      </c>
    </row>
    <row r="307" spans="2:4" x14ac:dyDescent="0.25">
      <c r="B307" s="13">
        <f t="shared" si="14"/>
        <v>28.525000000000137</v>
      </c>
      <c r="C307" s="9">
        <f t="shared" si="15"/>
        <v>5.6166271689451069E-3</v>
      </c>
      <c r="D307" s="9">
        <f t="shared" si="16"/>
        <v>0.91161718521548074</v>
      </c>
    </row>
    <row r="308" spans="2:4" x14ac:dyDescent="0.25">
      <c r="B308" s="13">
        <f t="shared" si="14"/>
        <v>28.625000000000139</v>
      </c>
      <c r="C308" s="9">
        <f t="shared" si="15"/>
        <v>5.5705762198816934E-3</v>
      </c>
      <c r="D308" s="9">
        <f t="shared" si="16"/>
        <v>0.91217654145339322</v>
      </c>
    </row>
    <row r="309" spans="2:4" x14ac:dyDescent="0.25">
      <c r="B309" s="13">
        <f t="shared" si="14"/>
        <v>28.72500000000014</v>
      </c>
      <c r="C309" s="9">
        <f t="shared" si="15"/>
        <v>5.524994160376568E-3</v>
      </c>
      <c r="D309" s="9">
        <f t="shared" si="16"/>
        <v>0.91273131608901648</v>
      </c>
    </row>
    <row r="310" spans="2:4" x14ac:dyDescent="0.25">
      <c r="B310" s="13">
        <f t="shared" si="14"/>
        <v>28.825000000000141</v>
      </c>
      <c r="C310" s="9">
        <f t="shared" si="15"/>
        <v>5.4798752551640352E-3</v>
      </c>
      <c r="D310" s="9">
        <f t="shared" si="16"/>
        <v>0.91328155572385383</v>
      </c>
    </row>
    <row r="311" spans="2:4" x14ac:dyDescent="0.25">
      <c r="B311" s="13">
        <f t="shared" si="14"/>
        <v>28.925000000000143</v>
      </c>
      <c r="C311" s="9">
        <f t="shared" si="15"/>
        <v>5.4352138509831316E-3</v>
      </c>
      <c r="D311" s="9">
        <f t="shared" si="16"/>
        <v>0.91382730638999399</v>
      </c>
    </row>
    <row r="312" spans="2:4" x14ac:dyDescent="0.25">
      <c r="B312" s="13">
        <f t="shared" si="14"/>
        <v>29.025000000000144</v>
      </c>
      <c r="C312" s="9">
        <f t="shared" si="15"/>
        <v>5.3910043752384189E-3</v>
      </c>
      <c r="D312" s="9">
        <f t="shared" si="16"/>
        <v>0.91436861355824361</v>
      </c>
    </row>
    <row r="313" spans="2:4" x14ac:dyDescent="0.25">
      <c r="B313" s="13">
        <f t="shared" si="14"/>
        <v>29.125000000000146</v>
      </c>
      <c r="C313" s="9">
        <f t="shared" si="15"/>
        <v>5.3472413346853922E-3</v>
      </c>
      <c r="D313" s="9">
        <f t="shared" si="16"/>
        <v>0.91490552214612808</v>
      </c>
    </row>
    <row r="314" spans="2:4" x14ac:dyDescent="0.25">
      <c r="B314" s="13">
        <f t="shared" ref="B314:B377" si="17">+B313+0.1</f>
        <v>29.225000000000147</v>
      </c>
      <c r="C314" s="9">
        <f t="shared" si="15"/>
        <v>5.303919314139708E-3</v>
      </c>
      <c r="D314" s="9">
        <f t="shared" si="16"/>
        <v>0.91543807652576226</v>
      </c>
    </row>
    <row r="315" spans="2:4" x14ac:dyDescent="0.25">
      <c r="B315" s="13">
        <f t="shared" si="17"/>
        <v>29.325000000000149</v>
      </c>
      <c r="C315" s="9">
        <f t="shared" si="15"/>
        <v>5.2610329752100175E-3</v>
      </c>
      <c r="D315" s="9">
        <f t="shared" si="16"/>
        <v>0.91596632053159255</v>
      </c>
    </row>
    <row r="316" spans="2:4" x14ac:dyDescent="0.25">
      <c r="B316" s="13">
        <f t="shared" si="17"/>
        <v>29.42500000000015</v>
      </c>
      <c r="C316" s="9">
        <f t="shared" si="15"/>
        <v>5.2185770550538029E-3</v>
      </c>
      <c r="D316" s="9">
        <f t="shared" si="16"/>
        <v>0.91649029746801414</v>
      </c>
    </row>
    <row r="317" spans="2:4" x14ac:dyDescent="0.25">
      <c r="B317" s="13">
        <f t="shared" si="17"/>
        <v>29.525000000000151</v>
      </c>
      <c r="C317" s="9">
        <f t="shared" si="15"/>
        <v>5.176546365155678E-3</v>
      </c>
      <c r="D317" s="9">
        <f t="shared" si="16"/>
        <v>0.91701005011686409</v>
      </c>
    </row>
    <row r="318" spans="2:4" x14ac:dyDescent="0.25">
      <c r="B318" s="13">
        <f t="shared" si="17"/>
        <v>29.625000000000153</v>
      </c>
      <c r="C318" s="9">
        <f t="shared" si="15"/>
        <v>5.1349357901279459E-3</v>
      </c>
      <c r="D318" s="9">
        <f t="shared" si="16"/>
        <v>0.91752562074479427</v>
      </c>
    </row>
    <row r="319" spans="2:4" x14ac:dyDescent="0.25">
      <c r="B319" s="13">
        <f t="shared" si="17"/>
        <v>29.725000000000154</v>
      </c>
      <c r="C319" s="9">
        <f t="shared" si="15"/>
        <v>5.0937402865326919E-3</v>
      </c>
      <c r="D319" s="9">
        <f t="shared" si="16"/>
        <v>0.91803705111052547</v>
      </c>
    </row>
    <row r="320" spans="2:4" x14ac:dyDescent="0.25">
      <c r="B320" s="13">
        <f t="shared" si="17"/>
        <v>29.825000000000156</v>
      </c>
      <c r="C320" s="9">
        <f t="shared" si="15"/>
        <v>5.0529548817252138E-3</v>
      </c>
      <c r="D320" s="9">
        <f t="shared" si="16"/>
        <v>0.91854438247198311</v>
      </c>
    </row>
    <row r="321" spans="2:4" x14ac:dyDescent="0.25">
      <c r="B321" s="13">
        <f t="shared" si="17"/>
        <v>29.925000000000157</v>
      </c>
      <c r="C321" s="9">
        <f t="shared" si="15"/>
        <v>5.0125746727182254E-3</v>
      </c>
      <c r="D321" s="9">
        <f t="shared" si="16"/>
        <v>0.91904765559332091</v>
      </c>
    </row>
    <row r="322" spans="2:4" x14ac:dyDescent="0.25">
      <c r="B322" s="13">
        <f t="shared" si="17"/>
        <v>30.025000000000158</v>
      </c>
      <c r="C322" s="9">
        <f t="shared" si="15"/>
        <v>4.9725948250664929E-3</v>
      </c>
      <c r="D322" s="9">
        <f t="shared" si="16"/>
        <v>0.91954691075183037</v>
      </c>
    </row>
    <row r="323" spans="2:4" x14ac:dyDescent="0.25">
      <c r="B323" s="13">
        <f t="shared" si="17"/>
        <v>30.12500000000016</v>
      </c>
      <c r="C323" s="9">
        <f t="shared" si="15"/>
        <v>4.9330105717715041E-3</v>
      </c>
      <c r="D323" s="9">
        <f t="shared" si="16"/>
        <v>0.92004218774473912</v>
      </c>
    </row>
    <row r="324" spans="2:4" x14ac:dyDescent="0.25">
      <c r="B324" s="13">
        <f t="shared" si="17"/>
        <v>30.225000000000161</v>
      </c>
      <c r="C324" s="9">
        <f t="shared" si="15"/>
        <v>4.8938172122056168E-3</v>
      </c>
      <c r="D324" s="9">
        <f t="shared" si="16"/>
        <v>0.92053352589590309</v>
      </c>
    </row>
    <row r="325" spans="2:4" x14ac:dyDescent="0.25">
      <c r="B325" s="13">
        <f t="shared" si="17"/>
        <v>30.325000000000163</v>
      </c>
      <c r="C325" s="9">
        <f t="shared" si="15"/>
        <v>4.8550101110556671E-3</v>
      </c>
      <c r="D325" s="9">
        <f t="shared" si="16"/>
        <v>0.92102096406238942</v>
      </c>
    </row>
    <row r="326" spans="2:4" x14ac:dyDescent="0.25">
      <c r="B326" s="13">
        <f t="shared" si="17"/>
        <v>30.425000000000164</v>
      </c>
      <c r="C326" s="9">
        <f t="shared" si="15"/>
        <v>4.8165846972852006E-3</v>
      </c>
      <c r="D326" s="9">
        <f t="shared" si="16"/>
        <v>0.92150454064095655</v>
      </c>
    </row>
    <row r="327" spans="2:4" x14ac:dyDescent="0.25">
      <c r="B327" s="13">
        <f t="shared" si="17"/>
        <v>30.525000000000166</v>
      </c>
      <c r="C327" s="9">
        <f t="shared" si="15"/>
        <v>4.7785364631153238E-3</v>
      </c>
      <c r="D327" s="9">
        <f t="shared" si="16"/>
        <v>0.92198429357443057</v>
      </c>
    </row>
    <row r="328" spans="2:4" x14ac:dyDescent="0.25">
      <c r="B328" s="13">
        <f t="shared" si="17"/>
        <v>30.625000000000167</v>
      </c>
      <c r="C328" s="9">
        <f t="shared" ref="C328:C391" si="18">+_xlfn.LOGNORM.DIST(B328,$C$4,$C$5,FALSE)</f>
        <v>4.7408609630235866E-3</v>
      </c>
      <c r="D328" s="9">
        <f t="shared" ref="D328:D391" si="19">+_xlfn.LOGNORM.DIST(B328,$C$4,$C$5,TRUE)</f>
        <v>0.92246026035798079</v>
      </c>
    </row>
    <row r="329" spans="2:4" x14ac:dyDescent="0.25">
      <c r="B329" s="13">
        <f t="shared" si="17"/>
        <v>30.725000000000168</v>
      </c>
      <c r="C329" s="9">
        <f t="shared" si="18"/>
        <v>4.7035538127607269E-3</v>
      </c>
      <c r="D329" s="9">
        <f t="shared" si="19"/>
        <v>0.92293247804529599</v>
      </c>
    </row>
    <row r="330" spans="2:4" x14ac:dyDescent="0.25">
      <c r="B330" s="13">
        <f t="shared" si="17"/>
        <v>30.82500000000017</v>
      </c>
      <c r="C330" s="9">
        <f t="shared" si="18"/>
        <v>4.6666106883846972E-3</v>
      </c>
      <c r="D330" s="9">
        <f t="shared" si="19"/>
        <v>0.92340098325466324</v>
      </c>
    </row>
    <row r="331" spans="2:4" x14ac:dyDescent="0.25">
      <c r="B331" s="13">
        <f t="shared" si="17"/>
        <v>30.925000000000171</v>
      </c>
      <c r="C331" s="9">
        <f t="shared" si="18"/>
        <v>4.6300273253119311E-3</v>
      </c>
      <c r="D331" s="9">
        <f t="shared" si="19"/>
        <v>0.92386581217495145</v>
      </c>
    </row>
    <row r="332" spans="2:4" x14ac:dyDescent="0.25">
      <c r="B332" s="13">
        <f t="shared" si="17"/>
        <v>31.025000000000173</v>
      </c>
      <c r="C332" s="9">
        <f t="shared" si="18"/>
        <v>4.593799517385185E-3</v>
      </c>
      <c r="D332" s="9">
        <f t="shared" si="19"/>
        <v>0.92432700057149997</v>
      </c>
    </row>
    <row r="333" spans="2:4" x14ac:dyDescent="0.25">
      <c r="B333" s="13">
        <f t="shared" si="17"/>
        <v>31.125000000000174</v>
      </c>
      <c r="C333" s="9">
        <f t="shared" si="18"/>
        <v>4.5579231159579214E-3</v>
      </c>
      <c r="D333" s="9">
        <f t="shared" si="19"/>
        <v>0.92478458379191553</v>
      </c>
    </row>
    <row r="334" spans="2:4" x14ac:dyDescent="0.25">
      <c r="B334" s="13">
        <f t="shared" si="17"/>
        <v>31.225000000000176</v>
      </c>
      <c r="C334" s="9">
        <f t="shared" si="18"/>
        <v>4.5223940289947535E-3</v>
      </c>
      <c r="D334" s="9">
        <f t="shared" si="19"/>
        <v>0.92523859677177844</v>
      </c>
    </row>
    <row r="335" spans="2:4" x14ac:dyDescent="0.25">
      <c r="B335" s="13">
        <f t="shared" si="17"/>
        <v>31.325000000000177</v>
      </c>
      <c r="C335" s="9">
        <f t="shared" si="18"/>
        <v>4.4872082201876436E-3</v>
      </c>
      <c r="D335" s="9">
        <f t="shared" si="19"/>
        <v>0.9256890740402588</v>
      </c>
    </row>
    <row r="336" spans="2:4" x14ac:dyDescent="0.25">
      <c r="B336" s="13">
        <f t="shared" si="17"/>
        <v>31.425000000000178</v>
      </c>
      <c r="C336" s="9">
        <f t="shared" si="18"/>
        <v>4.4523617080876408E-3</v>
      </c>
      <c r="D336" s="9">
        <f t="shared" si="19"/>
        <v>0.92613604972564623</v>
      </c>
    </row>
    <row r="337" spans="2:4" x14ac:dyDescent="0.25">
      <c r="B337" s="13">
        <f t="shared" si="17"/>
        <v>31.52500000000018</v>
      </c>
      <c r="C337" s="9">
        <f t="shared" si="18"/>
        <v>4.4178505652517994E-3</v>
      </c>
      <c r="D337" s="9">
        <f t="shared" si="19"/>
        <v>0.9265795575607928</v>
      </c>
    </row>
    <row r="338" spans="2:4" x14ac:dyDescent="0.25">
      <c r="B338" s="13">
        <f t="shared" si="17"/>
        <v>31.625000000000181</v>
      </c>
      <c r="C338" s="9">
        <f t="shared" si="18"/>
        <v>4.3836709174049117E-3</v>
      </c>
      <c r="D338" s="9">
        <f t="shared" si="19"/>
        <v>0.92701963088847139</v>
      </c>
    </row>
    <row r="339" spans="2:4" x14ac:dyDescent="0.25">
      <c r="B339" s="13">
        <f t="shared" si="17"/>
        <v>31.725000000000183</v>
      </c>
      <c r="C339" s="9">
        <f t="shared" si="18"/>
        <v>4.3498189426159194E-3</v>
      </c>
      <c r="D339" s="9">
        <f t="shared" si="19"/>
        <v>0.92745630266665169</v>
      </c>
    </row>
    <row r="340" spans="2:4" x14ac:dyDescent="0.25">
      <c r="B340" s="13">
        <f t="shared" si="17"/>
        <v>31.825000000000184</v>
      </c>
      <c r="C340" s="9">
        <f t="shared" si="18"/>
        <v>4.3162908704886789E-3</v>
      </c>
      <c r="D340" s="9">
        <f t="shared" si="19"/>
        <v>0.92788960547369359</v>
      </c>
    </row>
    <row r="341" spans="2:4" x14ac:dyDescent="0.25">
      <c r="B341" s="13">
        <f t="shared" si="17"/>
        <v>31.925000000000185</v>
      </c>
      <c r="C341" s="9">
        <f t="shared" si="18"/>
        <v>4.2830829813666361E-3</v>
      </c>
      <c r="D341" s="9">
        <f t="shared" si="19"/>
        <v>0.92831957151346089</v>
      </c>
    </row>
    <row r="342" spans="2:4" x14ac:dyDescent="0.25">
      <c r="B342" s="13">
        <f t="shared" si="17"/>
        <v>32.025000000000183</v>
      </c>
      <c r="C342" s="9">
        <f t="shared" si="18"/>
        <v>4.2501916055514618E-3</v>
      </c>
      <c r="D342" s="9">
        <f t="shared" si="19"/>
        <v>0.92874623262035583</v>
      </c>
    </row>
    <row r="343" spans="2:4" x14ac:dyDescent="0.25">
      <c r="B343" s="13">
        <f t="shared" si="17"/>
        <v>32.125000000000185</v>
      </c>
      <c r="C343" s="9">
        <f t="shared" si="18"/>
        <v>4.2176131225350535E-3</v>
      </c>
      <c r="D343" s="9">
        <f t="shared" si="19"/>
        <v>0.9291696202642773</v>
      </c>
    </row>
    <row r="344" spans="2:4" x14ac:dyDescent="0.25">
      <c r="B344" s="13">
        <f t="shared" si="17"/>
        <v>32.225000000000186</v>
      </c>
      <c r="C344" s="9">
        <f t="shared" si="18"/>
        <v>4.185343960244876E-3</v>
      </c>
      <c r="D344" s="9">
        <f t="shared" si="19"/>
        <v>0.92958976555550077</v>
      </c>
    </row>
    <row r="345" spans="2:4" x14ac:dyDescent="0.25">
      <c r="B345" s="13">
        <f t="shared" si="17"/>
        <v>32.325000000000188</v>
      </c>
      <c r="C345" s="9">
        <f t="shared" si="18"/>
        <v>4.1533805943023E-3</v>
      </c>
      <c r="D345" s="9">
        <f t="shared" si="19"/>
        <v>0.93000669924948565</v>
      </c>
    </row>
    <row r="346" spans="2:4" x14ac:dyDescent="0.25">
      <c r="B346" s="13">
        <f t="shared" si="17"/>
        <v>32.425000000000189</v>
      </c>
      <c r="C346" s="9">
        <f t="shared" si="18"/>
        <v>4.1217195472936603E-3</v>
      </c>
      <c r="D346" s="9">
        <f t="shared" si="19"/>
        <v>0.93042045175160759</v>
      </c>
    </row>
    <row r="347" spans="2:4" x14ac:dyDescent="0.25">
      <c r="B347" s="13">
        <f t="shared" si="17"/>
        <v>32.52500000000019</v>
      </c>
      <c r="C347" s="9">
        <f t="shared" si="18"/>
        <v>4.0903573880538575E-3</v>
      </c>
      <c r="D347" s="9">
        <f t="shared" si="19"/>
        <v>0.93083105312181935</v>
      </c>
    </row>
    <row r="348" spans="2:4" x14ac:dyDescent="0.25">
      <c r="B348" s="13">
        <f t="shared" si="17"/>
        <v>32.625000000000192</v>
      </c>
      <c r="C348" s="9">
        <f t="shared" si="18"/>
        <v>4.0592907309622717E-3</v>
      </c>
      <c r="D348" s="9">
        <f t="shared" si="19"/>
        <v>0.9312385330792402</v>
      </c>
    </row>
    <row r="349" spans="2:4" x14ac:dyDescent="0.25">
      <c r="B349" s="13">
        <f t="shared" si="17"/>
        <v>32.725000000000193</v>
      </c>
      <c r="C349" s="9">
        <f t="shared" si="18"/>
        <v>4.0285162352506456E-3</v>
      </c>
      <c r="D349" s="9">
        <f t="shared" si="19"/>
        <v>0.93164292100667545</v>
      </c>
    </row>
    <row r="350" spans="2:4" x14ac:dyDescent="0.25">
      <c r="B350" s="13">
        <f t="shared" si="17"/>
        <v>32.825000000000195</v>
      </c>
      <c r="C350" s="9">
        <f t="shared" si="18"/>
        <v>3.9980306043228397E-3</v>
      </c>
      <c r="D350" s="9">
        <f t="shared" si="19"/>
        <v>0.93204424595506807</v>
      </c>
    </row>
    <row r="351" spans="2:4" x14ac:dyDescent="0.25">
      <c r="B351" s="13">
        <f t="shared" si="17"/>
        <v>32.925000000000196</v>
      </c>
      <c r="C351" s="9">
        <f t="shared" si="18"/>
        <v>3.9678305850862142E-3</v>
      </c>
      <c r="D351" s="9">
        <f t="shared" si="19"/>
        <v>0.93244253664788213</v>
      </c>
    </row>
    <row r="352" spans="2:4" x14ac:dyDescent="0.25">
      <c r="B352" s="13">
        <f t="shared" si="17"/>
        <v>33.025000000000198</v>
      </c>
      <c r="C352" s="9">
        <f t="shared" si="18"/>
        <v>3.9379129672942412E-3</v>
      </c>
      <c r="D352" s="9">
        <f t="shared" si="19"/>
        <v>0.93283782148541994</v>
      </c>
    </row>
    <row r="353" spans="2:4" x14ac:dyDescent="0.25">
      <c r="B353" s="13">
        <f t="shared" si="17"/>
        <v>33.125000000000199</v>
      </c>
      <c r="C353" s="9">
        <f t="shared" si="18"/>
        <v>3.9082745829005011E-3</v>
      </c>
      <c r="D353" s="9">
        <f t="shared" si="19"/>
        <v>0.93323012854907483</v>
      </c>
    </row>
    <row r="354" spans="2:4" x14ac:dyDescent="0.25">
      <c r="B354" s="13">
        <f t="shared" si="17"/>
        <v>33.2250000000002</v>
      </c>
      <c r="C354" s="9">
        <f t="shared" si="18"/>
        <v>3.8789123054234409E-3</v>
      </c>
      <c r="D354" s="9">
        <f t="shared" si="19"/>
        <v>0.93361948560551855</v>
      </c>
    </row>
    <row r="355" spans="2:4" x14ac:dyDescent="0.25">
      <c r="B355" s="13">
        <f t="shared" si="17"/>
        <v>33.325000000000202</v>
      </c>
      <c r="C355" s="9">
        <f t="shared" si="18"/>
        <v>3.849823049321971E-3</v>
      </c>
      <c r="D355" s="9">
        <f t="shared" si="19"/>
        <v>0.93400592011082717</v>
      </c>
    </row>
    <row r="356" spans="2:4" x14ac:dyDescent="0.25">
      <c r="B356" s="13">
        <f t="shared" si="17"/>
        <v>33.425000000000203</v>
      </c>
      <c r="C356" s="9">
        <f t="shared" si="18"/>
        <v>3.821003769381603E-3</v>
      </c>
      <c r="D356" s="9">
        <f t="shared" si="19"/>
        <v>0.93438945921454408</v>
      </c>
    </row>
    <row r="357" spans="2:4" x14ac:dyDescent="0.25">
      <c r="B357" s="13">
        <f t="shared" si="17"/>
        <v>33.525000000000205</v>
      </c>
      <c r="C357" s="9">
        <f t="shared" si="18"/>
        <v>3.7924514601109086E-3</v>
      </c>
      <c r="D357" s="9">
        <f t="shared" si="19"/>
        <v>0.93477012976368234</v>
      </c>
    </row>
    <row r="358" spans="2:4" x14ac:dyDescent="0.25">
      <c r="B358" s="13">
        <f t="shared" si="17"/>
        <v>33.625000000000206</v>
      </c>
      <c r="C358" s="9">
        <f t="shared" si="18"/>
        <v>3.7641631551481639E-3</v>
      </c>
      <c r="D358" s="9">
        <f t="shared" si="19"/>
        <v>0.93514795830666708</v>
      </c>
    </row>
    <row r="359" spans="2:4" x14ac:dyDescent="0.25">
      <c r="B359" s="13">
        <f t="shared" si="17"/>
        <v>33.725000000000207</v>
      </c>
      <c r="C359" s="9">
        <f t="shared" si="18"/>
        <v>3.7361359266779512E-3</v>
      </c>
      <c r="D359" s="9">
        <f t="shared" si="19"/>
        <v>0.9355229710972196</v>
      </c>
    </row>
    <row r="360" spans="2:4" x14ac:dyDescent="0.25">
      <c r="B360" s="13">
        <f t="shared" si="17"/>
        <v>33.825000000000209</v>
      </c>
      <c r="C360" s="9">
        <f t="shared" si="18"/>
        <v>3.7083668848575438E-3</v>
      </c>
      <c r="D360" s="9">
        <f t="shared" si="19"/>
        <v>0.93589519409818278</v>
      </c>
    </row>
    <row r="361" spans="2:4" x14ac:dyDescent="0.25">
      <c r="B361" s="13">
        <f t="shared" si="17"/>
        <v>33.92500000000021</v>
      </c>
      <c r="C361" s="9">
        <f t="shared" si="18"/>
        <v>3.680853177252886E-3</v>
      </c>
      <c r="D361" s="9">
        <f t="shared" si="19"/>
        <v>0.9362646529852906</v>
      </c>
    </row>
    <row r="362" spans="2:4" x14ac:dyDescent="0.25">
      <c r="B362" s="13">
        <f t="shared" si="17"/>
        <v>34.025000000000212</v>
      </c>
      <c r="C362" s="9">
        <f t="shared" si="18"/>
        <v>3.6535919882839892E-3</v>
      </c>
      <c r="D362" s="9">
        <f t="shared" si="19"/>
        <v>0.93663137315088085</v>
      </c>
    </row>
    <row r="363" spans="2:4" x14ac:dyDescent="0.25">
      <c r="B363" s="13">
        <f t="shared" si="17"/>
        <v>34.125000000000213</v>
      </c>
      <c r="C363" s="9">
        <f t="shared" si="18"/>
        <v>3.6265805386796256E-3</v>
      </c>
      <c r="D363" s="9">
        <f t="shared" si="19"/>
        <v>0.9369953797075532</v>
      </c>
    </row>
    <row r="364" spans="2:4" x14ac:dyDescent="0.25">
      <c r="B364" s="13">
        <f t="shared" si="17"/>
        <v>34.225000000000215</v>
      </c>
      <c r="C364" s="9">
        <f t="shared" si="18"/>
        <v>3.5998160849410269E-3</v>
      </c>
      <c r="D364" s="9">
        <f t="shared" si="19"/>
        <v>0.93735669749177319</v>
      </c>
    </row>
    <row r="365" spans="2:4" x14ac:dyDescent="0.25">
      <c r="B365" s="13">
        <f t="shared" si="17"/>
        <v>34.325000000000216</v>
      </c>
      <c r="C365" s="9">
        <f t="shared" si="18"/>
        <v>3.5732959188145398E-3</v>
      </c>
      <c r="D365" s="9">
        <f t="shared" si="19"/>
        <v>0.93771535106742321</v>
      </c>
    </row>
    <row r="366" spans="2:4" x14ac:dyDescent="0.25">
      <c r="B366" s="13">
        <f t="shared" si="17"/>
        <v>34.425000000000217</v>
      </c>
      <c r="C366" s="9">
        <f t="shared" si="18"/>
        <v>3.5470173667730177E-3</v>
      </c>
      <c r="D366" s="9">
        <f t="shared" si="19"/>
        <v>0.93807136472930097</v>
      </c>
    </row>
    <row r="367" spans="2:4" x14ac:dyDescent="0.25">
      <c r="B367" s="13">
        <f t="shared" si="17"/>
        <v>34.525000000000219</v>
      </c>
      <c r="C367" s="9">
        <f t="shared" si="18"/>
        <v>3.5209777895058264E-3</v>
      </c>
      <c r="D367" s="9">
        <f t="shared" si="19"/>
        <v>0.93842476250656615</v>
      </c>
    </row>
    <row r="368" spans="2:4" x14ac:dyDescent="0.25">
      <c r="B368" s="13">
        <f t="shared" si="17"/>
        <v>34.62500000000022</v>
      </c>
      <c r="C368" s="9">
        <f t="shared" si="18"/>
        <v>3.4951745814172015E-3</v>
      </c>
      <c r="D368" s="9">
        <f t="shared" si="19"/>
        <v>0.93877556816613783</v>
      </c>
    </row>
    <row r="369" spans="2:4" x14ac:dyDescent="0.25">
      <c r="B369" s="13">
        <f t="shared" si="17"/>
        <v>34.725000000000222</v>
      </c>
      <c r="C369" s="9">
        <f t="shared" si="18"/>
        <v>3.4696051701329765E-3</v>
      </c>
      <c r="D369" s="9">
        <f t="shared" si="19"/>
        <v>0.93912380521604011</v>
      </c>
    </row>
    <row r="370" spans="2:4" x14ac:dyDescent="0.25">
      <c r="B370" s="13">
        <f t="shared" si="17"/>
        <v>34.825000000000223</v>
      </c>
      <c r="C370" s="9">
        <f t="shared" si="18"/>
        <v>3.4442670160153765E-3</v>
      </c>
      <c r="D370" s="9">
        <f t="shared" si="19"/>
        <v>0.93946949690870074</v>
      </c>
    </row>
    <row r="371" spans="2:4" x14ac:dyDescent="0.25">
      <c r="B371" s="13">
        <f t="shared" si="17"/>
        <v>34.925000000000225</v>
      </c>
      <c r="C371" s="9">
        <f t="shared" si="18"/>
        <v>3.4191576116857671E-3</v>
      </c>
      <c r="D371" s="9">
        <f t="shared" si="19"/>
        <v>0.93981266624420079</v>
      </c>
    </row>
    <row r="372" spans="2:4" x14ac:dyDescent="0.25">
      <c r="B372" s="13">
        <f t="shared" si="17"/>
        <v>35.025000000000226</v>
      </c>
      <c r="C372" s="9">
        <f t="shared" si="18"/>
        <v>3.3942744815553053E-3</v>
      </c>
      <c r="D372" s="9">
        <f t="shared" si="19"/>
        <v>0.94015333597347639</v>
      </c>
    </row>
    <row r="373" spans="2:4" x14ac:dyDescent="0.25">
      <c r="B373" s="13">
        <f t="shared" si="17"/>
        <v>35.125000000000227</v>
      </c>
      <c r="C373" s="9">
        <f t="shared" si="18"/>
        <v>3.3696151813632229E-3</v>
      </c>
      <c r="D373" s="9">
        <f t="shared" si="19"/>
        <v>0.94049152860147556</v>
      </c>
    </row>
    <row r="374" spans="2:4" x14ac:dyDescent="0.25">
      <c r="B374" s="13">
        <f t="shared" si="17"/>
        <v>35.225000000000229</v>
      </c>
      <c r="C374" s="9">
        <f t="shared" si="18"/>
        <v>3.3451772977226841E-3</v>
      </c>
      <c r="D374" s="9">
        <f t="shared" si="19"/>
        <v>0.94082726639026704</v>
      </c>
    </row>
    <row r="375" spans="2:4" x14ac:dyDescent="0.25">
      <c r="B375" s="13">
        <f t="shared" si="17"/>
        <v>35.32500000000023</v>
      </c>
      <c r="C375" s="9">
        <f t="shared" si="18"/>
        <v>3.3209584476740044E-3</v>
      </c>
      <c r="D375" s="9">
        <f t="shared" si="19"/>
        <v>0.94116057136210651</v>
      </c>
    </row>
    <row r="376" spans="2:4" x14ac:dyDescent="0.25">
      <c r="B376" s="13">
        <f t="shared" si="17"/>
        <v>35.425000000000232</v>
      </c>
      <c r="C376" s="9">
        <f t="shared" si="18"/>
        <v>3.2969562782452413E-3</v>
      </c>
      <c r="D376" s="9">
        <f t="shared" si="19"/>
        <v>0.94149146530245631</v>
      </c>
    </row>
    <row r="377" spans="2:4" x14ac:dyDescent="0.25">
      <c r="B377" s="13">
        <f t="shared" si="17"/>
        <v>35.525000000000233</v>
      </c>
      <c r="C377" s="9">
        <f t="shared" si="18"/>
        <v>3.2731684660198212E-3</v>
      </c>
      <c r="D377" s="9">
        <f t="shared" si="19"/>
        <v>0.94181996976296323</v>
      </c>
    </row>
    <row r="378" spans="2:4" x14ac:dyDescent="0.25">
      <c r="B378" s="13">
        <f t="shared" ref="B378:B441" si="20">+B377+0.1</f>
        <v>35.625000000000234</v>
      </c>
      <c r="C378" s="9">
        <f t="shared" si="18"/>
        <v>3.2495927167112896E-3</v>
      </c>
      <c r="D378" s="9">
        <f t="shared" si="19"/>
        <v>0.94214610606439231</v>
      </c>
    </row>
    <row r="379" spans="2:4" x14ac:dyDescent="0.25">
      <c r="B379" s="13">
        <f t="shared" si="20"/>
        <v>35.725000000000236</v>
      </c>
      <c r="C379" s="9">
        <f t="shared" si="18"/>
        <v>3.2262267647448373E-3</v>
      </c>
      <c r="D379" s="9">
        <f t="shared" si="19"/>
        <v>0.94246989529951886</v>
      </c>
    </row>
    <row r="380" spans="2:4" x14ac:dyDescent="0.25">
      <c r="B380" s="13">
        <f t="shared" si="20"/>
        <v>35.825000000000237</v>
      </c>
      <c r="C380" s="9">
        <f t="shared" si="18"/>
        <v>3.2030683728457138E-3</v>
      </c>
      <c r="D380" s="9">
        <f t="shared" si="19"/>
        <v>0.94279135833597916</v>
      </c>
    </row>
    <row r="381" spans="2:4" x14ac:dyDescent="0.25">
      <c r="B381" s="13">
        <f t="shared" si="20"/>
        <v>35.925000000000239</v>
      </c>
      <c r="C381" s="9">
        <f t="shared" si="18"/>
        <v>3.180115331634193E-3</v>
      </c>
      <c r="D381" s="9">
        <f t="shared" si="19"/>
        <v>0.94311051581908034</v>
      </c>
    </row>
    <row r="382" spans="2:4" x14ac:dyDescent="0.25">
      <c r="B382" s="13">
        <f t="shared" si="20"/>
        <v>36.02500000000024</v>
      </c>
      <c r="C382" s="9">
        <f t="shared" si="18"/>
        <v>3.1573654592271087E-3</v>
      </c>
      <c r="D382" s="9">
        <f t="shared" si="19"/>
        <v>0.94342738817456939</v>
      </c>
    </row>
    <row r="383" spans="2:4" x14ac:dyDescent="0.25">
      <c r="B383" s="13">
        <f t="shared" si="20"/>
        <v>36.125000000000242</v>
      </c>
      <c r="C383" s="9">
        <f t="shared" si="18"/>
        <v>3.1348166008458027E-3</v>
      </c>
      <c r="D383" s="9">
        <f t="shared" si="19"/>
        <v>0.94374199561136363</v>
      </c>
    </row>
    <row r="384" spans="2:4" x14ac:dyDescent="0.25">
      <c r="B384" s="13">
        <f t="shared" si="20"/>
        <v>36.225000000000243</v>
      </c>
      <c r="C384" s="9">
        <f t="shared" si="18"/>
        <v>3.1124666284303346E-3</v>
      </c>
      <c r="D384" s="9">
        <f t="shared" si="19"/>
        <v>0.94405435812424154</v>
      </c>
    </row>
    <row r="385" spans="2:4" x14ac:dyDescent="0.25">
      <c r="B385" s="13">
        <f t="shared" si="20"/>
        <v>36.325000000000244</v>
      </c>
      <c r="C385" s="9">
        <f t="shared" si="18"/>
        <v>3.0903134402599139E-3</v>
      </c>
      <c r="D385" s="9">
        <f t="shared" si="19"/>
        <v>0.9443644954964957</v>
      </c>
    </row>
    <row r="386" spans="2:4" x14ac:dyDescent="0.25">
      <c r="B386" s="13">
        <f t="shared" si="20"/>
        <v>36.425000000000246</v>
      </c>
      <c r="C386" s="9">
        <f t="shared" si="18"/>
        <v>3.0683549605793965E-3</v>
      </c>
      <c r="D386" s="9">
        <f t="shared" si="19"/>
        <v>0.94467242730254797</v>
      </c>
    </row>
    <row r="387" spans="2:4" x14ac:dyDescent="0.25">
      <c r="B387" s="13">
        <f t="shared" si="20"/>
        <v>36.525000000000247</v>
      </c>
      <c r="C387" s="9">
        <f t="shared" si="18"/>
        <v>3.046589139231711E-3</v>
      </c>
      <c r="D387" s="9">
        <f t="shared" si="19"/>
        <v>0.94497817291052799</v>
      </c>
    </row>
    <row r="388" spans="2:4" x14ac:dyDescent="0.25">
      <c r="B388" s="13">
        <f t="shared" si="20"/>
        <v>36.625000000000249</v>
      </c>
      <c r="C388" s="9">
        <f t="shared" si="18"/>
        <v>3.0250139512962211E-3</v>
      </c>
      <c r="D388" s="9">
        <f t="shared" si="19"/>
        <v>0.94528175148481375</v>
      </c>
    </row>
    <row r="389" spans="2:4" x14ac:dyDescent="0.25">
      <c r="B389" s="13">
        <f t="shared" si="20"/>
        <v>36.72500000000025</v>
      </c>
      <c r="C389" s="9">
        <f t="shared" si="18"/>
        <v>3.0036273967327287E-3</v>
      </c>
      <c r="D389" s="9">
        <f t="shared" si="19"/>
        <v>0.94558318198853897</v>
      </c>
    </row>
    <row r="390" spans="2:4" x14ac:dyDescent="0.25">
      <c r="B390" s="13">
        <f t="shared" si="20"/>
        <v>36.825000000000252</v>
      </c>
      <c r="C390" s="9">
        <f t="shared" si="18"/>
        <v>2.9824275000312752E-3</v>
      </c>
      <c r="D390" s="9">
        <f t="shared" si="19"/>
        <v>0.94588248318606216</v>
      </c>
    </row>
    <row r="391" spans="2:4" x14ac:dyDescent="0.25">
      <c r="B391" s="13">
        <f t="shared" si="20"/>
        <v>36.925000000000253</v>
      </c>
      <c r="C391" s="9">
        <f t="shared" si="18"/>
        <v>2.9614123098673653E-3</v>
      </c>
      <c r="D391" s="9">
        <f t="shared" si="19"/>
        <v>0.94617967364540334</v>
      </c>
    </row>
    <row r="392" spans="2:4" x14ac:dyDescent="0.25">
      <c r="B392" s="13">
        <f t="shared" si="20"/>
        <v>37.025000000000254</v>
      </c>
      <c r="C392" s="9">
        <f t="shared" ref="C392:C455" si="21">+_xlfn.LOGNORM.DIST(B392,$C$4,$C$5,FALSE)</f>
        <v>2.9405798987627322E-3</v>
      </c>
      <c r="D392" s="9">
        <f t="shared" ref="D392:D455" si="22">+_xlfn.LOGNORM.DIST(B392,$C$4,$C$5,TRUE)</f>
        <v>0.94647477174064487</v>
      </c>
    </row>
    <row r="393" spans="2:4" x14ac:dyDescent="0.25">
      <c r="B393" s="13">
        <f t="shared" si="20"/>
        <v>37.125000000000256</v>
      </c>
      <c r="C393" s="9">
        <f t="shared" si="21"/>
        <v>2.9199283627514209E-3</v>
      </c>
      <c r="D393" s="9">
        <f t="shared" si="22"/>
        <v>0.94676779565429992</v>
      </c>
    </row>
    <row r="394" spans="2:4" x14ac:dyDescent="0.25">
      <c r="B394" s="13">
        <f t="shared" si="20"/>
        <v>37.225000000000257</v>
      </c>
      <c r="C394" s="9">
        <f t="shared" si="21"/>
        <v>2.899455821051178E-3</v>
      </c>
      <c r="D394" s="9">
        <f t="shared" si="22"/>
        <v>0.94705876337964678</v>
      </c>
    </row>
    <row r="395" spans="2:4" x14ac:dyDescent="0.25">
      <c r="B395" s="13">
        <f t="shared" si="20"/>
        <v>37.325000000000259</v>
      </c>
      <c r="C395" s="9">
        <f t="shared" si="21"/>
        <v>2.8791604157399711E-3</v>
      </c>
      <c r="D395" s="9">
        <f t="shared" si="22"/>
        <v>0.94734769272303143</v>
      </c>
    </row>
    <row r="396" spans="2:4" x14ac:dyDescent="0.25">
      <c r="B396" s="13">
        <f t="shared" si="20"/>
        <v>37.42500000000026</v>
      </c>
      <c r="C396" s="9">
        <f t="shared" si="21"/>
        <v>2.8590403114376198E-3</v>
      </c>
      <c r="D396" s="9">
        <f t="shared" si="22"/>
        <v>0.94763460130613708</v>
      </c>
    </row>
    <row r="397" spans="2:4" x14ac:dyDescent="0.25">
      <c r="B397" s="13">
        <f t="shared" si="20"/>
        <v>37.525000000000261</v>
      </c>
      <c r="C397" s="9">
        <f t="shared" si="21"/>
        <v>2.839093694992423E-3</v>
      </c>
      <c r="D397" s="9">
        <f t="shared" si="22"/>
        <v>0.94791950656822321</v>
      </c>
    </row>
    <row r="398" spans="2:4" x14ac:dyDescent="0.25">
      <c r="B398" s="13">
        <f t="shared" si="20"/>
        <v>37.625000000000263</v>
      </c>
      <c r="C398" s="9">
        <f t="shared" si="21"/>
        <v>2.8193187751726755E-3</v>
      </c>
      <c r="D398" s="9">
        <f t="shared" si="22"/>
        <v>0.94820242576833247</v>
      </c>
    </row>
    <row r="399" spans="2:4" x14ac:dyDescent="0.25">
      <c r="B399" s="13">
        <f t="shared" si="20"/>
        <v>37.725000000000264</v>
      </c>
      <c r="C399" s="9">
        <f t="shared" si="21"/>
        <v>2.7997137823630473E-3</v>
      </c>
      <c r="D399" s="9">
        <f t="shared" si="22"/>
        <v>0.94848337598746768</v>
      </c>
    </row>
    <row r="400" spans="2:4" x14ac:dyDescent="0.25">
      <c r="B400" s="13">
        <f t="shared" si="20"/>
        <v>37.825000000000266</v>
      </c>
      <c r="C400" s="9">
        <f t="shared" si="21"/>
        <v>2.7802769682656503E-3</v>
      </c>
      <c r="D400" s="9">
        <f t="shared" si="22"/>
        <v>0.94876237413073872</v>
      </c>
    </row>
    <row r="401" spans="2:4" x14ac:dyDescent="0.25">
      <c r="B401" s="13">
        <f t="shared" si="20"/>
        <v>37.925000000000267</v>
      </c>
      <c r="C401" s="9">
        <f t="shared" si="21"/>
        <v>2.7610066056058024E-3</v>
      </c>
      <c r="D401" s="9">
        <f t="shared" si="22"/>
        <v>0.94903943692947912</v>
      </c>
    </row>
    <row r="402" spans="2:4" x14ac:dyDescent="0.25">
      <c r="B402" s="13">
        <f t="shared" si="20"/>
        <v>38.025000000000269</v>
      </c>
      <c r="C402" s="9">
        <f t="shared" si="21"/>
        <v>2.7419009878423485E-3</v>
      </c>
      <c r="D402" s="9">
        <f t="shared" si="22"/>
        <v>0.94931458094333376</v>
      </c>
    </row>
    <row r="403" spans="2:4" x14ac:dyDescent="0.25">
      <c r="B403" s="13">
        <f t="shared" si="20"/>
        <v>38.12500000000027</v>
      </c>
      <c r="C403" s="9">
        <f t="shared" si="21"/>
        <v>2.7229584288824922E-3</v>
      </c>
      <c r="D403" s="9">
        <f t="shared" si="22"/>
        <v>0.94958782256231866</v>
      </c>
    </row>
    <row r="404" spans="2:4" x14ac:dyDescent="0.25">
      <c r="B404" s="13">
        <f t="shared" si="20"/>
        <v>38.225000000000271</v>
      </c>
      <c r="C404" s="9">
        <f t="shared" si="21"/>
        <v>2.7041772628010391E-3</v>
      </c>
      <c r="D404" s="9">
        <f t="shared" si="22"/>
        <v>0.94985917800885078</v>
      </c>
    </row>
    <row r="405" spans="2:4" x14ac:dyDescent="0.25">
      <c r="B405" s="13">
        <f t="shared" si="20"/>
        <v>38.325000000000273</v>
      </c>
      <c r="C405" s="9">
        <f t="shared" si="21"/>
        <v>2.685555843563983E-3</v>
      </c>
      <c r="D405" s="9">
        <f t="shared" si="22"/>
        <v>0.95012866333975177</v>
      </c>
    </row>
    <row r="406" spans="2:4" x14ac:dyDescent="0.25">
      <c r="B406" s="13">
        <f t="shared" si="20"/>
        <v>38.425000000000274</v>
      </c>
      <c r="C406" s="9">
        <f t="shared" si="21"/>
        <v>2.6670925447563713E-3</v>
      </c>
      <c r="D406" s="9">
        <f t="shared" si="22"/>
        <v>0.95039629444822304</v>
      </c>
    </row>
    <row r="407" spans="2:4" x14ac:dyDescent="0.25">
      <c r="B407" s="13">
        <f t="shared" si="20"/>
        <v>38.525000000000276</v>
      </c>
      <c r="C407" s="9">
        <f t="shared" si="21"/>
        <v>2.6487857593143378E-3</v>
      </c>
      <c r="D407" s="9">
        <f t="shared" si="22"/>
        <v>0.95066208706579414</v>
      </c>
    </row>
    <row r="408" spans="2:4" x14ac:dyDescent="0.25">
      <c r="B408" s="13">
        <f t="shared" si="20"/>
        <v>38.625000000000277</v>
      </c>
      <c r="C408" s="9">
        <f t="shared" si="21"/>
        <v>2.6306338992613297E-3</v>
      </c>
      <c r="D408" s="9">
        <f t="shared" si="22"/>
        <v>0.95092605676424469</v>
      </c>
    </row>
    <row r="409" spans="2:4" x14ac:dyDescent="0.25">
      <c r="B409" s="13">
        <f t="shared" si="20"/>
        <v>38.725000000000279</v>
      </c>
      <c r="C409" s="9">
        <f t="shared" si="21"/>
        <v>2.6126353954482938E-3</v>
      </c>
      <c r="D409" s="9">
        <f t="shared" si="22"/>
        <v>0.95118821895750039</v>
      </c>
    </row>
    <row r="410" spans="2:4" x14ac:dyDescent="0.25">
      <c r="B410" s="13">
        <f t="shared" si="20"/>
        <v>38.82500000000028</v>
      </c>
      <c r="C410" s="9">
        <f t="shared" si="21"/>
        <v>2.5947886972979106E-3</v>
      </c>
      <c r="D410" s="9">
        <f t="shared" si="22"/>
        <v>0.9514485889035027</v>
      </c>
    </row>
    <row r="411" spans="2:4" x14ac:dyDescent="0.25">
      <c r="B411" s="13">
        <f t="shared" si="20"/>
        <v>38.925000000000281</v>
      </c>
      <c r="C411" s="9">
        <f t="shared" si="21"/>
        <v>2.5770922725527382E-3</v>
      </c>
      <c r="D411" s="9">
        <f t="shared" si="22"/>
        <v>0.9517071817060534</v>
      </c>
    </row>
    <row r="412" spans="2:4" x14ac:dyDescent="0.25">
      <c r="B412" s="13">
        <f t="shared" si="20"/>
        <v>39.025000000000283</v>
      </c>
      <c r="C412" s="9">
        <f t="shared" si="21"/>
        <v>2.5595446070271798E-3</v>
      </c>
      <c r="D412" s="9">
        <f t="shared" si="22"/>
        <v>0.95196401231663408</v>
      </c>
    </row>
    <row r="413" spans="2:4" x14ac:dyDescent="0.25">
      <c r="B413" s="13">
        <f t="shared" si="20"/>
        <v>39.125000000000284</v>
      </c>
      <c r="C413" s="9">
        <f t="shared" si="21"/>
        <v>2.5421442043632647E-3</v>
      </c>
      <c r="D413" s="9">
        <f t="shared" si="22"/>
        <v>0.95221909553620132</v>
      </c>
    </row>
    <row r="414" spans="2:4" x14ac:dyDescent="0.25">
      <c r="B414" s="13">
        <f t="shared" si="20"/>
        <v>39.225000000000286</v>
      </c>
      <c r="C414" s="9">
        <f t="shared" si="21"/>
        <v>2.524889585790141E-3</v>
      </c>
      <c r="D414" s="9">
        <f t="shared" si="22"/>
        <v>0.95247244601695724</v>
      </c>
    </row>
    <row r="415" spans="2:4" x14ac:dyDescent="0.25">
      <c r="B415" s="13">
        <f t="shared" si="20"/>
        <v>39.325000000000287</v>
      </c>
      <c r="C415" s="9">
        <f t="shared" si="21"/>
        <v>2.5077792898872088E-3</v>
      </c>
      <c r="D415" s="9">
        <f t="shared" si="22"/>
        <v>0.95272407826409611</v>
      </c>
    </row>
    <row r="416" spans="2:4" x14ac:dyDescent="0.25">
      <c r="B416" s="13">
        <f t="shared" si="20"/>
        <v>39.425000000000288</v>
      </c>
      <c r="C416" s="9">
        <f t="shared" si="21"/>
        <v>2.4908118723508668E-3</v>
      </c>
      <c r="D416" s="9">
        <f t="shared" si="22"/>
        <v>0.95297400663752807</v>
      </c>
    </row>
    <row r="417" spans="2:4" x14ac:dyDescent="0.25">
      <c r="B417" s="13">
        <f t="shared" si="20"/>
        <v>39.52500000000029</v>
      </c>
      <c r="C417" s="9">
        <f t="shared" si="21"/>
        <v>2.4739859057648006E-3</v>
      </c>
      <c r="D417" s="9">
        <f t="shared" si="22"/>
        <v>0.95322224535357936</v>
      </c>
    </row>
    <row r="418" spans="2:4" x14ac:dyDescent="0.25">
      <c r="B418" s="13">
        <f t="shared" si="20"/>
        <v>39.625000000000291</v>
      </c>
      <c r="C418" s="9">
        <f t="shared" si="21"/>
        <v>2.4572999793737254E-3</v>
      </c>
      <c r="D418" s="9">
        <f t="shared" si="22"/>
        <v>0.95346880848666937</v>
      </c>
    </row>
    <row r="419" spans="2:4" x14ac:dyDescent="0.25">
      <c r="B419" s="13">
        <f t="shared" si="20"/>
        <v>39.725000000000293</v>
      </c>
      <c r="C419" s="9">
        <f t="shared" si="21"/>
        <v>2.4407526988605571E-3</v>
      </c>
      <c r="D419" s="9">
        <f t="shared" si="22"/>
        <v>0.95371370997096538</v>
      </c>
    </row>
    <row r="420" spans="2:4" x14ac:dyDescent="0.25">
      <c r="B420" s="13">
        <f t="shared" si="20"/>
        <v>39.825000000000294</v>
      </c>
      <c r="C420" s="9">
        <f t="shared" si="21"/>
        <v>2.4243426861269499E-3</v>
      </c>
      <c r="D420" s="9">
        <f t="shared" si="22"/>
        <v>0.95395696360201632</v>
      </c>
    </row>
    <row r="421" spans="2:4" x14ac:dyDescent="0.25">
      <c r="B421" s="13">
        <f t="shared" si="20"/>
        <v>39.925000000000296</v>
      </c>
      <c r="C421" s="9">
        <f t="shared" si="21"/>
        <v>2.4080685790771159E-3</v>
      </c>
      <c r="D421" s="9">
        <f t="shared" si="22"/>
        <v>0.95419858303836269</v>
      </c>
    </row>
    <row r="422" spans="2:4" x14ac:dyDescent="0.25">
      <c r="B422" s="13">
        <f t="shared" si="20"/>
        <v>40.025000000000297</v>
      </c>
      <c r="C422" s="9">
        <f t="shared" si="21"/>
        <v>2.3919290314049087E-3</v>
      </c>
      <c r="D422" s="9">
        <f t="shared" si="22"/>
        <v>0.95443858180312702</v>
      </c>
    </row>
    <row r="423" spans="2:4" x14ac:dyDescent="0.25">
      <c r="B423" s="13">
        <f t="shared" si="20"/>
        <v>40.125000000000298</v>
      </c>
      <c r="C423" s="9">
        <f t="shared" si="21"/>
        <v>2.3759227123841108E-3</v>
      </c>
      <c r="D423" s="9">
        <f t="shared" si="22"/>
        <v>0.95467697328558165</v>
      </c>
    </row>
    <row r="424" spans="2:4" x14ac:dyDescent="0.25">
      <c r="B424" s="13">
        <f t="shared" si="20"/>
        <v>40.2250000000003</v>
      </c>
      <c r="C424" s="9">
        <f t="shared" si="21"/>
        <v>2.3600483066618431E-3</v>
      </c>
      <c r="D424" s="9">
        <f t="shared" si="22"/>
        <v>0.9549137707426969</v>
      </c>
    </row>
    <row r="425" spans="2:4" x14ac:dyDescent="0.25">
      <c r="B425" s="13">
        <f t="shared" si="20"/>
        <v>40.325000000000301</v>
      </c>
      <c r="C425" s="9">
        <f t="shared" si="21"/>
        <v>2.3443045140550548E-3</v>
      </c>
      <c r="D425" s="9">
        <f t="shared" si="22"/>
        <v>0.95514898730066788</v>
      </c>
    </row>
    <row r="426" spans="2:4" x14ac:dyDescent="0.25">
      <c r="B426" s="13">
        <f t="shared" si="20"/>
        <v>40.425000000000303</v>
      </c>
      <c r="C426" s="9">
        <f t="shared" si="21"/>
        <v>2.3286900493500826E-3</v>
      </c>
      <c r="D426" s="9">
        <f t="shared" si="22"/>
        <v>0.95538263595642159</v>
      </c>
    </row>
    <row r="427" spans="2:4" x14ac:dyDescent="0.25">
      <c r="B427" s="13">
        <f t="shared" si="20"/>
        <v>40.525000000000304</v>
      </c>
      <c r="C427" s="9">
        <f t="shared" si="21"/>
        <v>2.3132036421051596E-3</v>
      </c>
      <c r="D427" s="9">
        <f t="shared" si="22"/>
        <v>0.95561472957910376</v>
      </c>
    </row>
    <row r="428" spans="2:4" x14ac:dyDescent="0.25">
      <c r="B428" s="13">
        <f t="shared" si="20"/>
        <v>40.625000000000306</v>
      </c>
      <c r="C428" s="9">
        <f t="shared" si="21"/>
        <v>2.2978440364559019E-3</v>
      </c>
      <c r="D428" s="9">
        <f t="shared" si="22"/>
        <v>0.95584528091154652</v>
      </c>
    </row>
    <row r="429" spans="2:4" x14ac:dyDescent="0.25">
      <c r="B429" s="13">
        <f t="shared" si="20"/>
        <v>40.725000000000307</v>
      </c>
      <c r="C429" s="9">
        <f t="shared" si="21"/>
        <v>2.2826099909236449E-3</v>
      </c>
      <c r="D429" s="9">
        <f t="shared" si="22"/>
        <v>0.95607430257171644</v>
      </c>
    </row>
    <row r="430" spans="2:4" x14ac:dyDescent="0.25">
      <c r="B430" s="13">
        <f t="shared" si="20"/>
        <v>40.825000000000308</v>
      </c>
      <c r="C430" s="9">
        <f t="shared" si="21"/>
        <v>2.2675002782266331E-3</v>
      </c>
      <c r="D430" s="9">
        <f t="shared" si="22"/>
        <v>0.95630180705414347</v>
      </c>
    </row>
    <row r="431" spans="2:4" x14ac:dyDescent="0.25">
      <c r="B431" s="13">
        <f t="shared" si="20"/>
        <v>40.92500000000031</v>
      </c>
      <c r="C431" s="9">
        <f t="shared" si="21"/>
        <v>2.2525136850940165E-3</v>
      </c>
      <c r="D431" s="9">
        <f t="shared" si="22"/>
        <v>0.95652780673133186</v>
      </c>
    </row>
    <row r="432" spans="2:4" x14ac:dyDescent="0.25">
      <c r="B432" s="13">
        <f t="shared" si="20"/>
        <v>41.025000000000311</v>
      </c>
      <c r="C432" s="9">
        <f t="shared" si="21"/>
        <v>2.2376490120825923E-3</v>
      </c>
      <c r="D432" s="9">
        <f t="shared" si="22"/>
        <v>0.95675231385515114</v>
      </c>
    </row>
    <row r="433" spans="2:4" x14ac:dyDescent="0.25">
      <c r="B433" s="13">
        <f t="shared" si="20"/>
        <v>41.125000000000313</v>
      </c>
      <c r="C433" s="9">
        <f t="shared" si="21"/>
        <v>2.222905073396216E-3</v>
      </c>
      <c r="D433" s="9">
        <f t="shared" si="22"/>
        <v>0.95697534055821087</v>
      </c>
    </row>
    <row r="434" spans="2:4" x14ac:dyDescent="0.25">
      <c r="B434" s="13">
        <f t="shared" si="20"/>
        <v>41.225000000000314</v>
      </c>
      <c r="C434" s="9">
        <f t="shared" si="21"/>
        <v>2.2082806967079383E-3</v>
      </c>
      <c r="D434" s="9">
        <f t="shared" si="22"/>
        <v>0.95719689885521564</v>
      </c>
    </row>
    <row r="435" spans="2:4" x14ac:dyDescent="0.25">
      <c r="B435" s="13">
        <f t="shared" si="20"/>
        <v>41.325000000000315</v>
      </c>
      <c r="C435" s="9">
        <f t="shared" si="21"/>
        <v>2.1937747229846725E-3</v>
      </c>
      <c r="D435" s="9">
        <f t="shared" si="22"/>
        <v>0.95741700064430346</v>
      </c>
    </row>
    <row r="436" spans="2:4" x14ac:dyDescent="0.25">
      <c r="B436" s="13">
        <f t="shared" si="20"/>
        <v>41.425000000000317</v>
      </c>
      <c r="C436" s="9">
        <f t="shared" si="21"/>
        <v>2.1793860063145125E-3</v>
      </c>
      <c r="D436" s="9">
        <f t="shared" si="22"/>
        <v>0.95763565770836656</v>
      </c>
    </row>
    <row r="437" spans="2:4" x14ac:dyDescent="0.25">
      <c r="B437" s="13">
        <f t="shared" si="20"/>
        <v>41.525000000000318</v>
      </c>
      <c r="C437" s="9">
        <f t="shared" si="21"/>
        <v>2.1651134137365283E-3</v>
      </c>
      <c r="D437" s="9">
        <f t="shared" si="22"/>
        <v>0.95785288171635519</v>
      </c>
    </row>
    <row r="438" spans="2:4" x14ac:dyDescent="0.25">
      <c r="B438" s="13">
        <f t="shared" si="20"/>
        <v>41.62500000000032</v>
      </c>
      <c r="C438" s="9">
        <f t="shared" si="21"/>
        <v>2.1509558250730728E-3</v>
      </c>
      <c r="D438" s="9">
        <f t="shared" si="22"/>
        <v>0.9580686842245637</v>
      </c>
    </row>
    <row r="439" spans="2:4" x14ac:dyDescent="0.25">
      <c r="B439" s="13">
        <f t="shared" si="20"/>
        <v>41.725000000000321</v>
      </c>
      <c r="C439" s="9">
        <f t="shared" si="21"/>
        <v>2.1369121327645406E-3</v>
      </c>
      <c r="D439" s="9">
        <f t="shared" si="22"/>
        <v>0.95828307667790114</v>
      </c>
    </row>
    <row r="440" spans="2:4" x14ac:dyDescent="0.25">
      <c r="B440" s="13">
        <f t="shared" si="20"/>
        <v>41.825000000000323</v>
      </c>
      <c r="C440" s="9">
        <f t="shared" si="21"/>
        <v>2.1229812417065098E-3</v>
      </c>
      <c r="D440" s="9">
        <f t="shared" si="22"/>
        <v>0.9584960704111446</v>
      </c>
    </row>
    <row r="441" spans="2:4" x14ac:dyDescent="0.25">
      <c r="B441" s="13">
        <f t="shared" si="20"/>
        <v>41.925000000000324</v>
      </c>
      <c r="C441" s="9">
        <f t="shared" si="21"/>
        <v>2.1091620690893006E-3</v>
      </c>
      <c r="D441" s="9">
        <f t="shared" si="22"/>
        <v>0.95870767665017698</v>
      </c>
    </row>
    <row r="442" spans="2:4" x14ac:dyDescent="0.25">
      <c r="B442" s="13">
        <f t="shared" ref="B442:B505" si="23">+B441+0.1</f>
        <v>42.025000000000325</v>
      </c>
      <c r="C442" s="9">
        <f t="shared" si="21"/>
        <v>2.0954535442398122E-3</v>
      </c>
      <c r="D442" s="9">
        <f t="shared" si="22"/>
        <v>0.95891790651320818</v>
      </c>
    </row>
    <row r="443" spans="2:4" x14ac:dyDescent="0.25">
      <c r="B443" s="13">
        <f t="shared" si="23"/>
        <v>42.125000000000327</v>
      </c>
      <c r="C443" s="9">
        <f t="shared" si="21"/>
        <v>2.0818546084656799E-3</v>
      </c>
      <c r="D443" s="9">
        <f t="shared" si="22"/>
        <v>0.95912677101198096</v>
      </c>
    </row>
    <row r="444" spans="2:4" x14ac:dyDescent="0.25">
      <c r="B444" s="13">
        <f t="shared" si="23"/>
        <v>42.225000000000328</v>
      </c>
      <c r="C444" s="9">
        <f t="shared" si="21"/>
        <v>2.0683642149016907E-3</v>
      </c>
      <c r="D444" s="9">
        <f t="shared" si="22"/>
        <v>0.95933428105296192</v>
      </c>
    </row>
    <row r="445" spans="2:4" x14ac:dyDescent="0.25">
      <c r="B445" s="13">
        <f t="shared" si="23"/>
        <v>42.32500000000033</v>
      </c>
      <c r="C445" s="9">
        <f t="shared" si="21"/>
        <v>2.0549813283584199E-3</v>
      </c>
      <c r="D445" s="9">
        <f t="shared" si="22"/>
        <v>0.95954044743851585</v>
      </c>
    </row>
    <row r="446" spans="2:4" x14ac:dyDescent="0.25">
      <c r="B446" s="13">
        <f t="shared" si="23"/>
        <v>42.425000000000331</v>
      </c>
      <c r="C446" s="9">
        <f t="shared" si="21"/>
        <v>2.0417049251730541E-3</v>
      </c>
      <c r="D446" s="9">
        <f t="shared" si="22"/>
        <v>0.95974528086806621</v>
      </c>
    </row>
    <row r="447" spans="2:4" x14ac:dyDescent="0.25">
      <c r="B447" s="13">
        <f t="shared" si="23"/>
        <v>42.525000000000333</v>
      </c>
      <c r="C447" s="9">
        <f t="shared" si="21"/>
        <v>2.0285339930623258E-3</v>
      </c>
      <c r="D447" s="9">
        <f t="shared" si="22"/>
        <v>0.95994879193924054</v>
      </c>
    </row>
    <row r="448" spans="2:4" x14ac:dyDescent="0.25">
      <c r="B448" s="13">
        <f t="shared" si="23"/>
        <v>42.625000000000334</v>
      </c>
      <c r="C448" s="9">
        <f t="shared" si="21"/>
        <v>2.015467530977626E-3</v>
      </c>
      <c r="D448" s="9">
        <f t="shared" si="22"/>
        <v>0.9601509911490006</v>
      </c>
    </row>
    <row r="449" spans="2:4" x14ac:dyDescent="0.25">
      <c r="B449" s="13">
        <f t="shared" si="23"/>
        <v>42.725000000000335</v>
      </c>
      <c r="C449" s="9">
        <f t="shared" si="21"/>
        <v>2.0025045489621518E-3</v>
      </c>
      <c r="D449" s="9">
        <f t="shared" si="22"/>
        <v>0.96035188889475953</v>
      </c>
    </row>
    <row r="450" spans="2:4" x14ac:dyDescent="0.25">
      <c r="B450" s="13">
        <f t="shared" si="23"/>
        <v>42.825000000000337</v>
      </c>
      <c r="C450" s="9">
        <f t="shared" si="21"/>
        <v>1.9896440680101267E-3</v>
      </c>
      <c r="D450" s="9">
        <f t="shared" si="22"/>
        <v>0.96055149547548313</v>
      </c>
    </row>
    <row r="451" spans="2:4" x14ac:dyDescent="0.25">
      <c r="B451" s="13">
        <f t="shared" si="23"/>
        <v>42.925000000000338</v>
      </c>
      <c r="C451" s="9">
        <f t="shared" si="21"/>
        <v>1.9768851199280014E-3</v>
      </c>
      <c r="D451" s="9">
        <f t="shared" si="22"/>
        <v>0.96074982109277862</v>
      </c>
    </row>
    <row r="452" spans="2:4" x14ac:dyDescent="0.25">
      <c r="B452" s="13">
        <f t="shared" si="23"/>
        <v>43.02500000000034</v>
      </c>
      <c r="C452" s="9">
        <f t="shared" si="21"/>
        <v>1.9642267471976947E-3</v>
      </c>
      <c r="D452" s="9">
        <f t="shared" si="22"/>
        <v>0.96094687585196881</v>
      </c>
    </row>
    <row r="453" spans="2:4" x14ac:dyDescent="0.25">
      <c r="B453" s="13">
        <f t="shared" si="23"/>
        <v>43.125000000000341</v>
      </c>
      <c r="C453" s="9">
        <f t="shared" si="21"/>
        <v>1.9516680028417329E-3</v>
      </c>
      <c r="D453" s="9">
        <f t="shared" si="22"/>
        <v>0.96114266976315244</v>
      </c>
    </row>
    <row r="454" spans="2:4" x14ac:dyDescent="0.25">
      <c r="B454" s="13">
        <f t="shared" si="23"/>
        <v>43.225000000000342</v>
      </c>
      <c r="C454" s="9">
        <f t="shared" si="21"/>
        <v>1.9392079502903259E-3</v>
      </c>
      <c r="D454" s="9">
        <f t="shared" si="22"/>
        <v>0.96133721274225248</v>
      </c>
    </row>
    <row r="455" spans="2:4" x14ac:dyDescent="0.25">
      <c r="B455" s="13">
        <f t="shared" si="23"/>
        <v>43.325000000000344</v>
      </c>
      <c r="C455" s="9">
        <f t="shared" si="21"/>
        <v>1.9268456632503608E-3</v>
      </c>
      <c r="D455" s="9">
        <f t="shared" si="22"/>
        <v>0.96153051461204964</v>
      </c>
    </row>
    <row r="456" spans="2:4" x14ac:dyDescent="0.25">
      <c r="B456" s="13">
        <f t="shared" si="23"/>
        <v>43.425000000000345</v>
      </c>
      <c r="C456" s="9">
        <f t="shared" ref="C456:C519" si="24">+_xlfn.LOGNORM.DIST(B456,$C$4,$C$5,FALSE)</f>
        <v>1.9145802255762161E-3</v>
      </c>
      <c r="D456" s="9">
        <f t="shared" ref="D456:D519" si="25">+_xlfn.LOGNORM.DIST(B456,$C$4,$C$5,TRUE)</f>
        <v>0.96172258510320363</v>
      </c>
    </row>
    <row r="457" spans="2:4" x14ac:dyDescent="0.25">
      <c r="B457" s="13">
        <f t="shared" si="23"/>
        <v>43.525000000000347</v>
      </c>
      <c r="C457" s="9">
        <f t="shared" si="24"/>
        <v>1.9024107311424179E-3</v>
      </c>
      <c r="D457" s="9">
        <f t="shared" si="25"/>
        <v>0.96191343385526196</v>
      </c>
    </row>
    <row r="458" spans="2:4" x14ac:dyDescent="0.25">
      <c r="B458" s="13">
        <f t="shared" si="23"/>
        <v>43.625000000000348</v>
      </c>
      <c r="C458" s="9">
        <f t="shared" si="24"/>
        <v>1.8903362837181287E-3</v>
      </c>
      <c r="D458" s="9">
        <f t="shared" si="25"/>
        <v>0.96210307041765497</v>
      </c>
    </row>
    <row r="459" spans="2:4" x14ac:dyDescent="0.25">
      <c r="B459" s="13">
        <f t="shared" si="23"/>
        <v>43.72500000000035</v>
      </c>
      <c r="C459" s="9">
        <f t="shared" si="24"/>
        <v>1.8783559968433535E-3</v>
      </c>
      <c r="D459" s="9">
        <f t="shared" si="25"/>
        <v>0.96229150425067977</v>
      </c>
    </row>
    <row r="460" spans="2:4" x14ac:dyDescent="0.25">
      <c r="B460" s="13">
        <f t="shared" si="23"/>
        <v>43.825000000000351</v>
      </c>
      <c r="C460" s="9">
        <f t="shared" si="24"/>
        <v>1.8664689937069568E-3</v>
      </c>
      <c r="D460" s="9">
        <f t="shared" si="25"/>
        <v>0.96247874472647099</v>
      </c>
    </row>
    <row r="461" spans="2:4" x14ac:dyDescent="0.25">
      <c r="B461" s="13">
        <f t="shared" si="23"/>
        <v>43.925000000000352</v>
      </c>
      <c r="C461" s="9">
        <f t="shared" si="24"/>
        <v>1.8546744070263267E-3</v>
      </c>
      <c r="D461" s="9">
        <f t="shared" si="25"/>
        <v>0.96266480112995934</v>
      </c>
    </row>
    <row r="462" spans="2:4" x14ac:dyDescent="0.25">
      <c r="B462" s="13">
        <f t="shared" si="23"/>
        <v>44.025000000000354</v>
      </c>
      <c r="C462" s="9">
        <f t="shared" si="24"/>
        <v>1.8429713789288049E-3</v>
      </c>
      <c r="D462" s="9">
        <f t="shared" si="25"/>
        <v>0.96284968265981874</v>
      </c>
    </row>
    <row r="463" spans="2:4" x14ac:dyDescent="0.25">
      <c r="B463" s="13">
        <f t="shared" si="23"/>
        <v>44.125000000000355</v>
      </c>
      <c r="C463" s="9">
        <f t="shared" si="24"/>
        <v>1.8313590608347284E-3</v>
      </c>
      <c r="D463" s="9">
        <f t="shared" si="25"/>
        <v>0.96303339842940161</v>
      </c>
    </row>
    <row r="464" spans="2:4" x14ac:dyDescent="0.25">
      <c r="B464" s="13">
        <f t="shared" si="23"/>
        <v>44.225000000000357</v>
      </c>
      <c r="C464" s="9">
        <f t="shared" si="24"/>
        <v>1.8198366133421093E-3</v>
      </c>
      <c r="D464" s="9">
        <f t="shared" si="25"/>
        <v>0.96321595746766231</v>
      </c>
    </row>
    <row r="465" spans="2:4" x14ac:dyDescent="0.25">
      <c r="B465" s="13">
        <f t="shared" si="23"/>
        <v>44.325000000000358</v>
      </c>
      <c r="C465" s="9">
        <f t="shared" si="24"/>
        <v>1.8084032061129853E-3</v>
      </c>
      <c r="D465" s="9">
        <f t="shared" si="25"/>
        <v>0.96339736872006887</v>
      </c>
    </row>
    <row r="466" spans="2:4" x14ac:dyDescent="0.25">
      <c r="B466" s="13">
        <f t="shared" si="23"/>
        <v>44.42500000000036</v>
      </c>
      <c r="C466" s="9">
        <f t="shared" si="24"/>
        <v>1.7970580177612782E-3</v>
      </c>
      <c r="D466" s="9">
        <f t="shared" si="25"/>
        <v>0.96357764104950427</v>
      </c>
    </row>
    <row r="467" spans="2:4" x14ac:dyDescent="0.25">
      <c r="B467" s="13">
        <f t="shared" si="23"/>
        <v>44.525000000000361</v>
      </c>
      <c r="C467" s="9">
        <f t="shared" si="24"/>
        <v>1.7858002357422796E-3</v>
      </c>
      <c r="D467" s="9">
        <f t="shared" si="25"/>
        <v>0.96375678323715586</v>
      </c>
    </row>
    <row r="468" spans="2:4" x14ac:dyDescent="0.25">
      <c r="B468" s="13">
        <f t="shared" si="23"/>
        <v>44.625000000000362</v>
      </c>
      <c r="C468" s="9">
        <f t="shared" si="24"/>
        <v>1.7746290562436562E-3</v>
      </c>
      <c r="D468" s="9">
        <f t="shared" si="25"/>
        <v>0.96393480398339393</v>
      </c>
    </row>
    <row r="469" spans="2:4" x14ac:dyDescent="0.25">
      <c r="B469" s="13">
        <f t="shared" si="23"/>
        <v>44.725000000000364</v>
      </c>
      <c r="C469" s="9">
        <f t="shared" si="24"/>
        <v>1.7635436840779427E-3</v>
      </c>
      <c r="D469" s="9">
        <f t="shared" si="25"/>
        <v>0.96411171190863953</v>
      </c>
    </row>
    <row r="470" spans="2:4" x14ac:dyDescent="0.25">
      <c r="B470" s="13">
        <f t="shared" si="23"/>
        <v>44.825000000000365</v>
      </c>
      <c r="C470" s="9">
        <f t="shared" si="24"/>
        <v>1.7525433325765699E-3</v>
      </c>
      <c r="D470" s="9">
        <f t="shared" si="25"/>
        <v>0.96428751555422232</v>
      </c>
    </row>
    <row r="471" spans="2:4" x14ac:dyDescent="0.25">
      <c r="B471" s="13">
        <f t="shared" si="23"/>
        <v>44.925000000000367</v>
      </c>
      <c r="C471" s="9">
        <f t="shared" si="24"/>
        <v>1.7416272234853467E-3</v>
      </c>
      <c r="D471" s="9">
        <f t="shared" si="25"/>
        <v>0.96446222338322596</v>
      </c>
    </row>
    <row r="472" spans="2:4" x14ac:dyDescent="0.25">
      <c r="B472" s="13">
        <f t="shared" si="23"/>
        <v>45.025000000000368</v>
      </c>
      <c r="C472" s="9">
        <f t="shared" si="24"/>
        <v>1.7307945868613702E-3</v>
      </c>
      <c r="D472" s="9">
        <f t="shared" si="25"/>
        <v>0.96463584378132583</v>
      </c>
    </row>
    <row r="473" spans="2:4" x14ac:dyDescent="0.25">
      <c r="B473" s="13">
        <f t="shared" si="23"/>
        <v>45.125000000000369</v>
      </c>
      <c r="C473" s="9">
        <f t="shared" si="24"/>
        <v>1.7200446609713736E-3</v>
      </c>
      <c r="D473" s="9">
        <f t="shared" si="25"/>
        <v>0.96480838505761379</v>
      </c>
    </row>
    <row r="474" spans="2:4" x14ac:dyDescent="0.25">
      <c r="B474" s="13">
        <f t="shared" si="23"/>
        <v>45.225000000000371</v>
      </c>
      <c r="C474" s="9">
        <f t="shared" si="24"/>
        <v>1.7093766921914874E-3</v>
      </c>
      <c r="D474" s="9">
        <f t="shared" si="25"/>
        <v>0.96497985544541487</v>
      </c>
    </row>
    <row r="475" spans="2:4" x14ac:dyDescent="0.25">
      <c r="B475" s="13">
        <f t="shared" si="23"/>
        <v>45.325000000000372</v>
      </c>
      <c r="C475" s="9">
        <f t="shared" si="24"/>
        <v>1.6987899349083717E-3</v>
      </c>
      <c r="D475" s="9">
        <f t="shared" si="25"/>
        <v>0.96515026310309315</v>
      </c>
    </row>
    <row r="476" spans="2:4" x14ac:dyDescent="0.25">
      <c r="B476" s="13">
        <f t="shared" si="23"/>
        <v>45.425000000000374</v>
      </c>
      <c r="C476" s="9">
        <f t="shared" si="24"/>
        <v>1.6882836514216862E-3</v>
      </c>
      <c r="D476" s="9">
        <f t="shared" si="25"/>
        <v>0.96531961611484773</v>
      </c>
    </row>
    <row r="477" spans="2:4" x14ac:dyDescent="0.25">
      <c r="B477" s="13">
        <f t="shared" si="23"/>
        <v>45.525000000000375</v>
      </c>
      <c r="C477" s="9">
        <f t="shared" si="24"/>
        <v>1.6778571118479435E-3</v>
      </c>
      <c r="D477" s="9">
        <f t="shared" si="25"/>
        <v>0.9654879224914994</v>
      </c>
    </row>
    <row r="478" spans="2:4" x14ac:dyDescent="0.25">
      <c r="B478" s="13">
        <f t="shared" si="23"/>
        <v>45.625000000000377</v>
      </c>
      <c r="C478" s="9">
        <f t="shared" si="24"/>
        <v>1.6675095940256455E-3</v>
      </c>
      <c r="D478" s="9">
        <f t="shared" si="25"/>
        <v>0.96565519017126722</v>
      </c>
    </row>
    <row r="479" spans="2:4" x14ac:dyDescent="0.25">
      <c r="B479" s="13">
        <f t="shared" si="23"/>
        <v>45.725000000000378</v>
      </c>
      <c r="C479" s="9">
        <f t="shared" si="24"/>
        <v>1.6572403834217149E-3</v>
      </c>
      <c r="D479" s="9">
        <f t="shared" si="25"/>
        <v>0.96582142702053675</v>
      </c>
    </row>
    <row r="480" spans="2:4" x14ac:dyDescent="0.25">
      <c r="B480" s="13">
        <f t="shared" si="23"/>
        <v>45.825000000000379</v>
      </c>
      <c r="C480" s="9">
        <f t="shared" si="24"/>
        <v>1.6470487730392467E-3</v>
      </c>
      <c r="D480" s="9">
        <f t="shared" si="25"/>
        <v>0.96598664083461738</v>
      </c>
    </row>
    <row r="481" spans="2:4" x14ac:dyDescent="0.25">
      <c r="B481" s="13">
        <f t="shared" si="23"/>
        <v>45.925000000000381</v>
      </c>
      <c r="C481" s="9">
        <f t="shared" si="24"/>
        <v>1.6369340633264706E-3</v>
      </c>
      <c r="D481" s="9">
        <f t="shared" si="25"/>
        <v>0.966150839338492</v>
      </c>
    </row>
    <row r="482" spans="2:4" x14ac:dyDescent="0.25">
      <c r="B482" s="13">
        <f t="shared" si="23"/>
        <v>46.025000000000382</v>
      </c>
      <c r="C482" s="9">
        <f t="shared" si="24"/>
        <v>1.6268955620869748E-3</v>
      </c>
      <c r="D482" s="9">
        <f t="shared" si="25"/>
        <v>0.96631403018755702</v>
      </c>
    </row>
    <row r="483" spans="2:4" x14ac:dyDescent="0.25">
      <c r="B483" s="13">
        <f t="shared" si="23"/>
        <v>46.125000000000384</v>
      </c>
      <c r="C483" s="9">
        <f t="shared" si="24"/>
        <v>1.6169325843911522E-3</v>
      </c>
      <c r="D483" s="9">
        <f t="shared" si="25"/>
        <v>0.96647622096835295</v>
      </c>
    </row>
    <row r="484" spans="2:4" x14ac:dyDescent="0.25">
      <c r="B484" s="13">
        <f t="shared" si="23"/>
        <v>46.225000000000385</v>
      </c>
      <c r="C484" s="9">
        <f t="shared" si="24"/>
        <v>1.6070444524888432E-3</v>
      </c>
      <c r="D484" s="9">
        <f t="shared" si="25"/>
        <v>0.96663741919928714</v>
      </c>
    </row>
    <row r="485" spans="2:4" x14ac:dyDescent="0.25">
      <c r="B485" s="13">
        <f t="shared" si="23"/>
        <v>46.325000000000387</v>
      </c>
      <c r="C485" s="9">
        <f t="shared" si="24"/>
        <v>1.5972304957231715E-3</v>
      </c>
      <c r="D485" s="9">
        <f t="shared" si="25"/>
        <v>0.96679763233134741</v>
      </c>
    </row>
    <row r="486" spans="2:4" x14ac:dyDescent="0.25">
      <c r="B486" s="13">
        <f t="shared" si="23"/>
        <v>46.425000000000388</v>
      </c>
      <c r="C486" s="9">
        <f t="shared" si="24"/>
        <v>1.587490050445526E-3</v>
      </c>
      <c r="D486" s="9">
        <f t="shared" si="25"/>
        <v>0.96695686774880707</v>
      </c>
    </row>
    <row r="487" spans="2:4" x14ac:dyDescent="0.25">
      <c r="B487" s="13">
        <f t="shared" si="23"/>
        <v>46.525000000000389</v>
      </c>
      <c r="C487" s="9">
        <f t="shared" si="24"/>
        <v>1.5778224599317145E-3</v>
      </c>
      <c r="D487" s="9">
        <f t="shared" si="25"/>
        <v>0.96711513276992112</v>
      </c>
    </row>
    <row r="488" spans="2:4" x14ac:dyDescent="0.25">
      <c r="B488" s="13">
        <f t="shared" si="23"/>
        <v>46.625000000000391</v>
      </c>
      <c r="C488" s="9">
        <f t="shared" si="24"/>
        <v>1.568227074299249E-3</v>
      </c>
      <c r="D488" s="9">
        <f t="shared" si="25"/>
        <v>0.96727243464761525</v>
      </c>
    </row>
    <row r="489" spans="2:4" x14ac:dyDescent="0.25">
      <c r="B489" s="13">
        <f t="shared" si="23"/>
        <v>46.725000000000392</v>
      </c>
      <c r="C489" s="9">
        <f t="shared" si="24"/>
        <v>1.5587032504257182E-3</v>
      </c>
      <c r="D489" s="9">
        <f t="shared" si="25"/>
        <v>0.96742878057016546</v>
      </c>
    </row>
    <row r="490" spans="2:4" x14ac:dyDescent="0.25">
      <c r="B490" s="13">
        <f t="shared" si="23"/>
        <v>46.825000000000394</v>
      </c>
      <c r="C490" s="9">
        <f t="shared" si="24"/>
        <v>1.5492503518682755E-3</v>
      </c>
      <c r="D490" s="9">
        <f t="shared" si="25"/>
        <v>0.96758417766187033</v>
      </c>
    </row>
    <row r="491" spans="2:4" x14ac:dyDescent="0.25">
      <c r="B491" s="13">
        <f t="shared" si="23"/>
        <v>46.925000000000395</v>
      </c>
      <c r="C491" s="9">
        <f t="shared" si="24"/>
        <v>1.5398677487842294E-3</v>
      </c>
      <c r="D491" s="9">
        <f t="shared" si="25"/>
        <v>0.96773863298371432</v>
      </c>
    </row>
    <row r="492" spans="2:4" x14ac:dyDescent="0.25">
      <c r="B492" s="13">
        <f t="shared" si="23"/>
        <v>47.025000000000396</v>
      </c>
      <c r="C492" s="9">
        <f t="shared" si="24"/>
        <v>1.5305548178526595E-3</v>
      </c>
      <c r="D492" s="9">
        <f t="shared" si="25"/>
        <v>0.96789215353402502</v>
      </c>
    </row>
    <row r="493" spans="2:4" x14ac:dyDescent="0.25">
      <c r="B493" s="13">
        <f t="shared" si="23"/>
        <v>47.125000000000398</v>
      </c>
      <c r="C493" s="9">
        <f t="shared" si="24"/>
        <v>1.5213109421971054E-3</v>
      </c>
      <c r="D493" s="9">
        <f t="shared" si="25"/>
        <v>0.96804474624912029</v>
      </c>
    </row>
    <row r="494" spans="2:4" x14ac:dyDescent="0.25">
      <c r="B494" s="13">
        <f t="shared" si="23"/>
        <v>47.225000000000399</v>
      </c>
      <c r="C494" s="9">
        <f t="shared" si="24"/>
        <v>1.5121355113092865E-3</v>
      </c>
      <c r="D494" s="9">
        <f t="shared" si="25"/>
        <v>0.96819641800394973</v>
      </c>
    </row>
    <row r="495" spans="2:4" x14ac:dyDescent="0.25">
      <c r="B495" s="13">
        <f t="shared" si="23"/>
        <v>47.325000000000401</v>
      </c>
      <c r="C495" s="9">
        <f t="shared" si="24"/>
        <v>1.5030279209738329E-3</v>
      </c>
      <c r="D495" s="9">
        <f t="shared" si="25"/>
        <v>0.9683471756127271</v>
      </c>
    </row>
    <row r="496" spans="2:4" x14ac:dyDescent="0.25">
      <c r="B496" s="13">
        <f t="shared" si="23"/>
        <v>47.425000000000402</v>
      </c>
      <c r="C496" s="9">
        <f t="shared" si="24"/>
        <v>1.4939875731940352E-3</v>
      </c>
      <c r="D496" s="9">
        <f t="shared" si="25"/>
        <v>0.96849702582955621</v>
      </c>
    </row>
    <row r="497" spans="2:4" x14ac:dyDescent="0.25">
      <c r="B497" s="13">
        <f t="shared" si="23"/>
        <v>47.525000000000404</v>
      </c>
      <c r="C497" s="9">
        <f t="shared" si="24"/>
        <v>1.4850138761185547E-3</v>
      </c>
      <c r="D497" s="9">
        <f t="shared" si="25"/>
        <v>0.96864597534904928</v>
      </c>
    </row>
    <row r="498" spans="2:4" x14ac:dyDescent="0.25">
      <c r="B498" s="13">
        <f t="shared" si="23"/>
        <v>47.625000000000405</v>
      </c>
      <c r="C498" s="9">
        <f t="shared" si="24"/>
        <v>1.4761062439691461E-3</v>
      </c>
      <c r="D498" s="9">
        <f t="shared" si="25"/>
        <v>0.96879403080693738</v>
      </c>
    </row>
    <row r="499" spans="2:4" x14ac:dyDescent="0.25">
      <c r="B499" s="13">
        <f t="shared" si="23"/>
        <v>47.725000000000406</v>
      </c>
      <c r="C499" s="9">
        <f t="shared" si="24"/>
        <v>1.4672640969692892E-3</v>
      </c>
      <c r="D499" s="9">
        <f t="shared" si="25"/>
        <v>0.96894119878067486</v>
      </c>
    </row>
    <row r="500" spans="2:4" x14ac:dyDescent="0.25">
      <c r="B500" s="13">
        <f t="shared" si="23"/>
        <v>47.825000000000408</v>
      </c>
      <c r="C500" s="9">
        <f t="shared" si="24"/>
        <v>1.4584868612738243E-3</v>
      </c>
      <c r="D500" s="9">
        <f t="shared" si="25"/>
        <v>0.9690874857900349</v>
      </c>
    </row>
    <row r="501" spans="2:4" x14ac:dyDescent="0.25">
      <c r="B501" s="13">
        <f t="shared" si="23"/>
        <v>47.925000000000409</v>
      </c>
      <c r="C501" s="9">
        <f t="shared" si="24"/>
        <v>1.4497739688994699E-3</v>
      </c>
      <c r="D501" s="9">
        <f t="shared" si="25"/>
        <v>0.96923289829770054</v>
      </c>
    </row>
    <row r="502" spans="2:4" x14ac:dyDescent="0.25">
      <c r="B502" s="13">
        <f t="shared" si="23"/>
        <v>48.025000000000411</v>
      </c>
      <c r="C502" s="9">
        <f t="shared" si="24"/>
        <v>1.441124857656277E-3</v>
      </c>
      <c r="D502" s="9">
        <f t="shared" si="25"/>
        <v>0.96937744270984616</v>
      </c>
    </row>
    <row r="503" spans="2:4" x14ac:dyDescent="0.25">
      <c r="B503" s="13">
        <f t="shared" si="23"/>
        <v>48.125000000000412</v>
      </c>
      <c r="C503" s="9">
        <f t="shared" si="24"/>
        <v>1.4325389710799911E-3</v>
      </c>
      <c r="D503" s="9">
        <f t="shared" si="25"/>
        <v>0.96952112537671442</v>
      </c>
    </row>
    <row r="504" spans="2:4" x14ac:dyDescent="0.25">
      <c r="B504" s="13">
        <f t="shared" si="23"/>
        <v>48.225000000000414</v>
      </c>
      <c r="C504" s="9">
        <f t="shared" si="24"/>
        <v>1.4240157583652979E-3</v>
      </c>
      <c r="D504" s="9">
        <f t="shared" si="25"/>
        <v>0.96966395259318472</v>
      </c>
    </row>
    <row r="505" spans="2:4" x14ac:dyDescent="0.25">
      <c r="B505" s="13">
        <f t="shared" si="23"/>
        <v>48.325000000000415</v>
      </c>
      <c r="C505" s="9">
        <f t="shared" si="24"/>
        <v>1.4155546742999549E-3</v>
      </c>
      <c r="D505" s="9">
        <f t="shared" si="25"/>
        <v>0.96980593059933629</v>
      </c>
    </row>
    <row r="506" spans="2:4" x14ac:dyDescent="0.25">
      <c r="B506" s="13">
        <f t="shared" ref="B506:B569" si="26">+B505+0.1</f>
        <v>48.425000000000416</v>
      </c>
      <c r="C506" s="9">
        <f t="shared" si="24"/>
        <v>1.40715517919977E-3</v>
      </c>
      <c r="D506" s="9">
        <f t="shared" si="25"/>
        <v>0.96994706558100408</v>
      </c>
    </row>
    <row r="507" spans="2:4" x14ac:dyDescent="0.25">
      <c r="B507" s="13">
        <f t="shared" si="26"/>
        <v>48.525000000000418</v>
      </c>
      <c r="C507" s="9">
        <f t="shared" si="24"/>
        <v>1.3988167388444474E-3</v>
      </c>
      <c r="D507" s="9">
        <f t="shared" si="25"/>
        <v>0.97008736367032844</v>
      </c>
    </row>
    <row r="508" spans="2:4" x14ac:dyDescent="0.25">
      <c r="B508" s="13">
        <f t="shared" si="26"/>
        <v>48.625000000000419</v>
      </c>
      <c r="C508" s="9">
        <f t="shared" si="24"/>
        <v>1.3905388244142883E-3</v>
      </c>
      <c r="D508" s="9">
        <f t="shared" si="25"/>
        <v>0.97022683094629791</v>
      </c>
    </row>
    <row r="509" spans="2:4" x14ac:dyDescent="0.25">
      <c r="B509" s="13">
        <f t="shared" si="26"/>
        <v>48.725000000000421</v>
      </c>
      <c r="C509" s="9">
        <f t="shared" si="24"/>
        <v>1.3823209124276595E-3</v>
      </c>
      <c r="D509" s="9">
        <f t="shared" si="25"/>
        <v>0.9703654734352869</v>
      </c>
    </row>
    <row r="510" spans="2:4" x14ac:dyDescent="0.25">
      <c r="B510" s="13">
        <f t="shared" si="26"/>
        <v>48.825000000000422</v>
      </c>
      <c r="C510" s="9">
        <f t="shared" si="24"/>
        <v>1.3741624846793647E-3</v>
      </c>
      <c r="D510" s="9">
        <f t="shared" si="25"/>
        <v>0.97050329711158556</v>
      </c>
    </row>
    <row r="511" spans="2:4" x14ac:dyDescent="0.25">
      <c r="B511" s="13">
        <f t="shared" si="26"/>
        <v>48.925000000000423</v>
      </c>
      <c r="C511" s="9">
        <f t="shared" si="24"/>
        <v>1.3660630281797379E-3</v>
      </c>
      <c r="D511" s="9">
        <f t="shared" si="25"/>
        <v>0.97064030789792533</v>
      </c>
    </row>
    <row r="512" spans="2:4" x14ac:dyDescent="0.25">
      <c r="B512" s="13">
        <f t="shared" si="26"/>
        <v>49.025000000000425</v>
      </c>
      <c r="C512" s="9">
        <f t="shared" si="24"/>
        <v>1.3580220350945763E-3</v>
      </c>
      <c r="D512" s="9">
        <f t="shared" si="25"/>
        <v>0.97077651166599632</v>
      </c>
    </row>
    <row r="513" spans="2:4" x14ac:dyDescent="0.25">
      <c r="B513" s="13">
        <f t="shared" si="26"/>
        <v>49.125000000000426</v>
      </c>
      <c r="C513" s="9">
        <f t="shared" si="24"/>
        <v>1.3500390026858476E-3</v>
      </c>
      <c r="D513" s="9">
        <f t="shared" si="25"/>
        <v>0.9709119142369611</v>
      </c>
    </row>
    <row r="514" spans="2:4" x14ac:dyDescent="0.25">
      <c r="B514" s="13">
        <f t="shared" si="26"/>
        <v>49.225000000000428</v>
      </c>
      <c r="C514" s="9">
        <f t="shared" si="24"/>
        <v>1.3421134332531448E-3</v>
      </c>
      <c r="D514" s="9">
        <f t="shared" si="25"/>
        <v>0.97104652138196057</v>
      </c>
    </row>
    <row r="515" spans="2:4" x14ac:dyDescent="0.25">
      <c r="B515" s="13">
        <f t="shared" si="26"/>
        <v>49.325000000000429</v>
      </c>
      <c r="C515" s="9">
        <f t="shared" si="24"/>
        <v>1.3342448340759228E-3</v>
      </c>
      <c r="D515" s="9">
        <f t="shared" si="25"/>
        <v>0.97118033882261479</v>
      </c>
    </row>
    <row r="516" spans="2:4" x14ac:dyDescent="0.25">
      <c r="B516" s="13">
        <f t="shared" si="26"/>
        <v>49.425000000000431</v>
      </c>
      <c r="C516" s="9">
        <f t="shared" si="24"/>
        <v>1.3264327173564735E-3</v>
      </c>
      <c r="D516" s="9">
        <f t="shared" si="25"/>
        <v>0.97131337223151892</v>
      </c>
    </row>
    <row r="517" spans="2:4" x14ac:dyDescent="0.25">
      <c r="B517" s="13">
        <f t="shared" si="26"/>
        <v>49.525000000000432</v>
      </c>
      <c r="C517" s="9">
        <f t="shared" si="24"/>
        <v>1.3186766001636327E-3</v>
      </c>
      <c r="D517" s="9">
        <f t="shared" si="25"/>
        <v>0.97144562723273165</v>
      </c>
    </row>
    <row r="518" spans="2:4" x14ac:dyDescent="0.25">
      <c r="B518" s="13">
        <f t="shared" si="26"/>
        <v>49.625000000000433</v>
      </c>
      <c r="C518" s="9">
        <f t="shared" si="24"/>
        <v>1.3109760043772184E-3</v>
      </c>
      <c r="D518" s="9">
        <f t="shared" si="25"/>
        <v>0.97157710940225994</v>
      </c>
    </row>
    <row r="519" spans="2:4" x14ac:dyDescent="0.25">
      <c r="B519" s="13">
        <f t="shared" si="26"/>
        <v>49.725000000000435</v>
      </c>
      <c r="C519" s="9">
        <f t="shared" si="24"/>
        <v>1.3033304566331821E-3</v>
      </c>
      <c r="D519" s="9">
        <f t="shared" si="25"/>
        <v>0.97170782426853664</v>
      </c>
    </row>
    <row r="520" spans="2:4" x14ac:dyDescent="0.25">
      <c r="B520" s="13">
        <f t="shared" si="26"/>
        <v>49.825000000000436</v>
      </c>
      <c r="C520" s="9">
        <f t="shared" ref="C520:C583" si="27">+_xlfn.LOGNORM.DIST(B520,$C$4,$C$5,FALSE)</f>
        <v>1.295739488269463E-3</v>
      </c>
      <c r="D520" s="9">
        <f t="shared" ref="D520:D583" si="28">+_xlfn.LOGNORM.DIST(B520,$C$4,$C$5,TRUE)</f>
        <v>0.97183777731289411</v>
      </c>
    </row>
    <row r="521" spans="2:4" x14ac:dyDescent="0.25">
      <c r="B521" s="13">
        <f t="shared" si="26"/>
        <v>49.925000000000438</v>
      </c>
      <c r="C521" s="9">
        <f t="shared" si="27"/>
        <v>1.2882026352725509E-3</v>
      </c>
      <c r="D521" s="9">
        <f t="shared" si="28"/>
        <v>0.97196697397003096</v>
      </c>
    </row>
    <row r="522" spans="2:4" x14ac:dyDescent="0.25">
      <c r="B522" s="13">
        <f t="shared" si="26"/>
        <v>50.025000000000439</v>
      </c>
      <c r="C522" s="9">
        <f t="shared" si="27"/>
        <v>1.2807194382247096E-3</v>
      </c>
      <c r="D522" s="9">
        <f t="shared" si="28"/>
        <v>0.97209541962847512</v>
      </c>
    </row>
    <row r="523" spans="2:4" x14ac:dyDescent="0.25">
      <c r="B523" s="13">
        <f t="shared" si="26"/>
        <v>50.125000000000441</v>
      </c>
      <c r="C523" s="9">
        <f t="shared" si="27"/>
        <v>1.2732894422518954E-3</v>
      </c>
      <c r="D523" s="9">
        <f t="shared" si="28"/>
        <v>0.97222311963104013</v>
      </c>
    </row>
    <row r="524" spans="2:4" x14ac:dyDescent="0.25">
      <c r="B524" s="13">
        <f t="shared" si="26"/>
        <v>50.225000000000442</v>
      </c>
      <c r="C524" s="9">
        <f t="shared" si="27"/>
        <v>1.2659121969723303E-3</v>
      </c>
      <c r="D524" s="9">
        <f t="shared" si="28"/>
        <v>0.97235007927527706</v>
      </c>
    </row>
    <row r="525" spans="2:4" x14ac:dyDescent="0.25">
      <c r="B525" s="13">
        <f t="shared" si="26"/>
        <v>50.325000000000443</v>
      </c>
      <c r="C525" s="9">
        <f t="shared" si="27"/>
        <v>1.258587256445747E-3</v>
      </c>
      <c r="D525" s="9">
        <f t="shared" si="28"/>
        <v>0.97247630381392147</v>
      </c>
    </row>
    <row r="526" spans="2:4" x14ac:dyDescent="0.25">
      <c r="B526" s="13">
        <f t="shared" si="26"/>
        <v>50.425000000000445</v>
      </c>
      <c r="C526" s="9">
        <f t="shared" si="27"/>
        <v>1.2513141791232567E-3</v>
      </c>
      <c r="D526" s="9">
        <f t="shared" si="28"/>
        <v>0.97260179845533479</v>
      </c>
    </row>
    <row r="527" spans="2:4" x14ac:dyDescent="0.25">
      <c r="B527" s="13">
        <f t="shared" si="26"/>
        <v>50.525000000000446</v>
      </c>
      <c r="C527" s="9">
        <f t="shared" si="27"/>
        <v>1.2440925277978712E-3</v>
      </c>
      <c r="D527" s="9">
        <f t="shared" si="28"/>
        <v>0.97272656836394122</v>
      </c>
    </row>
    <row r="528" spans="2:4" x14ac:dyDescent="0.25">
      <c r="B528" s="13">
        <f t="shared" si="26"/>
        <v>50.625000000000448</v>
      </c>
      <c r="C528" s="9">
        <f t="shared" si="27"/>
        <v>1.2369218695556566E-3</v>
      </c>
      <c r="D528" s="9">
        <f t="shared" si="28"/>
        <v>0.97285061866065914</v>
      </c>
    </row>
    <row r="529" spans="2:4" x14ac:dyDescent="0.25">
      <c r="B529" s="13">
        <f t="shared" si="26"/>
        <v>50.725000000000449</v>
      </c>
      <c r="C529" s="9">
        <f t="shared" si="27"/>
        <v>1.2298017757274924E-3</v>
      </c>
      <c r="D529" s="9">
        <f t="shared" si="28"/>
        <v>0.97297395442332824</v>
      </c>
    </row>
    <row r="530" spans="2:4" x14ac:dyDescent="0.25">
      <c r="B530" s="13">
        <f t="shared" si="26"/>
        <v>50.82500000000045</v>
      </c>
      <c r="C530" s="9">
        <f t="shared" si="27"/>
        <v>1.2227318218414574E-3</v>
      </c>
      <c r="D530" s="9">
        <f t="shared" si="28"/>
        <v>0.97309658068713145</v>
      </c>
    </row>
    <row r="531" spans="2:4" x14ac:dyDescent="0.25">
      <c r="B531" s="13">
        <f t="shared" si="26"/>
        <v>50.925000000000452</v>
      </c>
      <c r="C531" s="9">
        <f t="shared" si="27"/>
        <v>1.2157115875757912E-3</v>
      </c>
      <c r="D531" s="9">
        <f t="shared" si="28"/>
        <v>0.97321850244501262</v>
      </c>
    </row>
    <row r="532" spans="2:4" x14ac:dyDescent="0.25">
      <c r="B532" s="13">
        <f t="shared" si="26"/>
        <v>51.025000000000453</v>
      </c>
      <c r="C532" s="9">
        <f t="shared" si="27"/>
        <v>1.2087406567124952E-3</v>
      </c>
      <c r="D532" s="9">
        <f t="shared" si="28"/>
        <v>0.97333972464808882</v>
      </c>
    </row>
    <row r="533" spans="2:4" x14ac:dyDescent="0.25">
      <c r="B533" s="13">
        <f t="shared" si="26"/>
        <v>51.125000000000455</v>
      </c>
      <c r="C533" s="9">
        <f t="shared" si="27"/>
        <v>1.2018186170914672E-3</v>
      </c>
      <c r="D533" s="9">
        <f t="shared" si="28"/>
        <v>0.97346025220605881</v>
      </c>
    </row>
    <row r="534" spans="2:4" x14ac:dyDescent="0.25">
      <c r="B534" s="13">
        <f t="shared" si="26"/>
        <v>51.225000000000456</v>
      </c>
      <c r="C534" s="9">
        <f t="shared" si="27"/>
        <v>1.1949450605652574E-3</v>
      </c>
      <c r="D534" s="9">
        <f t="shared" si="28"/>
        <v>0.97358008998760592</v>
      </c>
    </row>
    <row r="535" spans="2:4" x14ac:dyDescent="0.25">
      <c r="B535" s="13">
        <f t="shared" si="26"/>
        <v>51.325000000000458</v>
      </c>
      <c r="C535" s="9">
        <f t="shared" si="27"/>
        <v>1.1881195829543552E-3</v>
      </c>
      <c r="D535" s="9">
        <f t="shared" si="28"/>
        <v>0.97369924282079789</v>
      </c>
    </row>
    <row r="536" spans="2:4" x14ac:dyDescent="0.25">
      <c r="B536" s="13">
        <f t="shared" si="26"/>
        <v>51.425000000000459</v>
      </c>
      <c r="C536" s="9">
        <f t="shared" si="27"/>
        <v>1.1813417840030773E-3</v>
      </c>
      <c r="D536" s="9">
        <f t="shared" si="28"/>
        <v>0.97381771549348106</v>
      </c>
    </row>
    <row r="537" spans="2:4" x14ac:dyDescent="0.25">
      <c r="B537" s="13">
        <f t="shared" si="26"/>
        <v>51.52500000000046</v>
      </c>
      <c r="C537" s="9">
        <f t="shared" si="27"/>
        <v>1.1746112673359707E-3</v>
      </c>
      <c r="D537" s="9">
        <f t="shared" si="28"/>
        <v>0.97393551275367041</v>
      </c>
    </row>
    <row r="538" spans="2:4" x14ac:dyDescent="0.25">
      <c r="B538" s="13">
        <f t="shared" si="26"/>
        <v>51.625000000000462</v>
      </c>
      <c r="C538" s="9">
        <f t="shared" si="27"/>
        <v>1.167927640414792E-3</v>
      </c>
      <c r="D538" s="9">
        <f t="shared" si="28"/>
        <v>0.97405263930993558</v>
      </c>
    </row>
    <row r="539" spans="2:4" x14ac:dyDescent="0.25">
      <c r="B539" s="13">
        <f t="shared" si="26"/>
        <v>51.725000000000463</v>
      </c>
      <c r="C539" s="9">
        <f t="shared" si="27"/>
        <v>1.1612905144959983E-3</v>
      </c>
      <c r="D539" s="9">
        <f t="shared" si="28"/>
        <v>0.97416909983178268</v>
      </c>
    </row>
    <row r="540" spans="2:4" x14ac:dyDescent="0.25">
      <c r="B540" s="13">
        <f t="shared" si="26"/>
        <v>51.825000000000465</v>
      </c>
      <c r="C540" s="9">
        <f t="shared" si="27"/>
        <v>1.1546995045887945E-3</v>
      </c>
      <c r="D540" s="9">
        <f t="shared" si="28"/>
        <v>0.97428489895003112</v>
      </c>
    </row>
    <row r="541" spans="2:4" x14ac:dyDescent="0.25">
      <c r="B541" s="13">
        <f t="shared" si="26"/>
        <v>51.925000000000466</v>
      </c>
      <c r="C541" s="9">
        <f t="shared" si="27"/>
        <v>1.148154229413684E-3</v>
      </c>
      <c r="D541" s="9">
        <f t="shared" si="28"/>
        <v>0.97440004125718738</v>
      </c>
    </row>
    <row r="542" spans="2:4" x14ac:dyDescent="0.25">
      <c r="B542" s="13">
        <f t="shared" si="26"/>
        <v>52.025000000000468</v>
      </c>
      <c r="C542" s="9">
        <f t="shared" si="27"/>
        <v>1.1416543113615442E-3</v>
      </c>
      <c r="D542" s="9">
        <f t="shared" si="28"/>
        <v>0.97451453130781385</v>
      </c>
    </row>
    <row r="543" spans="2:4" x14ac:dyDescent="0.25">
      <c r="B543" s="13">
        <f t="shared" si="26"/>
        <v>52.125000000000469</v>
      </c>
      <c r="C543" s="9">
        <f t="shared" si="27"/>
        <v>1.1351993764532118E-3</v>
      </c>
      <c r="D543" s="9">
        <f t="shared" si="28"/>
        <v>0.97462837361889387</v>
      </c>
    </row>
    <row r="544" spans="2:4" x14ac:dyDescent="0.25">
      <c r="B544" s="13">
        <f t="shared" si="26"/>
        <v>52.22500000000047</v>
      </c>
      <c r="C544" s="9">
        <f t="shared" si="27"/>
        <v>1.1287890542995601E-3</v>
      </c>
      <c r="D544" s="9">
        <f t="shared" si="28"/>
        <v>0.97474157267019246</v>
      </c>
    </row>
    <row r="545" spans="2:4" x14ac:dyDescent="0.25">
      <c r="B545" s="13">
        <f t="shared" si="26"/>
        <v>52.325000000000472</v>
      </c>
      <c r="C545" s="9">
        <f t="shared" si="27"/>
        <v>1.1224229780620871E-3</v>
      </c>
      <c r="D545" s="9">
        <f t="shared" si="28"/>
        <v>0.97485413290461376</v>
      </c>
    </row>
    <row r="546" spans="2:4" x14ac:dyDescent="0.25">
      <c r="B546" s="13">
        <f t="shared" si="26"/>
        <v>52.425000000000473</v>
      </c>
      <c r="C546" s="9">
        <f t="shared" si="27"/>
        <v>1.1161007844139781E-3</v>
      </c>
      <c r="D546" s="9">
        <f t="shared" si="28"/>
        <v>0.97496605872855391</v>
      </c>
    </row>
    <row r="547" spans="2:4" x14ac:dyDescent="0.25">
      <c r="B547" s="13">
        <f t="shared" si="26"/>
        <v>52.525000000000475</v>
      </c>
      <c r="C547" s="9">
        <f t="shared" si="27"/>
        <v>1.1098221135016515E-3</v>
      </c>
      <c r="D547" s="9">
        <f t="shared" si="28"/>
        <v>0.97507735451225064</v>
      </c>
    </row>
    <row r="548" spans="2:4" x14ac:dyDescent="0.25">
      <c r="B548" s="13">
        <f t="shared" si="26"/>
        <v>52.625000000000476</v>
      </c>
      <c r="C548" s="9">
        <f t="shared" si="27"/>
        <v>1.1035866089067886E-3</v>
      </c>
      <c r="D548" s="9">
        <f t="shared" si="28"/>
        <v>0.97518802459012777</v>
      </c>
    </row>
    <row r="549" spans="2:4" x14ac:dyDescent="0.25">
      <c r="B549" s="13">
        <f t="shared" si="26"/>
        <v>52.725000000000477</v>
      </c>
      <c r="C549" s="9">
        <f t="shared" si="27"/>
        <v>1.0973939176088165E-3</v>
      </c>
      <c r="D549" s="9">
        <f t="shared" si="28"/>
        <v>0.97529807326113804</v>
      </c>
    </row>
    <row r="550" spans="2:4" x14ac:dyDescent="0.25">
      <c r="B550" s="13">
        <f t="shared" si="26"/>
        <v>52.825000000000479</v>
      </c>
      <c r="C550" s="9">
        <f t="shared" si="27"/>
        <v>1.0912436899478668E-3</v>
      </c>
      <c r="D550" s="9">
        <f t="shared" si="28"/>
        <v>0.97540750478910043</v>
      </c>
    </row>
    <row r="551" spans="2:4" x14ac:dyDescent="0.25">
      <c r="B551" s="13">
        <f t="shared" si="26"/>
        <v>52.92500000000048</v>
      </c>
      <c r="C551" s="9">
        <f t="shared" si="27"/>
        <v>1.0851355795881822E-3</v>
      </c>
      <c r="D551" s="9">
        <f t="shared" si="28"/>
        <v>0.97551632340303407</v>
      </c>
    </row>
    <row r="552" spans="2:4" x14ac:dyDescent="0.25">
      <c r="B552" s="13">
        <f t="shared" si="26"/>
        <v>53.025000000000482</v>
      </c>
      <c r="C552" s="9">
        <f t="shared" si="27"/>
        <v>1.07906924348197E-3</v>
      </c>
      <c r="D552" s="9">
        <f t="shared" si="28"/>
        <v>0.97562453329748955</v>
      </c>
    </row>
    <row r="553" spans="2:4" x14ac:dyDescent="0.25">
      <c r="B553" s="13">
        <f t="shared" si="26"/>
        <v>53.125000000000483</v>
      </c>
      <c r="C553" s="9">
        <f t="shared" si="27"/>
        <v>1.0730443418337113E-3</v>
      </c>
      <c r="D553" s="9">
        <f t="shared" si="28"/>
        <v>0.97573213863287545</v>
      </c>
    </row>
    <row r="554" spans="2:4" x14ac:dyDescent="0.25">
      <c r="B554" s="13">
        <f t="shared" si="26"/>
        <v>53.225000000000485</v>
      </c>
      <c r="C554" s="9">
        <f t="shared" si="27"/>
        <v>1.0670605380648868E-3</v>
      </c>
      <c r="D554" s="9">
        <f t="shared" si="28"/>
        <v>0.97583914353578205</v>
      </c>
    </row>
    <row r="555" spans="2:4" x14ac:dyDescent="0.25">
      <c r="B555" s="13">
        <f t="shared" si="26"/>
        <v>53.325000000000486</v>
      </c>
      <c r="C555" s="9">
        <f t="shared" si="27"/>
        <v>1.0611174987791533E-3</v>
      </c>
      <c r="D555" s="9">
        <f t="shared" si="28"/>
        <v>0.97594555209930112</v>
      </c>
    </row>
    <row r="556" spans="2:4" x14ac:dyDescent="0.25">
      <c r="B556" s="13">
        <f t="shared" si="26"/>
        <v>53.425000000000487</v>
      </c>
      <c r="C556" s="9">
        <f t="shared" si="27"/>
        <v>1.0552148937279301E-3</v>
      </c>
      <c r="D556" s="9">
        <f t="shared" si="28"/>
        <v>0.97605136838334228</v>
      </c>
    </row>
    <row r="557" spans="2:4" x14ac:dyDescent="0.25">
      <c r="B557" s="13">
        <f t="shared" si="26"/>
        <v>53.525000000000489</v>
      </c>
      <c r="C557" s="9">
        <f t="shared" si="27"/>
        <v>1.0493523957764157E-3</v>
      </c>
      <c r="D557" s="9">
        <f t="shared" si="28"/>
        <v>0.97615659641494656</v>
      </c>
    </row>
    <row r="558" spans="2:4" x14ac:dyDescent="0.25">
      <c r="B558" s="13">
        <f t="shared" si="26"/>
        <v>53.62500000000049</v>
      </c>
      <c r="C558" s="9">
        <f t="shared" si="27"/>
        <v>1.0435296808700158E-3</v>
      </c>
      <c r="D558" s="9">
        <f t="shared" si="28"/>
        <v>0.97626124018859572</v>
      </c>
    </row>
    <row r="559" spans="2:4" x14ac:dyDescent="0.25">
      <c r="B559" s="13">
        <f t="shared" si="26"/>
        <v>53.725000000000492</v>
      </c>
      <c r="C559" s="9">
        <f t="shared" si="27"/>
        <v>1.0377464280011714E-3</v>
      </c>
      <c r="D559" s="9">
        <f t="shared" si="28"/>
        <v>0.97636530366651852</v>
      </c>
    </row>
    <row r="560" spans="2:4" x14ac:dyDescent="0.25">
      <c r="B560" s="13">
        <f t="shared" si="26"/>
        <v>53.825000000000493</v>
      </c>
      <c r="C560" s="9">
        <f t="shared" si="27"/>
        <v>1.0320023191766E-3</v>
      </c>
      <c r="D560" s="9">
        <f t="shared" si="28"/>
        <v>0.97646879077899407</v>
      </c>
    </row>
    <row r="561" spans="2:4" x14ac:dyDescent="0.25">
      <c r="B561" s="13">
        <f t="shared" si="26"/>
        <v>53.925000000000495</v>
      </c>
      <c r="C561" s="9">
        <f t="shared" si="27"/>
        <v>1.0262970393849274E-3</v>
      </c>
      <c r="D561" s="9">
        <f t="shared" si="28"/>
        <v>0.97657170542465166</v>
      </c>
    </row>
    <row r="562" spans="2:4" x14ac:dyDescent="0.25">
      <c r="B562" s="13">
        <f t="shared" si="26"/>
        <v>54.025000000000496</v>
      </c>
      <c r="C562" s="9">
        <f t="shared" si="27"/>
        <v>1.0206302765647115E-3</v>
      </c>
      <c r="D562" s="9">
        <f t="shared" si="28"/>
        <v>0.97667405147076691</v>
      </c>
    </row>
    <row r="563" spans="2:4" x14ac:dyDescent="0.25">
      <c r="B563" s="13">
        <f t="shared" si="26"/>
        <v>54.125000000000497</v>
      </c>
      <c r="C563" s="9">
        <f t="shared" si="27"/>
        <v>1.0150017215728618E-3</v>
      </c>
      <c r="D563" s="9">
        <f t="shared" si="28"/>
        <v>0.97677583275355562</v>
      </c>
    </row>
    <row r="564" spans="2:4" x14ac:dyDescent="0.25">
      <c r="B564" s="13">
        <f t="shared" si="26"/>
        <v>54.225000000000499</v>
      </c>
      <c r="C564" s="9">
        <f t="shared" si="27"/>
        <v>1.0094110681534152E-3</v>
      </c>
      <c r="D564" s="9">
        <f t="shared" si="28"/>
        <v>0.97687705307846395</v>
      </c>
    </row>
    <row r="565" spans="2:4" x14ac:dyDescent="0.25">
      <c r="B565" s="13">
        <f t="shared" si="26"/>
        <v>54.3250000000005</v>
      </c>
      <c r="C565" s="9">
        <f t="shared" si="27"/>
        <v>1.0038580129067322E-3</v>
      </c>
      <c r="D565" s="9">
        <f t="shared" si="28"/>
        <v>0.97697771622045559</v>
      </c>
    </row>
    <row r="566" spans="2:4" x14ac:dyDescent="0.25">
      <c r="B566" s="13">
        <f t="shared" si="26"/>
        <v>54.425000000000502</v>
      </c>
      <c r="C566" s="9">
        <f t="shared" si="27"/>
        <v>9.9834225525900332E-4</v>
      </c>
      <c r="D566" s="9">
        <f t="shared" si="28"/>
        <v>0.9770778259242956</v>
      </c>
    </row>
    <row r="567" spans="2:4" x14ac:dyDescent="0.25">
      <c r="B567" s="13">
        <f t="shared" si="26"/>
        <v>54.525000000000503</v>
      </c>
      <c r="C567" s="9">
        <f t="shared" si="27"/>
        <v>9.928634974321897E-4</v>
      </c>
      <c r="D567" s="9">
        <f t="shared" si="28"/>
        <v>0.97717738590483172</v>
      </c>
    </row>
    <row r="568" spans="2:4" x14ac:dyDescent="0.25">
      <c r="B568" s="13">
        <f t="shared" si="26"/>
        <v>54.625000000000504</v>
      </c>
      <c r="C568" s="9">
        <f t="shared" si="27"/>
        <v>9.8742144441426216E-4</v>
      </c>
      <c r="D568" s="9">
        <f t="shared" si="28"/>
        <v>0.97727639984727255</v>
      </c>
    </row>
    <row r="569" spans="2:4" x14ac:dyDescent="0.25">
      <c r="B569" s="13">
        <f t="shared" si="26"/>
        <v>54.725000000000506</v>
      </c>
      <c r="C569" s="9">
        <f t="shared" si="27"/>
        <v>9.8201580392984341E-4</v>
      </c>
      <c r="D569" s="9">
        <f t="shared" si="28"/>
        <v>0.97737487140746271</v>
      </c>
    </row>
    <row r="570" spans="2:4" x14ac:dyDescent="0.25">
      <c r="B570" s="13">
        <f t="shared" ref="B570:B595" si="29">+B569+0.1</f>
        <v>54.825000000000507</v>
      </c>
      <c r="C570" s="9">
        <f t="shared" si="27"/>
        <v>9.7664628641117783E-4</v>
      </c>
      <c r="D570" s="9">
        <f t="shared" si="28"/>
        <v>0.97747280421215443</v>
      </c>
    </row>
    <row r="571" spans="2:4" x14ac:dyDescent="0.25">
      <c r="B571" s="13">
        <f t="shared" si="29"/>
        <v>54.925000000000509</v>
      </c>
      <c r="C571" s="9">
        <f t="shared" si="27"/>
        <v>9.7131260496944878E-4</v>
      </c>
      <c r="D571" s="9">
        <f t="shared" si="28"/>
        <v>0.97757020185927779</v>
      </c>
    </row>
    <row r="572" spans="2:4" x14ac:dyDescent="0.25">
      <c r="B572" s="13">
        <f t="shared" si="29"/>
        <v>55.02500000000051</v>
      </c>
      <c r="C572" s="9">
        <f t="shared" si="27"/>
        <v>9.6601447536644517E-4</v>
      </c>
      <c r="D572" s="9">
        <f t="shared" si="28"/>
        <v>0.97766706791820668</v>
      </c>
    </row>
    <row r="573" spans="2:4" x14ac:dyDescent="0.25">
      <c r="B573" s="13">
        <f t="shared" si="29"/>
        <v>55.125000000000512</v>
      </c>
      <c r="C573" s="9">
        <f t="shared" si="27"/>
        <v>9.6075161598657612E-4</v>
      </c>
      <c r="D573" s="9">
        <f t="shared" si="28"/>
        <v>0.97776340593002242</v>
      </c>
    </row>
    <row r="574" spans="2:4" x14ac:dyDescent="0.25">
      <c r="B574" s="13">
        <f t="shared" si="29"/>
        <v>55.225000000000513</v>
      </c>
      <c r="C574" s="9">
        <f t="shared" si="27"/>
        <v>9.5552374780919142E-4</v>
      </c>
      <c r="D574" s="9">
        <f t="shared" si="28"/>
        <v>0.97785921940777454</v>
      </c>
    </row>
    <row r="575" spans="2:4" x14ac:dyDescent="0.25">
      <c r="B575" s="13">
        <f t="shared" si="29"/>
        <v>55.325000000000514</v>
      </c>
      <c r="C575" s="9">
        <f t="shared" si="27"/>
        <v>9.5033059438124441E-4</v>
      </c>
      <c r="D575" s="9">
        <f t="shared" si="28"/>
        <v>0.97795451183673976</v>
      </c>
    </row>
    <row r="576" spans="2:4" x14ac:dyDescent="0.25">
      <c r="B576" s="13">
        <f t="shared" si="29"/>
        <v>55.425000000000516</v>
      </c>
      <c r="C576" s="9">
        <f t="shared" si="27"/>
        <v>9.4517188179029884E-4</v>
      </c>
      <c r="D576" s="9">
        <f t="shared" si="28"/>
        <v>0.97804928667467594</v>
      </c>
    </row>
    <row r="577" spans="2:4" x14ac:dyDescent="0.25">
      <c r="B577" s="13">
        <f t="shared" si="29"/>
        <v>55.525000000000517</v>
      </c>
      <c r="C577" s="9">
        <f t="shared" si="27"/>
        <v>9.4004733863782162E-4</v>
      </c>
      <c r="D577" s="9">
        <f t="shared" si="28"/>
        <v>0.97814354735207631</v>
      </c>
    </row>
    <row r="578" spans="2:4" x14ac:dyDescent="0.25">
      <c r="B578" s="13">
        <f t="shared" si="29"/>
        <v>55.625000000000519</v>
      </c>
      <c r="C578" s="9">
        <f t="shared" si="27"/>
        <v>9.3495669601281349E-4</v>
      </c>
      <c r="D578" s="9">
        <f t="shared" si="28"/>
        <v>0.97823729727241837</v>
      </c>
    </row>
    <row r="579" spans="2:4" x14ac:dyDescent="0.25">
      <c r="B579" s="13">
        <f t="shared" si="29"/>
        <v>55.72500000000052</v>
      </c>
      <c r="C579" s="9">
        <f t="shared" si="27"/>
        <v>9.2989968746574848E-4</v>
      </c>
      <c r="D579" s="9">
        <f t="shared" si="28"/>
        <v>0.97833053981241203</v>
      </c>
    </row>
    <row r="580" spans="2:4" x14ac:dyDescent="0.25">
      <c r="B580" s="13">
        <f t="shared" si="29"/>
        <v>55.825000000000522</v>
      </c>
      <c r="C580" s="9">
        <f t="shared" si="27"/>
        <v>9.2487604898281546E-4</v>
      </c>
      <c r="D580" s="9">
        <f t="shared" si="28"/>
        <v>0.97842327832224429</v>
      </c>
    </row>
    <row r="581" spans="2:4" x14ac:dyDescent="0.25">
      <c r="B581" s="13">
        <f t="shared" si="29"/>
        <v>55.925000000000523</v>
      </c>
      <c r="C581" s="9">
        <f t="shared" si="27"/>
        <v>9.1988551896046136E-4</v>
      </c>
      <c r="D581" s="9">
        <f t="shared" si="28"/>
        <v>0.97851551612582133</v>
      </c>
    </row>
    <row r="582" spans="2:4" x14ac:dyDescent="0.25">
      <c r="B582" s="13">
        <f t="shared" si="29"/>
        <v>56.025000000000524</v>
      </c>
      <c r="C582" s="9">
        <f t="shared" si="27"/>
        <v>9.1492783818025703E-4</v>
      </c>
      <c r="D582" s="9">
        <f t="shared" si="28"/>
        <v>0.97860725652100855</v>
      </c>
    </row>
    <row r="583" spans="2:4" x14ac:dyDescent="0.25">
      <c r="B583" s="13">
        <f t="shared" si="29"/>
        <v>56.125000000000526</v>
      </c>
      <c r="C583" s="9">
        <f t="shared" si="27"/>
        <v>9.1000274978401887E-4</v>
      </c>
      <c r="D583" s="9">
        <f t="shared" si="28"/>
        <v>0.97869850277986759</v>
      </c>
    </row>
    <row r="584" spans="2:4" x14ac:dyDescent="0.25">
      <c r="B584" s="13">
        <f t="shared" si="29"/>
        <v>56.225000000000527</v>
      </c>
      <c r="C584" s="9">
        <f t="shared" ref="C584:C595" si="30">+_xlfn.LOGNORM.DIST(B584,$C$4,$C$5,FALSE)</f>
        <v>9.051099992492597E-4</v>
      </c>
      <c r="D584" s="9">
        <f t="shared" ref="D584:D595" si="31">+_xlfn.LOGNORM.DIST(B584,$C$4,$C$5,TRUE)</f>
        <v>0.97878925814889151</v>
      </c>
    </row>
    <row r="585" spans="2:4" x14ac:dyDescent="0.25">
      <c r="B585" s="13">
        <f t="shared" si="29"/>
        <v>56.325000000000529</v>
      </c>
      <c r="C585" s="9">
        <f t="shared" si="30"/>
        <v>9.0024933436490761E-4</v>
      </c>
      <c r="D585" s="9">
        <f t="shared" si="31"/>
        <v>0.97887952584923654</v>
      </c>
    </row>
    <row r="586" spans="2:4" x14ac:dyDescent="0.25">
      <c r="B586" s="13">
        <f t="shared" si="29"/>
        <v>56.42500000000053</v>
      </c>
      <c r="C586" s="9">
        <f t="shared" si="30"/>
        <v>8.9542050520731279E-4</v>
      </c>
      <c r="D586" s="9">
        <f t="shared" si="31"/>
        <v>0.9789693090769529</v>
      </c>
    </row>
    <row r="587" spans="2:4" x14ac:dyDescent="0.25">
      <c r="B587" s="13">
        <f t="shared" si="29"/>
        <v>56.525000000000531</v>
      </c>
      <c r="C587" s="9">
        <f t="shared" si="30"/>
        <v>8.9062326411654407E-4</v>
      </c>
      <c r="D587" s="9">
        <f t="shared" si="31"/>
        <v>0.97905861100321112</v>
      </c>
    </row>
    <row r="588" spans="2:4" x14ac:dyDescent="0.25">
      <c r="B588" s="13">
        <f t="shared" si="29"/>
        <v>56.625000000000533</v>
      </c>
      <c r="C588" s="9">
        <f t="shared" si="30"/>
        <v>8.8585736567293408E-4</v>
      </c>
      <c r="D588" s="9">
        <f t="shared" si="31"/>
        <v>0.97914743477452859</v>
      </c>
    </row>
    <row r="589" spans="2:4" x14ac:dyDescent="0.25">
      <c r="B589" s="13">
        <f t="shared" si="29"/>
        <v>56.725000000000534</v>
      </c>
      <c r="C589" s="9">
        <f t="shared" si="30"/>
        <v>8.8112256667394824E-4</v>
      </c>
      <c r="D589" s="9">
        <f t="shared" si="31"/>
        <v>0.97923578351299145</v>
      </c>
    </row>
    <row r="590" spans="2:4" x14ac:dyDescent="0.25">
      <c r="B590" s="13">
        <f t="shared" si="29"/>
        <v>56.825000000000536</v>
      </c>
      <c r="C590" s="9">
        <f t="shared" si="30"/>
        <v>8.7641862611127265E-4</v>
      </c>
      <c r="D590" s="9">
        <f t="shared" si="31"/>
        <v>0.97932366031647544</v>
      </c>
    </row>
    <row r="591" spans="2:4" x14ac:dyDescent="0.25">
      <c r="B591" s="13">
        <f t="shared" si="29"/>
        <v>56.925000000000537</v>
      </c>
      <c r="C591" s="9">
        <f t="shared" si="30"/>
        <v>8.7174530514818737E-4</v>
      </c>
      <c r="D591" s="9">
        <f t="shared" si="31"/>
        <v>0.97941106825886459</v>
      </c>
    </row>
    <row r="592" spans="2:4" x14ac:dyDescent="0.25">
      <c r="B592" s="13">
        <f t="shared" si="29"/>
        <v>57.025000000000539</v>
      </c>
      <c r="C592" s="9">
        <f t="shared" si="30"/>
        <v>8.671023670972169E-4</v>
      </c>
      <c r="D592" s="9">
        <f t="shared" si="31"/>
        <v>0.97949801039026652</v>
      </c>
    </row>
    <row r="593" spans="2:4" x14ac:dyDescent="0.25">
      <c r="B593" s="13">
        <f t="shared" si="29"/>
        <v>57.12500000000054</v>
      </c>
      <c r="C593" s="9">
        <f t="shared" si="30"/>
        <v>8.6248957739802612E-4</v>
      </c>
      <c r="D593" s="9">
        <f t="shared" si="31"/>
        <v>0.97958448973722678</v>
      </c>
    </row>
    <row r="594" spans="2:4" x14ac:dyDescent="0.25">
      <c r="B594" s="13">
        <f t="shared" si="29"/>
        <v>57.225000000000541</v>
      </c>
      <c r="C594" s="9">
        <f t="shared" si="30"/>
        <v>8.5790670359556166E-4</v>
      </c>
      <c r="D594" s="9">
        <f t="shared" si="31"/>
        <v>0.97967050930294042</v>
      </c>
    </row>
    <row r="595" spans="2:4" x14ac:dyDescent="0.25">
      <c r="B595" s="13">
        <f t="shared" si="29"/>
        <v>57.325000000000543</v>
      </c>
      <c r="C595" s="9">
        <f t="shared" si="30"/>
        <v>8.5335351531847263E-4</v>
      </c>
      <c r="D595" s="9">
        <f t="shared" si="31"/>
        <v>0.97975607206746107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BDEA-EEBD-44FD-82DE-019B79BCE6F4}">
  <dimension ref="A1:C1038"/>
  <sheetViews>
    <sheetView topLeftCell="A4" zoomScale="175" zoomScaleNormal="175" workbookViewId="0">
      <selection sqref="A1:C4"/>
    </sheetView>
  </sheetViews>
  <sheetFormatPr baseColWidth="10" defaultRowHeight="14.25" x14ac:dyDescent="0.25"/>
  <cols>
    <col min="1" max="1" width="20.140625" style="2" bestFit="1" customWidth="1"/>
    <col min="2" max="16384" width="11.42578125" style="2"/>
  </cols>
  <sheetData>
    <row r="1" spans="1:3" x14ac:dyDescent="0.25">
      <c r="A1" s="37" t="s">
        <v>27</v>
      </c>
      <c r="B1" s="37"/>
      <c r="C1" s="37"/>
    </row>
    <row r="2" spans="1:3" x14ac:dyDescent="0.25">
      <c r="A2" s="36" t="s">
        <v>26</v>
      </c>
      <c r="B2" s="36"/>
    </row>
    <row r="3" spans="1:3" x14ac:dyDescent="0.2">
      <c r="A3" s="1" t="s">
        <v>16</v>
      </c>
      <c r="B3" s="2">
        <v>1000</v>
      </c>
    </row>
    <row r="4" spans="1:3" x14ac:dyDescent="0.2">
      <c r="A4" s="1" t="s">
        <v>18</v>
      </c>
      <c r="B4" s="2">
        <v>2000</v>
      </c>
    </row>
    <row r="6" spans="1:3" x14ac:dyDescent="0.25">
      <c r="A6" s="23" t="s">
        <v>4</v>
      </c>
      <c r="B6" s="24">
        <f ca="1">+B3+RAND()*(B4-B3)</f>
        <v>1444.8320721811349</v>
      </c>
    </row>
    <row r="8" spans="1:3" x14ac:dyDescent="0.25">
      <c r="A8" s="37" t="s">
        <v>31</v>
      </c>
      <c r="B8" s="37"/>
      <c r="C8" s="37"/>
    </row>
    <row r="9" spans="1:3" x14ac:dyDescent="0.25">
      <c r="A9" s="36" t="s">
        <v>26</v>
      </c>
      <c r="B9" s="36"/>
    </row>
    <row r="10" spans="1:3" x14ac:dyDescent="0.2">
      <c r="A10" s="1" t="s">
        <v>28</v>
      </c>
      <c r="B10" s="2">
        <v>500</v>
      </c>
    </row>
    <row r="11" spans="1:3" x14ac:dyDescent="0.2">
      <c r="A11" s="1" t="s">
        <v>17</v>
      </c>
      <c r="B11" s="2">
        <v>1000</v>
      </c>
    </row>
    <row r="12" spans="1:3" x14ac:dyDescent="0.2">
      <c r="A12" s="1" t="s">
        <v>29</v>
      </c>
      <c r="B12" s="2">
        <v>2000</v>
      </c>
    </row>
    <row r="14" spans="1:3" x14ac:dyDescent="0.2">
      <c r="A14" s="1" t="s">
        <v>30</v>
      </c>
      <c r="B14" s="22">
        <f ca="1">+RAND()</f>
        <v>0.90170697489429386</v>
      </c>
    </row>
    <row r="15" spans="1:3" x14ac:dyDescent="0.25">
      <c r="A15" s="23" t="s">
        <v>4</v>
      </c>
      <c r="B15" s="24">
        <f ca="1">+IF(B14&lt;=(B11-B10)/(B12-B10),B10+SQRT(B14*B11*(B12-B10)),B12-SQRT((1-B14)*(B11-B10)*(B12-B10)))</f>
        <v>1728.4861535219989</v>
      </c>
    </row>
    <row r="17" spans="1:3" x14ac:dyDescent="0.25">
      <c r="A17" s="37" t="s">
        <v>32</v>
      </c>
      <c r="B17" s="37"/>
      <c r="C17" s="37"/>
    </row>
    <row r="18" spans="1:3" x14ac:dyDescent="0.25">
      <c r="A18" s="36" t="s">
        <v>26</v>
      </c>
      <c r="B18" s="36"/>
    </row>
    <row r="19" spans="1:3" x14ac:dyDescent="0.2">
      <c r="A19" s="1" t="s">
        <v>0</v>
      </c>
      <c r="B19" s="2">
        <v>100</v>
      </c>
    </row>
    <row r="20" spans="1:3" x14ac:dyDescent="0.2">
      <c r="A20" s="1" t="s">
        <v>33</v>
      </c>
      <c r="B20" s="2">
        <v>20</v>
      </c>
    </row>
    <row r="22" spans="1:3" x14ac:dyDescent="0.25">
      <c r="A22" s="23" t="s">
        <v>4</v>
      </c>
      <c r="B22" s="24">
        <f ca="1">+NORMINV(RAND(),B19,B20)</f>
        <v>96.969943364893979</v>
      </c>
    </row>
    <row r="24" spans="1:3" x14ac:dyDescent="0.25">
      <c r="A24" s="37" t="s">
        <v>32</v>
      </c>
      <c r="B24" s="37"/>
      <c r="C24" s="37"/>
    </row>
    <row r="25" spans="1:3" x14ac:dyDescent="0.25">
      <c r="A25" s="36" t="s">
        <v>26</v>
      </c>
      <c r="B25" s="36"/>
    </row>
    <row r="27" spans="1:3" x14ac:dyDescent="0.25">
      <c r="A27" s="23" t="s">
        <v>4</v>
      </c>
      <c r="B27" s="24">
        <f ca="1">+_xlfn.NORM.S.INV(RAND())</f>
        <v>1.5485274387428765</v>
      </c>
    </row>
    <row r="29" spans="1:3" x14ac:dyDescent="0.25">
      <c r="A29" s="37" t="s">
        <v>34</v>
      </c>
      <c r="B29" s="37"/>
      <c r="C29" s="37"/>
    </row>
    <row r="30" spans="1:3" x14ac:dyDescent="0.25">
      <c r="A30" s="36" t="s">
        <v>26</v>
      </c>
      <c r="B30" s="36"/>
    </row>
    <row r="31" spans="1:3" x14ac:dyDescent="0.2">
      <c r="A31" s="1" t="s">
        <v>0</v>
      </c>
      <c r="B31" s="2">
        <v>2</v>
      </c>
    </row>
    <row r="32" spans="1:3" x14ac:dyDescent="0.2">
      <c r="A32" s="1" t="s">
        <v>33</v>
      </c>
      <c r="B32" s="2">
        <v>1</v>
      </c>
    </row>
    <row r="34" spans="1:3" x14ac:dyDescent="0.25">
      <c r="A34" s="23" t="s">
        <v>4</v>
      </c>
      <c r="B34" s="24">
        <f ca="1">+LOGINV(RAND(),B31,B32)</f>
        <v>35.684343840914657</v>
      </c>
    </row>
    <row r="38" spans="1:3" x14ac:dyDescent="0.25">
      <c r="A38" s="8" t="s">
        <v>35</v>
      </c>
      <c r="B38" s="37" t="s">
        <v>32</v>
      </c>
      <c r="C38" s="37"/>
    </row>
    <row r="39" spans="1:3" ht="15" x14ac:dyDescent="0.25">
      <c r="A39">
        <v>5.813776055177465E-2</v>
      </c>
      <c r="B39">
        <v>110.09520929073915</v>
      </c>
      <c r="C39">
        <v>94.10092641483061</v>
      </c>
    </row>
    <row r="40" spans="1:3" ht="15" x14ac:dyDescent="0.25">
      <c r="A40">
        <v>0.79882198553422645</v>
      </c>
      <c r="B40">
        <v>126.92459020181559</v>
      </c>
      <c r="C40">
        <v>58.729677018709481</v>
      </c>
    </row>
    <row r="41" spans="1:3" ht="15" x14ac:dyDescent="0.25">
      <c r="A41">
        <v>0.97573778496658226</v>
      </c>
      <c r="B41">
        <v>108.37899278849363</v>
      </c>
      <c r="C41">
        <v>84.385021889465861</v>
      </c>
    </row>
    <row r="42" spans="1:3" ht="15" x14ac:dyDescent="0.25">
      <c r="A42">
        <v>0.38059633167516099</v>
      </c>
      <c r="B42">
        <v>96.528731571743265</v>
      </c>
      <c r="C42">
        <v>108.49775005917763</v>
      </c>
    </row>
    <row r="43" spans="1:3" ht="15" x14ac:dyDescent="0.25">
      <c r="A43">
        <v>0.46226386303292949</v>
      </c>
      <c r="B43">
        <v>89.939533406868577</v>
      </c>
      <c r="C43">
        <v>132.91688699391671</v>
      </c>
    </row>
    <row r="44" spans="1:3" ht="15" x14ac:dyDescent="0.25">
      <c r="A44">
        <v>0.51942503128147222</v>
      </c>
      <c r="B44">
        <v>48.189361020922661</v>
      </c>
      <c r="C44">
        <v>89.674734024447389</v>
      </c>
    </row>
    <row r="45" spans="1:3" ht="15" x14ac:dyDescent="0.25">
      <c r="A45">
        <v>0.3686025574510941</v>
      </c>
      <c r="B45">
        <v>89.116531651234254</v>
      </c>
      <c r="C45">
        <v>92.608309185015969</v>
      </c>
    </row>
    <row r="46" spans="1:3" ht="15" x14ac:dyDescent="0.25">
      <c r="A46">
        <v>0.47727896969512007</v>
      </c>
      <c r="B46">
        <v>100.28380782168824</v>
      </c>
      <c r="C46">
        <v>84.94340616161935</v>
      </c>
    </row>
    <row r="47" spans="1:3" ht="15" x14ac:dyDescent="0.25">
      <c r="A47">
        <v>0.52797021393475141</v>
      </c>
      <c r="B47">
        <v>100.3786908564507</v>
      </c>
      <c r="C47">
        <v>142.77098923921585</v>
      </c>
    </row>
    <row r="48" spans="1:3" ht="15" x14ac:dyDescent="0.25">
      <c r="A48">
        <v>0.71013519699697869</v>
      </c>
      <c r="B48">
        <v>78.983714754576795</v>
      </c>
      <c r="C48">
        <v>111.35131242335774</v>
      </c>
    </row>
    <row r="49" spans="1:3" ht="15" x14ac:dyDescent="0.25">
      <c r="A49">
        <v>0.26789147618030335</v>
      </c>
      <c r="B49">
        <v>120.31183612416498</v>
      </c>
      <c r="C49">
        <v>96.685505720961373</v>
      </c>
    </row>
    <row r="50" spans="1:3" ht="15" x14ac:dyDescent="0.25">
      <c r="A50">
        <v>0.4609210486159856</v>
      </c>
      <c r="B50">
        <v>115.15020358056063</v>
      </c>
      <c r="C50">
        <v>115.43712642160244</v>
      </c>
    </row>
    <row r="51" spans="1:3" ht="15" x14ac:dyDescent="0.25">
      <c r="A51">
        <v>0.24518570513016144</v>
      </c>
      <c r="B51">
        <v>76.120579958660528</v>
      </c>
      <c r="C51">
        <v>86.795501172309741</v>
      </c>
    </row>
    <row r="52" spans="1:3" ht="15" x14ac:dyDescent="0.25">
      <c r="A52">
        <v>0.41523483993041782</v>
      </c>
      <c r="B52">
        <v>90.261198945518117</v>
      </c>
      <c r="C52">
        <v>98.501516529358923</v>
      </c>
    </row>
    <row r="53" spans="1:3" ht="15" x14ac:dyDescent="0.25">
      <c r="A53">
        <v>0.99813837092196422</v>
      </c>
      <c r="B53">
        <v>85.916974765132181</v>
      </c>
      <c r="C53">
        <v>143.63864718470722</v>
      </c>
    </row>
    <row r="54" spans="1:3" ht="15" x14ac:dyDescent="0.25">
      <c r="A54">
        <v>0.48558000427259135</v>
      </c>
      <c r="B54">
        <v>112.85075086343568</v>
      </c>
      <c r="C54">
        <v>101.90539140021428</v>
      </c>
    </row>
    <row r="55" spans="1:3" ht="15" x14ac:dyDescent="0.25">
      <c r="A55">
        <v>0.26941740165410322</v>
      </c>
      <c r="B55">
        <v>93.862388691923115</v>
      </c>
      <c r="C55">
        <v>94.313111528754234</v>
      </c>
    </row>
    <row r="56" spans="1:3" ht="15" x14ac:dyDescent="0.25">
      <c r="A56">
        <v>0.81536301767021702</v>
      </c>
      <c r="B56">
        <v>101.89002093975432</v>
      </c>
      <c r="C56">
        <v>112.74936494155554</v>
      </c>
    </row>
    <row r="57" spans="1:3" ht="15" x14ac:dyDescent="0.25">
      <c r="A57">
        <v>7.6601458784752954E-2</v>
      </c>
      <c r="B57">
        <v>80.390566634014249</v>
      </c>
      <c r="C57">
        <v>94.153631632798351</v>
      </c>
    </row>
    <row r="58" spans="1:3" ht="15" x14ac:dyDescent="0.25">
      <c r="A58">
        <v>0.3218482009338664</v>
      </c>
      <c r="B58">
        <v>150.74689397588372</v>
      </c>
      <c r="C58">
        <v>102.13760813494446</v>
      </c>
    </row>
    <row r="59" spans="1:3" ht="15" x14ac:dyDescent="0.25">
      <c r="A59">
        <v>0.82073427533799248</v>
      </c>
    </row>
    <row r="60" spans="1:3" ht="15" x14ac:dyDescent="0.25">
      <c r="A60">
        <v>0.15503402813806574</v>
      </c>
    </row>
    <row r="61" spans="1:3" ht="15" x14ac:dyDescent="0.25">
      <c r="A61">
        <v>0.55519272438734091</v>
      </c>
    </row>
    <row r="62" spans="1:3" ht="15" x14ac:dyDescent="0.25">
      <c r="A62">
        <v>0.9574877162999359</v>
      </c>
    </row>
    <row r="63" spans="1:3" ht="15" x14ac:dyDescent="0.25">
      <c r="A63">
        <v>6.5614795373393963E-3</v>
      </c>
    </row>
    <row r="64" spans="1:3" ht="15" x14ac:dyDescent="0.25">
      <c r="A64">
        <v>0.39942625202185128</v>
      </c>
    </row>
    <row r="65" spans="1:1" ht="15" x14ac:dyDescent="0.25">
      <c r="A65">
        <v>0.17581713309121982</v>
      </c>
    </row>
    <row r="66" spans="1:1" ht="15" x14ac:dyDescent="0.25">
      <c r="A66">
        <v>0.75475325785088654</v>
      </c>
    </row>
    <row r="67" spans="1:1" ht="15" x14ac:dyDescent="0.25">
      <c r="A67">
        <v>0.47495956297494429</v>
      </c>
    </row>
    <row r="68" spans="1:1" ht="15" x14ac:dyDescent="0.25">
      <c r="A68">
        <v>0.90014343699453714</v>
      </c>
    </row>
    <row r="69" spans="1:1" ht="15" x14ac:dyDescent="0.25">
      <c r="A69">
        <v>0.49745170445875425</v>
      </c>
    </row>
    <row r="70" spans="1:1" ht="15" x14ac:dyDescent="0.25">
      <c r="A70">
        <v>0.69579149754325997</v>
      </c>
    </row>
    <row r="71" spans="1:1" ht="15" x14ac:dyDescent="0.25">
      <c r="A71">
        <v>0.80343028046510212</v>
      </c>
    </row>
    <row r="72" spans="1:1" ht="15" x14ac:dyDescent="0.25">
      <c r="A72">
        <v>0.85253456221198154</v>
      </c>
    </row>
    <row r="73" spans="1:1" ht="15" x14ac:dyDescent="0.25">
      <c r="A73">
        <v>0.64925077059236425</v>
      </c>
    </row>
    <row r="74" spans="1:1" ht="15" x14ac:dyDescent="0.25">
      <c r="A74">
        <v>0.74687948240607926</v>
      </c>
    </row>
    <row r="75" spans="1:1" ht="15" x14ac:dyDescent="0.25">
      <c r="A75">
        <v>0.53117465742973113</v>
      </c>
    </row>
    <row r="76" spans="1:1" ht="15" x14ac:dyDescent="0.25">
      <c r="A76">
        <v>0.82506790368358407</v>
      </c>
    </row>
    <row r="77" spans="1:1" ht="15" x14ac:dyDescent="0.25">
      <c r="A77">
        <v>0.86761070589312417</v>
      </c>
    </row>
    <row r="78" spans="1:1" ht="15" x14ac:dyDescent="0.25">
      <c r="A78">
        <v>0.87319559312723172</v>
      </c>
    </row>
    <row r="79" spans="1:1" ht="15" x14ac:dyDescent="0.25">
      <c r="A79">
        <v>0.23963133640552994</v>
      </c>
    </row>
    <row r="80" spans="1:1" ht="15" x14ac:dyDescent="0.25">
      <c r="A80">
        <v>0.1423993652150029</v>
      </c>
    </row>
    <row r="81" spans="1:1" ht="15" x14ac:dyDescent="0.25">
      <c r="A81">
        <v>0.47221289712210457</v>
      </c>
    </row>
    <row r="82" spans="1:1" ht="15" x14ac:dyDescent="0.25">
      <c r="A82">
        <v>0.73534348582415232</v>
      </c>
    </row>
    <row r="83" spans="1:1" ht="15" x14ac:dyDescent="0.25">
      <c r="A83">
        <v>0.58824427014984593</v>
      </c>
    </row>
    <row r="84" spans="1:1" ht="15" x14ac:dyDescent="0.25">
      <c r="A84">
        <v>0.40284432508316292</v>
      </c>
    </row>
    <row r="85" spans="1:1" ht="15" x14ac:dyDescent="0.25">
      <c r="A85">
        <v>0.43797112949003569</v>
      </c>
    </row>
    <row r="86" spans="1:1" ht="15" x14ac:dyDescent="0.25">
      <c r="A86">
        <v>0.59849848933378091</v>
      </c>
    </row>
    <row r="87" spans="1:1" ht="15" x14ac:dyDescent="0.25">
      <c r="A87">
        <v>0.71153904843287452</v>
      </c>
    </row>
    <row r="88" spans="1:1" ht="15" x14ac:dyDescent="0.25">
      <c r="A88">
        <v>0.91235084078493611</v>
      </c>
    </row>
    <row r="89" spans="1:1" ht="15" x14ac:dyDescent="0.25">
      <c r="A89">
        <v>0.21887874996185186</v>
      </c>
    </row>
    <row r="90" spans="1:1" ht="15" x14ac:dyDescent="0.25">
      <c r="A90">
        <v>0.4859767448957793</v>
      </c>
    </row>
    <row r="91" spans="1:1" ht="15" x14ac:dyDescent="0.25">
      <c r="A91">
        <v>0.88381603442487866</v>
      </c>
    </row>
    <row r="92" spans="1:1" ht="15" x14ac:dyDescent="0.25">
      <c r="A92">
        <v>0.31516464735862298</v>
      </c>
    </row>
    <row r="93" spans="1:1" ht="15" x14ac:dyDescent="0.25">
      <c r="A93">
        <v>0.98004089480269785</v>
      </c>
    </row>
    <row r="94" spans="1:1" ht="15" x14ac:dyDescent="0.25">
      <c r="A94">
        <v>0.10800500503555406</v>
      </c>
    </row>
    <row r="95" spans="1:1" ht="15" x14ac:dyDescent="0.25">
      <c r="A95">
        <v>0.85766167180394914</v>
      </c>
    </row>
    <row r="96" spans="1:1" ht="15" x14ac:dyDescent="0.25">
      <c r="A96">
        <v>0.20365001373332928</v>
      </c>
    </row>
    <row r="97" spans="1:1" ht="15" x14ac:dyDescent="0.25">
      <c r="A97">
        <v>0.89422284615619374</v>
      </c>
    </row>
    <row r="98" spans="1:1" ht="15" x14ac:dyDescent="0.25">
      <c r="A98">
        <v>0.59727774895474106</v>
      </c>
    </row>
    <row r="99" spans="1:1" ht="15" x14ac:dyDescent="0.25">
      <c r="A99">
        <v>0.78252510147404397</v>
      </c>
    </row>
    <row r="100" spans="1:1" ht="15" x14ac:dyDescent="0.25">
      <c r="A100">
        <v>0.98739585558641318</v>
      </c>
    </row>
    <row r="101" spans="1:1" ht="15" x14ac:dyDescent="0.25">
      <c r="A101">
        <v>0.65895565660573141</v>
      </c>
    </row>
    <row r="102" spans="1:1" ht="15" x14ac:dyDescent="0.25">
      <c r="A102">
        <v>0.58214056825464644</v>
      </c>
    </row>
    <row r="103" spans="1:1" ht="15" x14ac:dyDescent="0.25">
      <c r="A103">
        <v>0.10962248603778192</v>
      </c>
    </row>
    <row r="104" spans="1:1" ht="15" x14ac:dyDescent="0.25">
      <c r="A104">
        <v>0.80343028046510212</v>
      </c>
    </row>
    <row r="105" spans="1:1" ht="15" x14ac:dyDescent="0.25">
      <c r="A105">
        <v>0.89092684713278603</v>
      </c>
    </row>
    <row r="106" spans="1:1" ht="15" x14ac:dyDescent="0.25">
      <c r="A106">
        <v>0.62929166539506209</v>
      </c>
    </row>
    <row r="107" spans="1:1" ht="15" x14ac:dyDescent="0.25">
      <c r="A107">
        <v>0.38947721793267615</v>
      </c>
    </row>
    <row r="108" spans="1:1" ht="15" x14ac:dyDescent="0.25">
      <c r="A108">
        <v>0.74889370403149513</v>
      </c>
    </row>
    <row r="109" spans="1:1" ht="15" x14ac:dyDescent="0.25">
      <c r="A109">
        <v>0.55308694723349716</v>
      </c>
    </row>
    <row r="110" spans="1:1" ht="15" x14ac:dyDescent="0.25">
      <c r="A110">
        <v>0.58656575212866602</v>
      </c>
    </row>
    <row r="111" spans="1:1" ht="15" x14ac:dyDescent="0.25">
      <c r="A111">
        <v>0.36805322428052611</v>
      </c>
    </row>
    <row r="112" spans="1:1" ht="15" x14ac:dyDescent="0.25">
      <c r="A112">
        <v>0.21704763939329202</v>
      </c>
    </row>
    <row r="113" spans="1:1" ht="15" x14ac:dyDescent="0.25">
      <c r="A113">
        <v>7.1626941740165415E-2</v>
      </c>
    </row>
    <row r="114" spans="1:1" ht="15" x14ac:dyDescent="0.25">
      <c r="A114">
        <v>0.85750907925656916</v>
      </c>
    </row>
    <row r="115" spans="1:1" ht="15" x14ac:dyDescent="0.25">
      <c r="A115">
        <v>0.28836939603869749</v>
      </c>
    </row>
    <row r="116" spans="1:1" ht="15" x14ac:dyDescent="0.25">
      <c r="A116">
        <v>0.61809137241737111</v>
      </c>
    </row>
    <row r="117" spans="1:1" ht="15" x14ac:dyDescent="0.25">
      <c r="A117">
        <v>0.29850154118472855</v>
      </c>
    </row>
    <row r="118" spans="1:1" ht="15" x14ac:dyDescent="0.25">
      <c r="A118">
        <v>0.13876766258735923</v>
      </c>
    </row>
    <row r="119" spans="1:1" ht="15" x14ac:dyDescent="0.25">
      <c r="A119">
        <v>0.80309457686086616</v>
      </c>
    </row>
    <row r="120" spans="1:1" ht="15" x14ac:dyDescent="0.25">
      <c r="A120">
        <v>0.26599932859279152</v>
      </c>
    </row>
    <row r="121" spans="1:1" ht="15" x14ac:dyDescent="0.25">
      <c r="A121">
        <v>0.97582934049501024</v>
      </c>
    </row>
    <row r="122" spans="1:1" ht="15" x14ac:dyDescent="0.25">
      <c r="A122">
        <v>0.65172276985992006</v>
      </c>
    </row>
    <row r="123" spans="1:1" ht="15" x14ac:dyDescent="0.25">
      <c r="A123">
        <v>0.40482802819910274</v>
      </c>
    </row>
    <row r="124" spans="1:1" ht="15" x14ac:dyDescent="0.25">
      <c r="A124">
        <v>0.71269875179296238</v>
      </c>
    </row>
    <row r="125" spans="1:1" ht="15" x14ac:dyDescent="0.25">
      <c r="A125">
        <v>0.85860774559770503</v>
      </c>
    </row>
    <row r="126" spans="1:1" ht="15" x14ac:dyDescent="0.25">
      <c r="A126">
        <v>0.39942625202185128</v>
      </c>
    </row>
    <row r="127" spans="1:1" ht="15" x14ac:dyDescent="0.25">
      <c r="A127">
        <v>0.78035828730124823</v>
      </c>
    </row>
    <row r="128" spans="1:1" ht="15" x14ac:dyDescent="0.25">
      <c r="A128">
        <v>0.31052583391827143</v>
      </c>
    </row>
    <row r="129" spans="1:1" ht="15" x14ac:dyDescent="0.25">
      <c r="A129">
        <v>0.15186010315256204</v>
      </c>
    </row>
    <row r="130" spans="1:1" ht="15" x14ac:dyDescent="0.25">
      <c r="A130">
        <v>0.48011719107638784</v>
      </c>
    </row>
    <row r="131" spans="1:1" ht="15" x14ac:dyDescent="0.25">
      <c r="A131">
        <v>0.99465926084170053</v>
      </c>
    </row>
    <row r="132" spans="1:1" ht="15" x14ac:dyDescent="0.25">
      <c r="A132">
        <v>0.28476821192052981</v>
      </c>
    </row>
    <row r="133" spans="1:1" ht="15" x14ac:dyDescent="0.25">
      <c r="A133">
        <v>0.41853083895382548</v>
      </c>
    </row>
    <row r="134" spans="1:1" ht="15" x14ac:dyDescent="0.25">
      <c r="A134">
        <v>0.98883022553178501</v>
      </c>
    </row>
    <row r="135" spans="1:1" ht="15" x14ac:dyDescent="0.25">
      <c r="A135">
        <v>0.91164891506698809</v>
      </c>
    </row>
    <row r="136" spans="1:1" ht="15" x14ac:dyDescent="0.25">
      <c r="A136">
        <v>9.7048860133671075E-2</v>
      </c>
    </row>
    <row r="137" spans="1:1" ht="15" x14ac:dyDescent="0.25">
      <c r="A137">
        <v>0.61412396618549148</v>
      </c>
    </row>
    <row r="138" spans="1:1" ht="15" x14ac:dyDescent="0.25">
      <c r="A138">
        <v>0.53791924802392654</v>
      </c>
    </row>
    <row r="139" spans="1:1" ht="15" x14ac:dyDescent="0.25">
      <c r="A139">
        <v>0.75716422009949036</v>
      </c>
    </row>
    <row r="140" spans="1:1" ht="15" x14ac:dyDescent="0.25">
      <c r="A140">
        <v>0.38096255378887295</v>
      </c>
    </row>
    <row r="141" spans="1:1" ht="15" x14ac:dyDescent="0.25">
      <c r="A141">
        <v>0.40479750968962674</v>
      </c>
    </row>
    <row r="142" spans="1:1" ht="15" x14ac:dyDescent="0.25">
      <c r="A142">
        <v>0.92822046571245465</v>
      </c>
    </row>
    <row r="143" spans="1:1" ht="15" x14ac:dyDescent="0.25">
      <c r="A143">
        <v>0.23084200567644275</v>
      </c>
    </row>
    <row r="144" spans="1:1" ht="15" x14ac:dyDescent="0.25">
      <c r="A144">
        <v>0.23117770928067874</v>
      </c>
    </row>
    <row r="145" spans="1:1" ht="15" x14ac:dyDescent="0.25">
      <c r="A145">
        <v>0.42484817041535694</v>
      </c>
    </row>
    <row r="146" spans="1:1" ht="15" x14ac:dyDescent="0.25">
      <c r="A146">
        <v>1.4954069643238624E-3</v>
      </c>
    </row>
    <row r="147" spans="1:1" ht="15" x14ac:dyDescent="0.25">
      <c r="A147">
        <v>7.3366496780297247E-2</v>
      </c>
    </row>
    <row r="148" spans="1:1" ht="15" x14ac:dyDescent="0.25">
      <c r="A148">
        <v>0.12756736960966827</v>
      </c>
    </row>
    <row r="149" spans="1:1" ht="15" x14ac:dyDescent="0.25">
      <c r="A149">
        <v>0.62977996154667804</v>
      </c>
    </row>
    <row r="150" spans="1:1" ht="15" x14ac:dyDescent="0.25">
      <c r="A150">
        <v>0.20627460554826502</v>
      </c>
    </row>
    <row r="151" spans="1:1" ht="15" x14ac:dyDescent="0.25">
      <c r="A151">
        <v>0.49455244605853449</v>
      </c>
    </row>
    <row r="152" spans="1:1" ht="15" x14ac:dyDescent="0.25">
      <c r="A152">
        <v>0.2750633259071627</v>
      </c>
    </row>
    <row r="153" spans="1:1" ht="15" x14ac:dyDescent="0.25">
      <c r="A153">
        <v>0.4014099551377911</v>
      </c>
    </row>
    <row r="154" spans="1:1" ht="15" x14ac:dyDescent="0.25">
      <c r="A154">
        <v>0.9072847682119205</v>
      </c>
    </row>
    <row r="155" spans="1:1" ht="15" x14ac:dyDescent="0.25">
      <c r="A155">
        <v>0.369426557206946</v>
      </c>
    </row>
    <row r="156" spans="1:1" ht="15" x14ac:dyDescent="0.25">
      <c r="A156">
        <v>0.64088869899594103</v>
      </c>
    </row>
    <row r="157" spans="1:1" ht="15" x14ac:dyDescent="0.25">
      <c r="A157">
        <v>0.5612353892635884</v>
      </c>
    </row>
    <row r="158" spans="1:1" ht="15" x14ac:dyDescent="0.25">
      <c r="A158">
        <v>0.97058015686513865</v>
      </c>
    </row>
    <row r="159" spans="1:1" ht="15" x14ac:dyDescent="0.25">
      <c r="A159">
        <v>0.60792870876186411</v>
      </c>
    </row>
    <row r="160" spans="1:1" ht="15" x14ac:dyDescent="0.25">
      <c r="A160">
        <v>0.47029023102511675</v>
      </c>
    </row>
    <row r="161" spans="1:1" ht="15" x14ac:dyDescent="0.25">
      <c r="A161">
        <v>0.9481185338908048</v>
      </c>
    </row>
    <row r="162" spans="1:1" ht="15" x14ac:dyDescent="0.25">
      <c r="A162">
        <v>0.65541550950651573</v>
      </c>
    </row>
    <row r="163" spans="1:1" ht="15" x14ac:dyDescent="0.25">
      <c r="A163">
        <v>0.60475478377636038</v>
      </c>
    </row>
    <row r="164" spans="1:1" ht="15" x14ac:dyDescent="0.25">
      <c r="A164">
        <v>0.5620899075289163</v>
      </c>
    </row>
    <row r="165" spans="1:1" ht="15" x14ac:dyDescent="0.25">
      <c r="A165">
        <v>0.7168492690816981</v>
      </c>
    </row>
    <row r="166" spans="1:1" ht="15" x14ac:dyDescent="0.25">
      <c r="A166">
        <v>0.34372997222815638</v>
      </c>
    </row>
    <row r="167" spans="1:1" ht="15" x14ac:dyDescent="0.25">
      <c r="A167">
        <v>0.17548142948698386</v>
      </c>
    </row>
    <row r="168" spans="1:1" ht="15" x14ac:dyDescent="0.25">
      <c r="A168">
        <v>8.526871547593616E-2</v>
      </c>
    </row>
    <row r="169" spans="1:1" ht="15" x14ac:dyDescent="0.25">
      <c r="A169">
        <v>1.336710715048677E-2</v>
      </c>
    </row>
    <row r="170" spans="1:1" ht="15" x14ac:dyDescent="0.25">
      <c r="A170">
        <v>0.13895077364421521</v>
      </c>
    </row>
    <row r="171" spans="1:1" ht="15" x14ac:dyDescent="0.25">
      <c r="A171">
        <v>0.88540299691763058</v>
      </c>
    </row>
    <row r="172" spans="1:1" ht="15" x14ac:dyDescent="0.25">
      <c r="A172">
        <v>0.21762749107333598</v>
      </c>
    </row>
    <row r="173" spans="1:1" ht="15" x14ac:dyDescent="0.25">
      <c r="A173">
        <v>0.18372142704550309</v>
      </c>
    </row>
    <row r="174" spans="1:1" ht="15" x14ac:dyDescent="0.25">
      <c r="A174">
        <v>0.86516922513504435</v>
      </c>
    </row>
    <row r="175" spans="1:1" ht="15" x14ac:dyDescent="0.25">
      <c r="A175">
        <v>0.17685476241340373</v>
      </c>
    </row>
    <row r="176" spans="1:1" ht="15" x14ac:dyDescent="0.25">
      <c r="A176">
        <v>0.3881954405346843</v>
      </c>
    </row>
    <row r="177" spans="1:1" ht="15" x14ac:dyDescent="0.25">
      <c r="A177">
        <v>0.1717581713309122</v>
      </c>
    </row>
    <row r="178" spans="1:1" ht="15" x14ac:dyDescent="0.25">
      <c r="A178">
        <v>0.49772637104403822</v>
      </c>
    </row>
    <row r="179" spans="1:1" ht="15" x14ac:dyDescent="0.25">
      <c r="A179">
        <v>0.20224616229743339</v>
      </c>
    </row>
    <row r="180" spans="1:1" ht="15" x14ac:dyDescent="0.25">
      <c r="A180">
        <v>0.40424817651905881</v>
      </c>
    </row>
    <row r="181" spans="1:1" ht="15" x14ac:dyDescent="0.25">
      <c r="A181">
        <v>0.26306955168309581</v>
      </c>
    </row>
    <row r="182" spans="1:1" ht="15" x14ac:dyDescent="0.25">
      <c r="A182">
        <v>0.55717642750328078</v>
      </c>
    </row>
    <row r="183" spans="1:1" ht="15" x14ac:dyDescent="0.25">
      <c r="A183">
        <v>0.76763206884975743</v>
      </c>
    </row>
    <row r="184" spans="1:1" ht="15" x14ac:dyDescent="0.25">
      <c r="A184">
        <v>0.2444532609027375</v>
      </c>
    </row>
    <row r="185" spans="1:1" ht="15" x14ac:dyDescent="0.25">
      <c r="A185">
        <v>0.83086642048402359</v>
      </c>
    </row>
    <row r="186" spans="1:1" ht="15" x14ac:dyDescent="0.25">
      <c r="A186">
        <v>0.49696340830713825</v>
      </c>
    </row>
    <row r="187" spans="1:1" ht="15" x14ac:dyDescent="0.25">
      <c r="A187">
        <v>0.29441206091494493</v>
      </c>
    </row>
    <row r="188" spans="1:1" ht="15" x14ac:dyDescent="0.25">
      <c r="A188">
        <v>0.79918820764793852</v>
      </c>
    </row>
    <row r="189" spans="1:1" ht="15" x14ac:dyDescent="0.25">
      <c r="A189">
        <v>0.23953978087710195</v>
      </c>
    </row>
    <row r="190" spans="1:1" ht="15" x14ac:dyDescent="0.25">
      <c r="A190">
        <v>0.61662648396252329</v>
      </c>
    </row>
    <row r="191" spans="1:1" ht="15" x14ac:dyDescent="0.25">
      <c r="A191">
        <v>0.20490127262184515</v>
      </c>
    </row>
    <row r="192" spans="1:1" ht="15" x14ac:dyDescent="0.25">
      <c r="A192">
        <v>0.33942686239204078</v>
      </c>
    </row>
    <row r="193" spans="1:1" ht="15" x14ac:dyDescent="0.25">
      <c r="A193">
        <v>0.56346324045533613</v>
      </c>
    </row>
    <row r="194" spans="1:1" ht="15" x14ac:dyDescent="0.25">
      <c r="A194">
        <v>0.53163243507187108</v>
      </c>
    </row>
    <row r="195" spans="1:1" ht="15" x14ac:dyDescent="0.25">
      <c r="A195">
        <v>0.63747062593462933</v>
      </c>
    </row>
    <row r="196" spans="1:1" ht="15" x14ac:dyDescent="0.25">
      <c r="A196">
        <v>0.99539170506912444</v>
      </c>
    </row>
    <row r="197" spans="1:1" ht="15" x14ac:dyDescent="0.25">
      <c r="A197">
        <v>0.27576525162511062</v>
      </c>
    </row>
    <row r="198" spans="1:1" ht="15" x14ac:dyDescent="0.25">
      <c r="A198">
        <v>0.73116245002594071</v>
      </c>
    </row>
    <row r="199" spans="1:1" ht="15" x14ac:dyDescent="0.25">
      <c r="A199">
        <v>0.89849543748283334</v>
      </c>
    </row>
    <row r="200" spans="1:1" ht="15" x14ac:dyDescent="0.25">
      <c r="A200">
        <v>2.60933256019776E-2</v>
      </c>
    </row>
    <row r="201" spans="1:1" ht="15" x14ac:dyDescent="0.25">
      <c r="A201">
        <v>0.56459242530594811</v>
      </c>
    </row>
    <row r="202" spans="1:1" ht="15" x14ac:dyDescent="0.25">
      <c r="A202">
        <v>0.25498214667195657</v>
      </c>
    </row>
    <row r="203" spans="1:1" ht="15" x14ac:dyDescent="0.25">
      <c r="A203">
        <v>0.55668813135166484</v>
      </c>
    </row>
    <row r="204" spans="1:1" ht="15" x14ac:dyDescent="0.25">
      <c r="A204">
        <v>0.16147343363750113</v>
      </c>
    </row>
    <row r="205" spans="1:1" ht="15" x14ac:dyDescent="0.25">
      <c r="A205">
        <v>0.43214209418012023</v>
      </c>
    </row>
    <row r="206" spans="1:1" ht="15" x14ac:dyDescent="0.25">
      <c r="A206">
        <v>2.0661030915250098E-2</v>
      </c>
    </row>
    <row r="207" spans="1:1" ht="15" x14ac:dyDescent="0.25">
      <c r="A207">
        <v>0.58626056703390605</v>
      </c>
    </row>
    <row r="208" spans="1:1" ht="15" x14ac:dyDescent="0.25">
      <c r="A208">
        <v>0.79769280068361459</v>
      </c>
    </row>
    <row r="209" spans="1:1" ht="15" x14ac:dyDescent="0.25">
      <c r="A209">
        <v>0.23346659749137852</v>
      </c>
    </row>
    <row r="210" spans="1:1" ht="15" x14ac:dyDescent="0.25">
      <c r="A210">
        <v>0.83266701254310738</v>
      </c>
    </row>
    <row r="211" spans="1:1" ht="15" x14ac:dyDescent="0.25">
      <c r="A211">
        <v>0.46528519547105318</v>
      </c>
    </row>
    <row r="212" spans="1:1" ht="15" x14ac:dyDescent="0.25">
      <c r="A212">
        <v>0.32718894009216593</v>
      </c>
    </row>
    <row r="213" spans="1:1" ht="15" x14ac:dyDescent="0.25">
      <c r="A213">
        <v>0.81099887081514943</v>
      </c>
    </row>
    <row r="214" spans="1:1" ht="15" x14ac:dyDescent="0.25">
      <c r="A214">
        <v>0.6037781914731285</v>
      </c>
    </row>
    <row r="215" spans="1:1" ht="15" x14ac:dyDescent="0.25">
      <c r="A215">
        <v>0.63518173772392961</v>
      </c>
    </row>
    <row r="216" spans="1:1" ht="15" x14ac:dyDescent="0.25">
      <c r="A216">
        <v>0.38529618213446454</v>
      </c>
    </row>
    <row r="217" spans="1:1" ht="15" x14ac:dyDescent="0.25">
      <c r="A217">
        <v>0.88058107242042294</v>
      </c>
    </row>
    <row r="218" spans="1:1" ht="15" x14ac:dyDescent="0.25">
      <c r="A218">
        <v>0.82149723807489239</v>
      </c>
    </row>
    <row r="219" spans="1:1" ht="15" x14ac:dyDescent="0.25">
      <c r="A219">
        <v>0.22791222876674702</v>
      </c>
    </row>
    <row r="220" spans="1:1" ht="15" x14ac:dyDescent="0.25">
      <c r="A220">
        <v>0.29331339457380901</v>
      </c>
    </row>
    <row r="221" spans="1:1" ht="15" x14ac:dyDescent="0.25">
      <c r="A221">
        <v>0.82638019959105202</v>
      </c>
    </row>
    <row r="222" spans="1:1" ht="15" x14ac:dyDescent="0.25">
      <c r="A222">
        <v>0.78902554399243141</v>
      </c>
    </row>
    <row r="223" spans="1:1" ht="15" x14ac:dyDescent="0.25">
      <c r="A223">
        <v>0.46705526902066102</v>
      </c>
    </row>
    <row r="224" spans="1:1" ht="15" x14ac:dyDescent="0.25">
      <c r="A224">
        <v>0.48072756126590777</v>
      </c>
    </row>
    <row r="225" spans="1:1" ht="15" x14ac:dyDescent="0.25">
      <c r="A225">
        <v>0.55964842677083648</v>
      </c>
    </row>
    <row r="226" spans="1:1" ht="15" x14ac:dyDescent="0.25">
      <c r="A226">
        <v>0.67348246711630599</v>
      </c>
    </row>
    <row r="227" spans="1:1" ht="15" x14ac:dyDescent="0.25">
      <c r="A227">
        <v>0.64873195593127231</v>
      </c>
    </row>
    <row r="228" spans="1:1" ht="15" x14ac:dyDescent="0.25">
      <c r="A228">
        <v>0.16687520981475265</v>
      </c>
    </row>
    <row r="229" spans="1:1" ht="15" x14ac:dyDescent="0.25">
      <c r="A229">
        <v>0.59855952635273291</v>
      </c>
    </row>
    <row r="230" spans="1:1" ht="15" x14ac:dyDescent="0.25">
      <c r="A230">
        <v>0.89156773583178195</v>
      </c>
    </row>
    <row r="231" spans="1:1" ht="15" x14ac:dyDescent="0.25">
      <c r="A231">
        <v>0.10919522690511796</v>
      </c>
    </row>
    <row r="232" spans="1:1" ht="15" x14ac:dyDescent="0.25">
      <c r="A232">
        <v>8.3834345530564292E-2</v>
      </c>
    </row>
    <row r="233" spans="1:1" ht="15" x14ac:dyDescent="0.25">
      <c r="A233">
        <v>2.478102969450972E-2</v>
      </c>
    </row>
    <row r="234" spans="1:1" ht="15" x14ac:dyDescent="0.25">
      <c r="A234">
        <v>0.86471144749290441</v>
      </c>
    </row>
    <row r="235" spans="1:1" ht="15" x14ac:dyDescent="0.25">
      <c r="A235">
        <v>8.4719382305368213E-2</v>
      </c>
    </row>
    <row r="236" spans="1:1" ht="15" x14ac:dyDescent="0.25">
      <c r="A236">
        <v>0.52137821588793598</v>
      </c>
    </row>
    <row r="237" spans="1:1" ht="15" x14ac:dyDescent="0.25">
      <c r="A237">
        <v>0.47346415601062042</v>
      </c>
    </row>
    <row r="238" spans="1:1" ht="15" x14ac:dyDescent="0.25">
      <c r="A238">
        <v>0.67436750389111</v>
      </c>
    </row>
    <row r="239" spans="1:1" ht="15" x14ac:dyDescent="0.25">
      <c r="A239">
        <v>0.87041840876491594</v>
      </c>
    </row>
    <row r="240" spans="1:1" ht="15" x14ac:dyDescent="0.25">
      <c r="A240">
        <v>0.47550889614551223</v>
      </c>
    </row>
    <row r="241" spans="1:1" ht="15" x14ac:dyDescent="0.25">
      <c r="A241">
        <v>0.81243324076052126</v>
      </c>
    </row>
    <row r="242" spans="1:1" ht="15" x14ac:dyDescent="0.25">
      <c r="A242">
        <v>0.64912869655446026</v>
      </c>
    </row>
    <row r="243" spans="1:1" ht="15" x14ac:dyDescent="0.25">
      <c r="A243">
        <v>0.18402661214026306</v>
      </c>
    </row>
    <row r="244" spans="1:1" ht="15" x14ac:dyDescent="0.25">
      <c r="A244">
        <v>0.18185979796746726</v>
      </c>
    </row>
    <row r="245" spans="1:1" ht="15" x14ac:dyDescent="0.25">
      <c r="A245">
        <v>0.66725669118320263</v>
      </c>
    </row>
    <row r="246" spans="1:1" ht="15" x14ac:dyDescent="0.25">
      <c r="A246">
        <v>0.41465498825037383</v>
      </c>
    </row>
    <row r="247" spans="1:1" ht="15" x14ac:dyDescent="0.25">
      <c r="A247">
        <v>0.14148380993072299</v>
      </c>
    </row>
    <row r="248" spans="1:1" ht="15" x14ac:dyDescent="0.25">
      <c r="A248">
        <v>0.81508835108493305</v>
      </c>
    </row>
    <row r="249" spans="1:1" ht="15" x14ac:dyDescent="0.25">
      <c r="A249">
        <v>0.44831690420239878</v>
      </c>
    </row>
    <row r="250" spans="1:1" ht="15" x14ac:dyDescent="0.25">
      <c r="A250">
        <v>0.43766594439527573</v>
      </c>
    </row>
    <row r="251" spans="1:1" ht="15" x14ac:dyDescent="0.25">
      <c r="A251">
        <v>0.74929044465468309</v>
      </c>
    </row>
    <row r="252" spans="1:1" ht="15" x14ac:dyDescent="0.25">
      <c r="A252">
        <v>0.6352427747428816</v>
      </c>
    </row>
    <row r="253" spans="1:1" ht="15" x14ac:dyDescent="0.25">
      <c r="A253">
        <v>3.5859248634296702E-2</v>
      </c>
    </row>
    <row r="254" spans="1:1" ht="15" x14ac:dyDescent="0.25">
      <c r="A254">
        <v>0.59541611987670517</v>
      </c>
    </row>
    <row r="255" spans="1:1" ht="15" x14ac:dyDescent="0.25">
      <c r="A255">
        <v>0.32132938627277446</v>
      </c>
    </row>
    <row r="256" spans="1:1" ht="15" x14ac:dyDescent="0.25">
      <c r="A256">
        <v>0.3631397442548906</v>
      </c>
    </row>
    <row r="257" spans="1:1" ht="15" x14ac:dyDescent="0.25">
      <c r="A257">
        <v>0.77974791711172831</v>
      </c>
    </row>
    <row r="258" spans="1:1" ht="15" x14ac:dyDescent="0.25">
      <c r="A258">
        <v>0.80190435499130219</v>
      </c>
    </row>
    <row r="259" spans="1:1" ht="15" x14ac:dyDescent="0.25">
      <c r="A259">
        <v>0.72569963682973726</v>
      </c>
    </row>
    <row r="260" spans="1:1" ht="15" x14ac:dyDescent="0.25">
      <c r="A260">
        <v>6.5126499221778003E-2</v>
      </c>
    </row>
    <row r="261" spans="1:1" ht="15" x14ac:dyDescent="0.25">
      <c r="A261">
        <v>0.96960356456190677</v>
      </c>
    </row>
    <row r="262" spans="1:1" ht="15" x14ac:dyDescent="0.25">
      <c r="A262">
        <v>0.22165593432416761</v>
      </c>
    </row>
    <row r="263" spans="1:1" ht="15" x14ac:dyDescent="0.25">
      <c r="A263">
        <v>0.86745811334574419</v>
      </c>
    </row>
    <row r="264" spans="1:1" ht="15" x14ac:dyDescent="0.25">
      <c r="A264">
        <v>0.3290505691702017</v>
      </c>
    </row>
    <row r="265" spans="1:1" ht="15" x14ac:dyDescent="0.25">
      <c r="A265">
        <v>0.43232520523697621</v>
      </c>
    </row>
    <row r="266" spans="1:1" ht="15" x14ac:dyDescent="0.25">
      <c r="A266">
        <v>0.10312204351939451</v>
      </c>
    </row>
    <row r="267" spans="1:1" ht="15" x14ac:dyDescent="0.25">
      <c r="A267">
        <v>0.31452375865962706</v>
      </c>
    </row>
    <row r="268" spans="1:1" ht="15" x14ac:dyDescent="0.25">
      <c r="A268">
        <v>1.2359996337778864E-2</v>
      </c>
    </row>
    <row r="269" spans="1:1" ht="15" x14ac:dyDescent="0.25">
      <c r="A269">
        <v>0.41245765556810204</v>
      </c>
    </row>
    <row r="270" spans="1:1" ht="15" x14ac:dyDescent="0.25">
      <c r="A270">
        <v>0.76195562608722189</v>
      </c>
    </row>
    <row r="271" spans="1:1" ht="15" x14ac:dyDescent="0.25">
      <c r="A271">
        <v>0.47190771202734461</v>
      </c>
    </row>
    <row r="272" spans="1:1" ht="15" x14ac:dyDescent="0.25">
      <c r="A272">
        <v>0.34382152775658437</v>
      </c>
    </row>
    <row r="273" spans="1:1" ht="15" x14ac:dyDescent="0.25">
      <c r="A273">
        <v>0.39219336527603993</v>
      </c>
    </row>
    <row r="274" spans="1:1" ht="15" x14ac:dyDescent="0.25">
      <c r="A274">
        <v>0.74626911221655934</v>
      </c>
    </row>
    <row r="275" spans="1:1" ht="15" x14ac:dyDescent="0.25">
      <c r="A275">
        <v>0.21127964110232855</v>
      </c>
    </row>
    <row r="276" spans="1:1" ht="15" x14ac:dyDescent="0.25">
      <c r="A276">
        <v>0.65993224890896329</v>
      </c>
    </row>
    <row r="277" spans="1:1" ht="15" x14ac:dyDescent="0.25">
      <c r="A277">
        <v>6.9582201605273598E-3</v>
      </c>
    </row>
    <row r="278" spans="1:1" ht="15" x14ac:dyDescent="0.25">
      <c r="A278">
        <v>0.71471297341837825</v>
      </c>
    </row>
    <row r="279" spans="1:1" ht="15" x14ac:dyDescent="0.25">
      <c r="A279">
        <v>0.36194952238532668</v>
      </c>
    </row>
    <row r="280" spans="1:1" ht="15" x14ac:dyDescent="0.25">
      <c r="A280">
        <v>0.55745109408856475</v>
      </c>
    </row>
    <row r="281" spans="1:1" ht="15" x14ac:dyDescent="0.25">
      <c r="A281">
        <v>0.71303445539719845</v>
      </c>
    </row>
    <row r="282" spans="1:1" ht="15" x14ac:dyDescent="0.25">
      <c r="A282">
        <v>5.8626056703390605E-2</v>
      </c>
    </row>
    <row r="283" spans="1:1" ht="15" x14ac:dyDescent="0.25">
      <c r="A283">
        <v>0.96908474990081483</v>
      </c>
    </row>
    <row r="284" spans="1:1" ht="15" x14ac:dyDescent="0.25">
      <c r="A284">
        <v>0.7431562242500076</v>
      </c>
    </row>
    <row r="285" spans="1:1" ht="15" x14ac:dyDescent="0.25">
      <c r="A285">
        <v>0.36338389233069857</v>
      </c>
    </row>
    <row r="286" spans="1:1" ht="15" x14ac:dyDescent="0.25">
      <c r="A286">
        <v>0.79973754081850645</v>
      </c>
    </row>
    <row r="287" spans="1:1" ht="15" x14ac:dyDescent="0.25">
      <c r="A287">
        <v>0.72603534043397322</v>
      </c>
    </row>
    <row r="288" spans="1:1" ht="15" x14ac:dyDescent="0.25">
      <c r="A288">
        <v>0.36191900387585069</v>
      </c>
    </row>
    <row r="289" spans="1:1" ht="15" x14ac:dyDescent="0.25">
      <c r="A289">
        <v>0.34797204504531998</v>
      </c>
    </row>
    <row r="290" spans="1:1" ht="15" x14ac:dyDescent="0.25">
      <c r="A290">
        <v>0.79406109805597092</v>
      </c>
    </row>
    <row r="291" spans="1:1" ht="15" x14ac:dyDescent="0.25">
      <c r="A291">
        <v>0.48673970763267921</v>
      </c>
    </row>
    <row r="292" spans="1:1" ht="15" x14ac:dyDescent="0.25">
      <c r="A292">
        <v>8.4902493362224191E-2</v>
      </c>
    </row>
    <row r="293" spans="1:1" ht="15" x14ac:dyDescent="0.25">
      <c r="A293">
        <v>0.4545426801355022</v>
      </c>
    </row>
    <row r="294" spans="1:1" ht="15" x14ac:dyDescent="0.25">
      <c r="A294">
        <v>0.77446821497238072</v>
      </c>
    </row>
    <row r="295" spans="1:1" ht="15" x14ac:dyDescent="0.25">
      <c r="A295">
        <v>0.26429029206213567</v>
      </c>
    </row>
    <row r="296" spans="1:1" ht="15" x14ac:dyDescent="0.25">
      <c r="A296">
        <v>0.73857844782860804</v>
      </c>
    </row>
    <row r="297" spans="1:1" ht="15" x14ac:dyDescent="0.25">
      <c r="A297">
        <v>0.10675374614703818</v>
      </c>
    </row>
    <row r="298" spans="1:1" ht="15" x14ac:dyDescent="0.25">
      <c r="A298">
        <v>0.26151310769981995</v>
      </c>
    </row>
    <row r="299" spans="1:1" ht="15" x14ac:dyDescent="0.25">
      <c r="A299">
        <v>0.62227240821558272</v>
      </c>
    </row>
    <row r="300" spans="1:1" ht="15" x14ac:dyDescent="0.25">
      <c r="A300">
        <v>0.75582140568254641</v>
      </c>
    </row>
    <row r="301" spans="1:1" ht="15" x14ac:dyDescent="0.25">
      <c r="A301">
        <v>0.13513595995971556</v>
      </c>
    </row>
    <row r="302" spans="1:1" ht="15" x14ac:dyDescent="0.25">
      <c r="A302">
        <v>0.87551499984740744</v>
      </c>
    </row>
    <row r="303" spans="1:1" ht="15" x14ac:dyDescent="0.25">
      <c r="A303">
        <v>0.86465041047395241</v>
      </c>
    </row>
    <row r="304" spans="1:1" ht="15" x14ac:dyDescent="0.25">
      <c r="A304">
        <v>0.23093356120487074</v>
      </c>
    </row>
    <row r="305" spans="1:1" ht="15" x14ac:dyDescent="0.25">
      <c r="A305">
        <v>0.73775444807275614</v>
      </c>
    </row>
    <row r="306" spans="1:1" ht="15" x14ac:dyDescent="0.25">
      <c r="A306">
        <v>7.9317606128116697E-2</v>
      </c>
    </row>
    <row r="307" spans="1:1" ht="15" x14ac:dyDescent="0.25">
      <c r="A307">
        <v>0.9310586870937223</v>
      </c>
    </row>
    <row r="308" spans="1:1" ht="15" x14ac:dyDescent="0.25">
      <c r="A308">
        <v>0.85924863429670095</v>
      </c>
    </row>
    <row r="309" spans="1:1" ht="15" x14ac:dyDescent="0.25">
      <c r="A309">
        <v>0.78640095217749562</v>
      </c>
    </row>
    <row r="310" spans="1:1" ht="15" x14ac:dyDescent="0.25">
      <c r="A310">
        <v>0.88503677480391862</v>
      </c>
    </row>
    <row r="311" spans="1:1" ht="15" x14ac:dyDescent="0.25">
      <c r="A311">
        <v>0.40327158421582687</v>
      </c>
    </row>
    <row r="312" spans="1:1" ht="15" x14ac:dyDescent="0.25">
      <c r="A312">
        <v>0.54237495040742212</v>
      </c>
    </row>
    <row r="313" spans="1:1" ht="15" x14ac:dyDescent="0.25">
      <c r="A313">
        <v>0.13489181188390759</v>
      </c>
    </row>
    <row r="314" spans="1:1" ht="15" x14ac:dyDescent="0.25">
      <c r="A314">
        <v>0.55384990997039707</v>
      </c>
    </row>
    <row r="315" spans="1:1" ht="15" x14ac:dyDescent="0.25">
      <c r="A315">
        <v>0.52916043580431527</v>
      </c>
    </row>
    <row r="316" spans="1:1" ht="15" x14ac:dyDescent="0.25">
      <c r="A316">
        <v>0.94152653584398938</v>
      </c>
    </row>
    <row r="317" spans="1:1" ht="15" x14ac:dyDescent="0.25">
      <c r="A317">
        <v>8.5512863551744131E-2</v>
      </c>
    </row>
    <row r="318" spans="1:1" ht="15" x14ac:dyDescent="0.25">
      <c r="A318">
        <v>0.82210760826441232</v>
      </c>
    </row>
    <row r="319" spans="1:1" ht="15" x14ac:dyDescent="0.25">
      <c r="A319">
        <v>0.67061372722556234</v>
      </c>
    </row>
    <row r="320" spans="1:1" ht="15" x14ac:dyDescent="0.25">
      <c r="A320">
        <v>0.75856807153538619</v>
      </c>
    </row>
    <row r="321" spans="1:1" ht="15" x14ac:dyDescent="0.25">
      <c r="A321">
        <v>0.66985076448866232</v>
      </c>
    </row>
    <row r="322" spans="1:1" ht="15" x14ac:dyDescent="0.25">
      <c r="A322">
        <v>0.68343150120548113</v>
      </c>
    </row>
    <row r="323" spans="1:1" ht="15" x14ac:dyDescent="0.25">
      <c r="A323">
        <v>8.1514938810388501E-2</v>
      </c>
    </row>
    <row r="324" spans="1:1" ht="15" x14ac:dyDescent="0.25">
      <c r="A324">
        <v>2.7253028962065492E-2</v>
      </c>
    </row>
    <row r="325" spans="1:1" ht="15" x14ac:dyDescent="0.25">
      <c r="A325">
        <v>0.90035706656086911</v>
      </c>
    </row>
    <row r="326" spans="1:1" ht="15" x14ac:dyDescent="0.25">
      <c r="A326">
        <v>0.25913266396069218</v>
      </c>
    </row>
    <row r="327" spans="1:1" ht="15" x14ac:dyDescent="0.25">
      <c r="A327">
        <v>0.42207098605304116</v>
      </c>
    </row>
    <row r="328" spans="1:1" ht="15" x14ac:dyDescent="0.25">
      <c r="A328">
        <v>0.19541001617481002</v>
      </c>
    </row>
    <row r="329" spans="1:1" ht="15" x14ac:dyDescent="0.25">
      <c r="A329">
        <v>0.64894558549760428</v>
      </c>
    </row>
    <row r="330" spans="1:1" ht="15" x14ac:dyDescent="0.25">
      <c r="A330">
        <v>0.7874385814996796</v>
      </c>
    </row>
    <row r="331" spans="1:1" ht="15" x14ac:dyDescent="0.25">
      <c r="A331">
        <v>0.91546372875148774</v>
      </c>
    </row>
    <row r="332" spans="1:1" ht="15" x14ac:dyDescent="0.25">
      <c r="A332">
        <v>0.2793053987243263</v>
      </c>
    </row>
    <row r="333" spans="1:1" ht="15" x14ac:dyDescent="0.25">
      <c r="A333">
        <v>0.30872524185918759</v>
      </c>
    </row>
    <row r="334" spans="1:1" ht="15" x14ac:dyDescent="0.25">
      <c r="A334">
        <v>0.26331369975890379</v>
      </c>
    </row>
    <row r="335" spans="1:1" ht="15" x14ac:dyDescent="0.25">
      <c r="A335">
        <v>0.55375835444196908</v>
      </c>
    </row>
    <row r="336" spans="1:1" ht="15" x14ac:dyDescent="0.25">
      <c r="A336">
        <v>0.8715781121250038</v>
      </c>
    </row>
    <row r="337" spans="1:1" ht="15" x14ac:dyDescent="0.25">
      <c r="A337">
        <v>0.89519943845942562</v>
      </c>
    </row>
    <row r="338" spans="1:1" ht="15" x14ac:dyDescent="0.25">
      <c r="A338">
        <v>0.75997192297128213</v>
      </c>
    </row>
    <row r="339" spans="1:1" ht="15" x14ac:dyDescent="0.25">
      <c r="A339">
        <v>0.25861384929960018</v>
      </c>
    </row>
    <row r="340" spans="1:1" ht="15" x14ac:dyDescent="0.25">
      <c r="A340">
        <v>0.28391369365520186</v>
      </c>
    </row>
    <row r="341" spans="1:1" ht="15" x14ac:dyDescent="0.25">
      <c r="A341">
        <v>0.74312570574053161</v>
      </c>
    </row>
    <row r="342" spans="1:1" ht="15" x14ac:dyDescent="0.25">
      <c r="A342">
        <v>0.96298104800561546</v>
      </c>
    </row>
    <row r="343" spans="1:1" ht="15" x14ac:dyDescent="0.25">
      <c r="A343">
        <v>0.40336313974425492</v>
      </c>
    </row>
    <row r="344" spans="1:1" ht="15" x14ac:dyDescent="0.25">
      <c r="A344">
        <v>0.60600604266487623</v>
      </c>
    </row>
    <row r="345" spans="1:1" ht="15" x14ac:dyDescent="0.25">
      <c r="A345">
        <v>0.45539719840083009</v>
      </c>
    </row>
    <row r="346" spans="1:1" ht="15" x14ac:dyDescent="0.25">
      <c r="A346">
        <v>0.94888149662770471</v>
      </c>
    </row>
    <row r="347" spans="1:1" ht="15" x14ac:dyDescent="0.25">
      <c r="A347">
        <v>0.60261848811304053</v>
      </c>
    </row>
    <row r="348" spans="1:1" ht="15" x14ac:dyDescent="0.25">
      <c r="A348">
        <v>0.96108890041810358</v>
      </c>
    </row>
    <row r="349" spans="1:1" ht="15" x14ac:dyDescent="0.25">
      <c r="A349">
        <v>0.26013977477340006</v>
      </c>
    </row>
    <row r="350" spans="1:1" ht="15" x14ac:dyDescent="0.25">
      <c r="A350">
        <v>0.73897518845179599</v>
      </c>
    </row>
    <row r="351" spans="1:1" ht="15" x14ac:dyDescent="0.25">
      <c r="A351">
        <v>0.17584765160069582</v>
      </c>
    </row>
    <row r="352" spans="1:1" ht="15" x14ac:dyDescent="0.25">
      <c r="A352">
        <v>0.74083681752983188</v>
      </c>
    </row>
    <row r="353" spans="1:1" ht="15" x14ac:dyDescent="0.25">
      <c r="A353">
        <v>0.43217261268959622</v>
      </c>
    </row>
    <row r="354" spans="1:1" ht="15" x14ac:dyDescent="0.25">
      <c r="A354">
        <v>0.65974913785210731</v>
      </c>
    </row>
    <row r="355" spans="1:1" ht="15" x14ac:dyDescent="0.25">
      <c r="A355">
        <v>0.19098483230079044</v>
      </c>
    </row>
    <row r="356" spans="1:1" ht="15" x14ac:dyDescent="0.25">
      <c r="A356">
        <v>9.9429303872798858E-2</v>
      </c>
    </row>
    <row r="357" spans="1:1" ht="15" x14ac:dyDescent="0.25">
      <c r="A357">
        <v>0.93517868587298192</v>
      </c>
    </row>
    <row r="358" spans="1:1" ht="15" x14ac:dyDescent="0.25">
      <c r="A358">
        <v>4.1199987792596211E-2</v>
      </c>
    </row>
    <row r="359" spans="1:1" ht="15" x14ac:dyDescent="0.25">
      <c r="A359">
        <v>0.49430829798272652</v>
      </c>
    </row>
    <row r="360" spans="1:1" ht="15" x14ac:dyDescent="0.25">
      <c r="A360">
        <v>0.488937040314951</v>
      </c>
    </row>
    <row r="361" spans="1:1" ht="15" x14ac:dyDescent="0.25">
      <c r="A361">
        <v>0.94094668416394545</v>
      </c>
    </row>
    <row r="362" spans="1:1" ht="15" x14ac:dyDescent="0.25">
      <c r="A362">
        <v>0.28455458235419784</v>
      </c>
    </row>
    <row r="363" spans="1:1" ht="15" x14ac:dyDescent="0.25">
      <c r="A363">
        <v>0.63277077547532579</v>
      </c>
    </row>
    <row r="364" spans="1:1" ht="15" x14ac:dyDescent="0.25">
      <c r="A364">
        <v>0.51667836542863244</v>
      </c>
    </row>
    <row r="365" spans="1:1" ht="15" x14ac:dyDescent="0.25">
      <c r="A365">
        <v>0.38166447950682086</v>
      </c>
    </row>
    <row r="366" spans="1:1" ht="15" x14ac:dyDescent="0.25">
      <c r="A366">
        <v>0.8299203466902676</v>
      </c>
    </row>
    <row r="367" spans="1:1" ht="15" x14ac:dyDescent="0.25">
      <c r="A367">
        <v>7.5624866481521044E-2</v>
      </c>
    </row>
    <row r="368" spans="1:1" ht="15" x14ac:dyDescent="0.25">
      <c r="A368">
        <v>0.9064912869655446</v>
      </c>
    </row>
    <row r="369" spans="1:1" ht="15" x14ac:dyDescent="0.25">
      <c r="A369">
        <v>0.19190038758507036</v>
      </c>
    </row>
    <row r="370" spans="1:1" ht="15" x14ac:dyDescent="0.25">
      <c r="A370">
        <v>5.5909909360026856E-2</v>
      </c>
    </row>
    <row r="371" spans="1:1" ht="15" x14ac:dyDescent="0.25">
      <c r="A371">
        <v>0.64055299539170507</v>
      </c>
    </row>
    <row r="372" spans="1:1" ht="15" x14ac:dyDescent="0.25">
      <c r="A372">
        <v>0.84447767571031829</v>
      </c>
    </row>
    <row r="373" spans="1:1" ht="15" x14ac:dyDescent="0.25">
      <c r="A373">
        <v>0.3958861049226356</v>
      </c>
    </row>
    <row r="374" spans="1:1" ht="15" x14ac:dyDescent="0.25">
      <c r="A374">
        <v>0.64210943937498088</v>
      </c>
    </row>
    <row r="375" spans="1:1" ht="15" x14ac:dyDescent="0.25">
      <c r="A375">
        <v>0.5314493240150151</v>
      </c>
    </row>
    <row r="376" spans="1:1" ht="15" x14ac:dyDescent="0.25">
      <c r="A376">
        <v>0.49076815088351083</v>
      </c>
    </row>
    <row r="377" spans="1:1" ht="15" x14ac:dyDescent="0.25">
      <c r="A377">
        <v>0.6972258674886318</v>
      </c>
    </row>
    <row r="378" spans="1:1" ht="15" x14ac:dyDescent="0.25">
      <c r="A378">
        <v>0.42564165166173284</v>
      </c>
    </row>
    <row r="379" spans="1:1" ht="15" x14ac:dyDescent="0.25">
      <c r="A379">
        <v>0.89382610553300579</v>
      </c>
    </row>
    <row r="380" spans="1:1" ht="15" x14ac:dyDescent="0.25">
      <c r="A380">
        <v>0.9387798699911496</v>
      </c>
    </row>
    <row r="381" spans="1:1" ht="15" x14ac:dyDescent="0.25">
      <c r="A381">
        <v>0.72640156254768518</v>
      </c>
    </row>
    <row r="382" spans="1:1" ht="15" x14ac:dyDescent="0.25">
      <c r="A382">
        <v>0.28299813837092197</v>
      </c>
    </row>
    <row r="383" spans="1:1" ht="15" x14ac:dyDescent="0.25">
      <c r="A383">
        <v>0.29374065370647295</v>
      </c>
    </row>
    <row r="384" spans="1:1" ht="15" x14ac:dyDescent="0.25">
      <c r="A384">
        <v>0.40272225104525894</v>
      </c>
    </row>
    <row r="385" spans="1:1" ht="15" x14ac:dyDescent="0.25">
      <c r="A385">
        <v>0.60295419171727649</v>
      </c>
    </row>
    <row r="386" spans="1:1" ht="15" x14ac:dyDescent="0.25">
      <c r="A386">
        <v>6.8880275887325662E-2</v>
      </c>
    </row>
    <row r="387" spans="1:1" ht="15" x14ac:dyDescent="0.25">
      <c r="A387">
        <v>2.7283547471541492E-2</v>
      </c>
    </row>
    <row r="388" spans="1:1" ht="15" x14ac:dyDescent="0.25">
      <c r="A388">
        <v>0.91500595110934779</v>
      </c>
    </row>
    <row r="389" spans="1:1" ht="15" x14ac:dyDescent="0.25">
      <c r="A389">
        <v>0.96847437971129491</v>
      </c>
    </row>
    <row r="390" spans="1:1" ht="15" x14ac:dyDescent="0.25">
      <c r="A390">
        <v>0.1423993652150029</v>
      </c>
    </row>
    <row r="391" spans="1:1" ht="15" x14ac:dyDescent="0.25">
      <c r="A391">
        <v>0.66582232123783069</v>
      </c>
    </row>
    <row r="392" spans="1:1" ht="15" x14ac:dyDescent="0.25">
      <c r="A392">
        <v>0.31464583269753105</v>
      </c>
    </row>
    <row r="393" spans="1:1" ht="15" x14ac:dyDescent="0.25">
      <c r="A393">
        <v>0.14606158635212257</v>
      </c>
    </row>
    <row r="394" spans="1:1" ht="15" x14ac:dyDescent="0.25">
      <c r="A394">
        <v>0.51295510727256077</v>
      </c>
    </row>
    <row r="395" spans="1:1" ht="15" x14ac:dyDescent="0.25">
      <c r="A395">
        <v>0.74425489059114358</v>
      </c>
    </row>
    <row r="396" spans="1:1" ht="15" x14ac:dyDescent="0.25">
      <c r="A396">
        <v>0.80800805688650168</v>
      </c>
    </row>
    <row r="397" spans="1:1" ht="15" x14ac:dyDescent="0.25">
      <c r="A397">
        <v>0.58375804925687425</v>
      </c>
    </row>
    <row r="398" spans="1:1" ht="15" x14ac:dyDescent="0.25">
      <c r="A398">
        <v>0.13611255226294747</v>
      </c>
    </row>
    <row r="399" spans="1:1" ht="15" x14ac:dyDescent="0.25">
      <c r="A399">
        <v>0.99789422284615614</v>
      </c>
    </row>
    <row r="400" spans="1:1" ht="15" x14ac:dyDescent="0.25">
      <c r="A400">
        <v>0.88286996063112277</v>
      </c>
    </row>
    <row r="401" spans="1:1" ht="15" x14ac:dyDescent="0.25">
      <c r="A401">
        <v>0.23654896694845423</v>
      </c>
    </row>
    <row r="402" spans="1:1" ht="15" x14ac:dyDescent="0.25">
      <c r="A402">
        <v>0.39127780999175998</v>
      </c>
    </row>
    <row r="403" spans="1:1" ht="15" x14ac:dyDescent="0.25">
      <c r="A403">
        <v>5.4567094943082983E-2</v>
      </c>
    </row>
    <row r="404" spans="1:1" ht="15" x14ac:dyDescent="0.25">
      <c r="A404">
        <v>0.85744804223761717</v>
      </c>
    </row>
    <row r="405" spans="1:1" ht="15" x14ac:dyDescent="0.25">
      <c r="A405">
        <v>4.4801171910763882E-2</v>
      </c>
    </row>
    <row r="406" spans="1:1" ht="15" x14ac:dyDescent="0.25">
      <c r="A406">
        <v>0.27234717856379892</v>
      </c>
    </row>
    <row r="407" spans="1:1" ht="15" x14ac:dyDescent="0.25">
      <c r="A407">
        <v>0.98794518875698112</v>
      </c>
    </row>
    <row r="408" spans="1:1" ht="15" x14ac:dyDescent="0.25">
      <c r="A408">
        <v>0.84536271248512218</v>
      </c>
    </row>
    <row r="409" spans="1:1" ht="15" x14ac:dyDescent="0.25">
      <c r="A409">
        <v>0.16431165501876888</v>
      </c>
    </row>
    <row r="410" spans="1:1" ht="15" x14ac:dyDescent="0.25">
      <c r="A410">
        <v>0.32224494155705435</v>
      </c>
    </row>
    <row r="411" spans="1:1" ht="15" x14ac:dyDescent="0.25">
      <c r="A411">
        <v>0.63832514419995723</v>
      </c>
    </row>
    <row r="412" spans="1:1" ht="15" x14ac:dyDescent="0.25">
      <c r="A412">
        <v>0.41782891323587756</v>
      </c>
    </row>
    <row r="413" spans="1:1" ht="15" x14ac:dyDescent="0.25">
      <c r="A413">
        <v>0.10455641346476638</v>
      </c>
    </row>
    <row r="414" spans="1:1" ht="15" x14ac:dyDescent="0.25">
      <c r="A414">
        <v>0.84313486129337445</v>
      </c>
    </row>
    <row r="415" spans="1:1" ht="15" x14ac:dyDescent="0.25">
      <c r="A415">
        <v>0.1075472273934141</v>
      </c>
    </row>
    <row r="416" spans="1:1" ht="15" x14ac:dyDescent="0.25">
      <c r="A416">
        <v>0.74443800164799956</v>
      </c>
    </row>
    <row r="417" spans="1:1" ht="15" x14ac:dyDescent="0.25">
      <c r="A417">
        <v>0.43144016846217231</v>
      </c>
    </row>
    <row r="418" spans="1:1" ht="15" x14ac:dyDescent="0.25">
      <c r="A418">
        <v>0.41306802575762197</v>
      </c>
    </row>
    <row r="419" spans="1:1" ht="15" x14ac:dyDescent="0.25">
      <c r="A419">
        <v>0.33381145664845729</v>
      </c>
    </row>
    <row r="420" spans="1:1" ht="15" x14ac:dyDescent="0.25">
      <c r="A420">
        <v>0.4936674092837306</v>
      </c>
    </row>
    <row r="421" spans="1:1" ht="15" x14ac:dyDescent="0.25">
      <c r="A421">
        <v>0.19083223975341043</v>
      </c>
    </row>
    <row r="422" spans="1:1" ht="15" x14ac:dyDescent="0.25">
      <c r="A422">
        <v>0.24069948423718984</v>
      </c>
    </row>
    <row r="423" spans="1:1" ht="15" x14ac:dyDescent="0.25">
      <c r="A423">
        <v>0.15268410290841394</v>
      </c>
    </row>
    <row r="424" spans="1:1" ht="15" x14ac:dyDescent="0.25">
      <c r="A424">
        <v>0.27436140018921473</v>
      </c>
    </row>
    <row r="425" spans="1:1" ht="15" x14ac:dyDescent="0.25">
      <c r="A425">
        <v>0.70894497512741472</v>
      </c>
    </row>
    <row r="426" spans="1:1" ht="15" x14ac:dyDescent="0.25">
      <c r="A426">
        <v>0.38886684774315622</v>
      </c>
    </row>
    <row r="427" spans="1:1" ht="15" x14ac:dyDescent="0.25">
      <c r="A427">
        <v>0.75102999969481488</v>
      </c>
    </row>
    <row r="428" spans="1:1" ht="15" x14ac:dyDescent="0.25">
      <c r="A428">
        <v>0.8996551408429212</v>
      </c>
    </row>
    <row r="429" spans="1:1" ht="15" x14ac:dyDescent="0.25">
      <c r="A429">
        <v>0.92596209601123081</v>
      </c>
    </row>
    <row r="430" spans="1:1" ht="15" x14ac:dyDescent="0.25">
      <c r="A430">
        <v>0.39893795587023528</v>
      </c>
    </row>
    <row r="431" spans="1:1" ht="15" x14ac:dyDescent="0.25">
      <c r="A431">
        <v>0.91940061647389137</v>
      </c>
    </row>
    <row r="432" spans="1:1" ht="15" x14ac:dyDescent="0.25">
      <c r="A432">
        <v>0.25403607287820062</v>
      </c>
    </row>
    <row r="433" spans="1:1" ht="15" x14ac:dyDescent="0.25">
      <c r="A433">
        <v>0.91903439436017942</v>
      </c>
    </row>
    <row r="434" spans="1:1" ht="15" x14ac:dyDescent="0.25">
      <c r="A434">
        <v>0.34641560106204411</v>
      </c>
    </row>
    <row r="435" spans="1:1" ht="15" x14ac:dyDescent="0.25">
      <c r="A435">
        <v>9.7354045228431052E-3</v>
      </c>
    </row>
    <row r="436" spans="1:1" ht="15" x14ac:dyDescent="0.25">
      <c r="A436">
        <v>4.5777764213995792E-2</v>
      </c>
    </row>
    <row r="437" spans="1:1" ht="15" x14ac:dyDescent="0.25">
      <c r="A437">
        <v>0.77117221594897301</v>
      </c>
    </row>
    <row r="438" spans="1:1" ht="15" x14ac:dyDescent="0.25">
      <c r="A438">
        <v>0.85976744895779289</v>
      </c>
    </row>
    <row r="439" spans="1:1" ht="15" x14ac:dyDescent="0.25">
      <c r="A439">
        <v>4.5167394024475845E-3</v>
      </c>
    </row>
    <row r="440" spans="1:1" ht="15" x14ac:dyDescent="0.25">
      <c r="A440">
        <v>0.22470778527176732</v>
      </c>
    </row>
    <row r="441" spans="1:1" ht="15" x14ac:dyDescent="0.25">
      <c r="A441">
        <v>0.44193853572191533</v>
      </c>
    </row>
    <row r="442" spans="1:1" ht="15" x14ac:dyDescent="0.25">
      <c r="A442">
        <v>0.13309121982482375</v>
      </c>
    </row>
    <row r="443" spans="1:1" ht="15" x14ac:dyDescent="0.25">
      <c r="A443">
        <v>0.60301522873622848</v>
      </c>
    </row>
    <row r="444" spans="1:1" ht="15" x14ac:dyDescent="0.25">
      <c r="A444">
        <v>0.34769737846003601</v>
      </c>
    </row>
    <row r="445" spans="1:1" ht="15" x14ac:dyDescent="0.25">
      <c r="A445">
        <v>0.79631946775719475</v>
      </c>
    </row>
    <row r="446" spans="1:1" ht="15" x14ac:dyDescent="0.25">
      <c r="A446">
        <v>0.46449171422467728</v>
      </c>
    </row>
    <row r="447" spans="1:1" ht="15" x14ac:dyDescent="0.25">
      <c r="A447">
        <v>0.73180333872493664</v>
      </c>
    </row>
    <row r="448" spans="1:1" ht="15" x14ac:dyDescent="0.25">
      <c r="A448">
        <v>0.67250587481307411</v>
      </c>
    </row>
    <row r="449" spans="1:1" ht="15" x14ac:dyDescent="0.25">
      <c r="A449">
        <v>0.44816431165501874</v>
      </c>
    </row>
    <row r="450" spans="1:1" ht="15" x14ac:dyDescent="0.25">
      <c r="A450">
        <v>0.35077974791711175</v>
      </c>
    </row>
    <row r="451" spans="1:1" ht="15" x14ac:dyDescent="0.25">
      <c r="A451">
        <v>0.38523514511551255</v>
      </c>
    </row>
    <row r="452" spans="1:1" ht="15" x14ac:dyDescent="0.25">
      <c r="A452">
        <v>0.26148258919034395</v>
      </c>
    </row>
    <row r="453" spans="1:1" ht="15" x14ac:dyDescent="0.25">
      <c r="A453">
        <v>0.57426679280983917</v>
      </c>
    </row>
    <row r="454" spans="1:1" ht="15" x14ac:dyDescent="0.25">
      <c r="A454">
        <v>0.67030854213080238</v>
      </c>
    </row>
    <row r="455" spans="1:1" ht="15" x14ac:dyDescent="0.25">
      <c r="A455">
        <v>0.20224616229743339</v>
      </c>
    </row>
    <row r="456" spans="1:1" ht="15" x14ac:dyDescent="0.25">
      <c r="A456">
        <v>0.87615588854640336</v>
      </c>
    </row>
    <row r="457" spans="1:1" ht="15" x14ac:dyDescent="0.25">
      <c r="A457">
        <v>0.35535752433851131</v>
      </c>
    </row>
    <row r="458" spans="1:1" ht="15" x14ac:dyDescent="0.25">
      <c r="A458">
        <v>0.98483230079042938</v>
      </c>
    </row>
    <row r="459" spans="1:1" ht="15" x14ac:dyDescent="0.25">
      <c r="A459">
        <v>0.68562883388775298</v>
      </c>
    </row>
    <row r="460" spans="1:1" ht="15" x14ac:dyDescent="0.25">
      <c r="A460">
        <v>0.94418164616840117</v>
      </c>
    </row>
    <row r="461" spans="1:1" ht="15" x14ac:dyDescent="0.25">
      <c r="A461">
        <v>0.20044557023834955</v>
      </c>
    </row>
    <row r="462" spans="1:1" ht="15" x14ac:dyDescent="0.25">
      <c r="A462">
        <v>0.49168370616779078</v>
      </c>
    </row>
    <row r="463" spans="1:1" ht="15" x14ac:dyDescent="0.25">
      <c r="A463">
        <v>0.47025971251564075</v>
      </c>
    </row>
    <row r="464" spans="1:1" ht="15" x14ac:dyDescent="0.25">
      <c r="A464">
        <v>0.37968077639088105</v>
      </c>
    </row>
    <row r="465" spans="1:1" ht="15" x14ac:dyDescent="0.25">
      <c r="A465">
        <v>0.41044343394268623</v>
      </c>
    </row>
    <row r="466" spans="1:1" ht="15" x14ac:dyDescent="0.25">
      <c r="A466">
        <v>0.65788750877407143</v>
      </c>
    </row>
    <row r="467" spans="1:1" ht="15" x14ac:dyDescent="0.25">
      <c r="A467">
        <v>0.54637287514877775</v>
      </c>
    </row>
    <row r="468" spans="1:1" ht="15" x14ac:dyDescent="0.25">
      <c r="A468">
        <v>0.53865169225135046</v>
      </c>
    </row>
    <row r="469" spans="1:1" ht="15" x14ac:dyDescent="0.25">
      <c r="A469">
        <v>0.43748283333841975</v>
      </c>
    </row>
    <row r="470" spans="1:1" ht="15" x14ac:dyDescent="0.25">
      <c r="A470">
        <v>6.6682943205053871E-2</v>
      </c>
    </row>
    <row r="471" spans="1:1" ht="15" x14ac:dyDescent="0.25">
      <c r="A471">
        <v>0.84420300912503432</v>
      </c>
    </row>
    <row r="472" spans="1:1" ht="15" x14ac:dyDescent="0.25">
      <c r="A472">
        <v>8.9999084444715716E-2</v>
      </c>
    </row>
    <row r="473" spans="1:1" ht="15" x14ac:dyDescent="0.25">
      <c r="A473">
        <v>0.39646595660267953</v>
      </c>
    </row>
    <row r="474" spans="1:1" ht="15" x14ac:dyDescent="0.25">
      <c r="A474">
        <v>0.50880458998382516</v>
      </c>
    </row>
    <row r="475" spans="1:1" ht="15" x14ac:dyDescent="0.25">
      <c r="A475">
        <v>8.5940122684408093E-2</v>
      </c>
    </row>
    <row r="476" spans="1:1" ht="15" x14ac:dyDescent="0.25">
      <c r="A476">
        <v>8.4078493606372262E-2</v>
      </c>
    </row>
    <row r="477" spans="1:1" ht="15" x14ac:dyDescent="0.25">
      <c r="A477">
        <v>0.98449659718619342</v>
      </c>
    </row>
    <row r="478" spans="1:1" ht="15" x14ac:dyDescent="0.25">
      <c r="A478">
        <v>0.84850611896114991</v>
      </c>
    </row>
    <row r="479" spans="1:1" ht="15" x14ac:dyDescent="0.25">
      <c r="A479">
        <v>0.31217383342997529</v>
      </c>
    </row>
    <row r="480" spans="1:1" ht="15" x14ac:dyDescent="0.25">
      <c r="A480">
        <v>0.99966429639576404</v>
      </c>
    </row>
    <row r="481" spans="1:1" ht="15" x14ac:dyDescent="0.25">
      <c r="A481">
        <v>0.46488845484786523</v>
      </c>
    </row>
    <row r="482" spans="1:1" ht="15" x14ac:dyDescent="0.25">
      <c r="A482">
        <v>0.69667653431806387</v>
      </c>
    </row>
    <row r="483" spans="1:1" ht="15" x14ac:dyDescent="0.25">
      <c r="A483">
        <v>0.98748741111484117</v>
      </c>
    </row>
    <row r="484" spans="1:1" ht="15" x14ac:dyDescent="0.25">
      <c r="A484">
        <v>5.0721762749107335E-2</v>
      </c>
    </row>
    <row r="485" spans="1:1" ht="15" x14ac:dyDescent="0.25">
      <c r="A485">
        <v>0.87191381572923976</v>
      </c>
    </row>
    <row r="486" spans="1:1" ht="15" x14ac:dyDescent="0.25">
      <c r="A486">
        <v>0.4217352824488052</v>
      </c>
    </row>
    <row r="487" spans="1:1" ht="15" x14ac:dyDescent="0.25">
      <c r="A487">
        <v>9.3020416882839449E-2</v>
      </c>
    </row>
    <row r="488" spans="1:1" ht="15" x14ac:dyDescent="0.25">
      <c r="A488">
        <v>0.53431806390575887</v>
      </c>
    </row>
    <row r="489" spans="1:1" ht="15" x14ac:dyDescent="0.25">
      <c r="A489">
        <v>9.2440565202795491E-2</v>
      </c>
    </row>
    <row r="490" spans="1:1" ht="15" x14ac:dyDescent="0.25">
      <c r="A490">
        <v>0.52955717642750333</v>
      </c>
    </row>
    <row r="491" spans="1:1" ht="15" x14ac:dyDescent="0.25">
      <c r="A491">
        <v>0.11175878170110172</v>
      </c>
    </row>
    <row r="492" spans="1:1" ht="15" x14ac:dyDescent="0.25">
      <c r="A492">
        <v>0.50041199987792595</v>
      </c>
    </row>
    <row r="493" spans="1:1" ht="15" x14ac:dyDescent="0.25">
      <c r="A493">
        <v>0.98083437604907375</v>
      </c>
    </row>
    <row r="494" spans="1:1" ht="15" x14ac:dyDescent="0.25">
      <c r="A494">
        <v>0.9439069795831172</v>
      </c>
    </row>
    <row r="495" spans="1:1" ht="15" x14ac:dyDescent="0.25">
      <c r="A495">
        <v>0.31189916684469132</v>
      </c>
    </row>
    <row r="496" spans="1:1" ht="15" x14ac:dyDescent="0.25">
      <c r="A496">
        <v>0.52562028870509969</v>
      </c>
    </row>
    <row r="497" spans="1:1" ht="15" x14ac:dyDescent="0.25">
      <c r="A497">
        <v>0.16321298867763298</v>
      </c>
    </row>
    <row r="498" spans="1:1" ht="15" x14ac:dyDescent="0.25">
      <c r="A498">
        <v>0.21845149082918791</v>
      </c>
    </row>
    <row r="499" spans="1:1" ht="15" x14ac:dyDescent="0.25">
      <c r="A499">
        <v>0.2359691152684103</v>
      </c>
    </row>
    <row r="500" spans="1:1" ht="15" x14ac:dyDescent="0.25">
      <c r="A500">
        <v>0.87145603808709982</v>
      </c>
    </row>
    <row r="501" spans="1:1" ht="15" x14ac:dyDescent="0.25">
      <c r="A501">
        <v>0.68758201849421674</v>
      </c>
    </row>
    <row r="502" spans="1:1" ht="15" x14ac:dyDescent="0.25">
      <c r="A502">
        <v>0.21176793725394452</v>
      </c>
    </row>
    <row r="503" spans="1:1" ht="15" x14ac:dyDescent="0.25">
      <c r="A503">
        <v>0.80108035523545029</v>
      </c>
    </row>
    <row r="504" spans="1:1" ht="15" x14ac:dyDescent="0.25">
      <c r="A504">
        <v>0.8087099826044496</v>
      </c>
    </row>
    <row r="505" spans="1:1" ht="15" x14ac:dyDescent="0.25">
      <c r="A505">
        <v>0.17563402203436385</v>
      </c>
    </row>
    <row r="506" spans="1:1" ht="15" x14ac:dyDescent="0.25">
      <c r="A506">
        <v>0.25629444257942441</v>
      </c>
    </row>
    <row r="507" spans="1:1" ht="15" x14ac:dyDescent="0.25">
      <c r="A507">
        <v>0.91656239509262372</v>
      </c>
    </row>
    <row r="508" spans="1:1" ht="15" x14ac:dyDescent="0.25">
      <c r="A508">
        <v>0.38895840327158421</v>
      </c>
    </row>
    <row r="509" spans="1:1" ht="15" x14ac:dyDescent="0.25">
      <c r="A509">
        <v>0.63322855311746573</v>
      </c>
    </row>
    <row r="510" spans="1:1" ht="15" x14ac:dyDescent="0.25">
      <c r="A510">
        <v>0.35282448805200356</v>
      </c>
    </row>
    <row r="511" spans="1:1" ht="15" x14ac:dyDescent="0.25">
      <c r="A511">
        <v>2.5727103488265634E-2</v>
      </c>
    </row>
    <row r="512" spans="1:1" ht="15" x14ac:dyDescent="0.25">
      <c r="A512">
        <v>0.44489883114108708</v>
      </c>
    </row>
    <row r="513" spans="1:1" ht="15" x14ac:dyDescent="0.25">
      <c r="A513">
        <v>0.57463301492355112</v>
      </c>
    </row>
    <row r="514" spans="1:1" ht="15" x14ac:dyDescent="0.25">
      <c r="A514">
        <v>0.42170476393932921</v>
      </c>
    </row>
    <row r="515" spans="1:1" ht="15" x14ac:dyDescent="0.25">
      <c r="A515">
        <v>0.47761467329935609</v>
      </c>
    </row>
    <row r="516" spans="1:1" ht="15" x14ac:dyDescent="0.25">
      <c r="A516">
        <v>9.9948118533890809E-2</v>
      </c>
    </row>
    <row r="517" spans="1:1" ht="15" x14ac:dyDescent="0.25">
      <c r="A517">
        <v>0.6182134464552751</v>
      </c>
    </row>
    <row r="518" spans="1:1" ht="15" x14ac:dyDescent="0.25">
      <c r="A518">
        <v>0.14166692098757896</v>
      </c>
    </row>
    <row r="519" spans="1:1" ht="15" x14ac:dyDescent="0.25">
      <c r="A519">
        <v>0.13486129337443159</v>
      </c>
    </row>
    <row r="520" spans="1:1" ht="15" x14ac:dyDescent="0.25">
      <c r="A520">
        <v>0.56941434980315564</v>
      </c>
    </row>
    <row r="521" spans="1:1" ht="15" x14ac:dyDescent="0.25">
      <c r="A521">
        <v>0.20847193823053681</v>
      </c>
    </row>
    <row r="522" spans="1:1" ht="15" x14ac:dyDescent="0.25">
      <c r="A522">
        <v>0.40806299020355846</v>
      </c>
    </row>
    <row r="523" spans="1:1" ht="15" x14ac:dyDescent="0.25">
      <c r="A523">
        <v>0.12439344462416456</v>
      </c>
    </row>
    <row r="524" spans="1:1" ht="15" x14ac:dyDescent="0.25">
      <c r="A524">
        <v>0.53346354564043097</v>
      </c>
    </row>
    <row r="525" spans="1:1" ht="15" x14ac:dyDescent="0.25">
      <c r="A525">
        <v>0.62175359355449078</v>
      </c>
    </row>
    <row r="526" spans="1:1" ht="15" x14ac:dyDescent="0.25">
      <c r="A526">
        <v>0.94137394329660939</v>
      </c>
    </row>
    <row r="527" spans="1:1" ht="15" x14ac:dyDescent="0.25">
      <c r="A527">
        <v>0.1369060335093234</v>
      </c>
    </row>
    <row r="528" spans="1:1" ht="15" x14ac:dyDescent="0.25">
      <c r="A528">
        <v>0.86397900326548049</v>
      </c>
    </row>
    <row r="529" spans="1:1" ht="15" x14ac:dyDescent="0.25">
      <c r="A529">
        <v>0.91100802636799216</v>
      </c>
    </row>
    <row r="530" spans="1:1" ht="15" x14ac:dyDescent="0.25">
      <c r="A530">
        <v>7.7242347483748891E-2</v>
      </c>
    </row>
    <row r="531" spans="1:1" ht="15" x14ac:dyDescent="0.25">
      <c r="A531">
        <v>0.18131046479689933</v>
      </c>
    </row>
    <row r="532" spans="1:1" ht="15" x14ac:dyDescent="0.25">
      <c r="A532">
        <v>0.98580889309366126</v>
      </c>
    </row>
    <row r="533" spans="1:1" ht="15" x14ac:dyDescent="0.25">
      <c r="A533">
        <v>0.94647053437910089</v>
      </c>
    </row>
    <row r="534" spans="1:1" ht="15" x14ac:dyDescent="0.25">
      <c r="A534">
        <v>0.26981414227729117</v>
      </c>
    </row>
    <row r="535" spans="1:1" ht="15" x14ac:dyDescent="0.25">
      <c r="A535">
        <v>0.20059816278572953</v>
      </c>
    </row>
    <row r="536" spans="1:1" ht="15" x14ac:dyDescent="0.25">
      <c r="A536">
        <v>0.65440839869380785</v>
      </c>
    </row>
    <row r="537" spans="1:1" ht="15" x14ac:dyDescent="0.25">
      <c r="A537">
        <v>0.20844141972106081</v>
      </c>
    </row>
    <row r="538" spans="1:1" ht="15" x14ac:dyDescent="0.25">
      <c r="A538">
        <v>0.33866389965514082</v>
      </c>
    </row>
    <row r="539" spans="1:1" ht="15" x14ac:dyDescent="0.25">
      <c r="A539">
        <v>0.45530564287240211</v>
      </c>
    </row>
    <row r="540" spans="1:1" ht="15" x14ac:dyDescent="0.25">
      <c r="A540">
        <v>0.43055513168736836</v>
      </c>
    </row>
    <row r="541" spans="1:1" ht="15" x14ac:dyDescent="0.25">
      <c r="A541">
        <v>0.48783837397381513</v>
      </c>
    </row>
    <row r="542" spans="1:1" ht="15" x14ac:dyDescent="0.25">
      <c r="A542">
        <v>0.99145481734672081</v>
      </c>
    </row>
    <row r="543" spans="1:1" ht="15" x14ac:dyDescent="0.25">
      <c r="A543">
        <v>8.0690939054536573E-2</v>
      </c>
    </row>
    <row r="544" spans="1:1" ht="15" x14ac:dyDescent="0.25">
      <c r="A544">
        <v>0.63344218268379771</v>
      </c>
    </row>
    <row r="545" spans="1:1" ht="15" x14ac:dyDescent="0.25">
      <c r="A545">
        <v>0.15164647358623004</v>
      </c>
    </row>
    <row r="546" spans="1:1" ht="15" x14ac:dyDescent="0.25">
      <c r="A546">
        <v>0.65309610278633989</v>
      </c>
    </row>
    <row r="547" spans="1:1" ht="15" x14ac:dyDescent="0.25">
      <c r="A547">
        <v>0.72417371135593733</v>
      </c>
    </row>
    <row r="548" spans="1:1" ht="15" x14ac:dyDescent="0.25">
      <c r="A548">
        <v>5.3895687734611043E-2</v>
      </c>
    </row>
    <row r="549" spans="1:1" ht="15" x14ac:dyDescent="0.25">
      <c r="A549">
        <v>0.12878810998870815</v>
      </c>
    </row>
    <row r="550" spans="1:1" ht="15" x14ac:dyDescent="0.25">
      <c r="A550">
        <v>0.13312173833429974</v>
      </c>
    </row>
    <row r="551" spans="1:1" ht="15" x14ac:dyDescent="0.25">
      <c r="A551">
        <v>0.66884365367595444</v>
      </c>
    </row>
    <row r="552" spans="1:1" ht="15" x14ac:dyDescent="0.25">
      <c r="A552">
        <v>0.20822779015472884</v>
      </c>
    </row>
    <row r="553" spans="1:1" ht="15" x14ac:dyDescent="0.25">
      <c r="A553">
        <v>0.27307962279122289</v>
      </c>
    </row>
    <row r="554" spans="1:1" ht="15" x14ac:dyDescent="0.25">
      <c r="A554">
        <v>0.16162602618488114</v>
      </c>
    </row>
    <row r="555" spans="1:1" ht="15" x14ac:dyDescent="0.25">
      <c r="A555">
        <v>0.34977263710440382</v>
      </c>
    </row>
    <row r="556" spans="1:1" ht="15" x14ac:dyDescent="0.25">
      <c r="A556">
        <v>0.41468550675984983</v>
      </c>
    </row>
    <row r="557" spans="1:1" ht="15" x14ac:dyDescent="0.25">
      <c r="A557">
        <v>0.25922421948912017</v>
      </c>
    </row>
    <row r="558" spans="1:1" ht="15" x14ac:dyDescent="0.25">
      <c r="A558">
        <v>0.32609027375103</v>
      </c>
    </row>
    <row r="559" spans="1:1" ht="15" x14ac:dyDescent="0.25">
      <c r="A559">
        <v>0.6692098757896664</v>
      </c>
    </row>
    <row r="560" spans="1:1" ht="15" x14ac:dyDescent="0.25">
      <c r="A560">
        <v>0.47309793389690846</v>
      </c>
    </row>
    <row r="561" spans="1:1" ht="15" x14ac:dyDescent="0.25">
      <c r="A561">
        <v>0.66866054261909846</v>
      </c>
    </row>
    <row r="562" spans="1:1" ht="15" x14ac:dyDescent="0.25">
      <c r="A562">
        <v>0.43958861049226355</v>
      </c>
    </row>
    <row r="563" spans="1:1" ht="15" x14ac:dyDescent="0.25">
      <c r="A563">
        <v>1.6449476607562488E-2</v>
      </c>
    </row>
    <row r="564" spans="1:1" ht="15" x14ac:dyDescent="0.25">
      <c r="A564">
        <v>0.22959074678792687</v>
      </c>
    </row>
    <row r="565" spans="1:1" ht="15" x14ac:dyDescent="0.25">
      <c r="A565">
        <v>0.4205145420697653</v>
      </c>
    </row>
    <row r="566" spans="1:1" ht="15" x14ac:dyDescent="0.25">
      <c r="A566">
        <v>0.87200537125766775</v>
      </c>
    </row>
    <row r="567" spans="1:1" ht="15" x14ac:dyDescent="0.25">
      <c r="A567">
        <v>0.39951780755027927</v>
      </c>
    </row>
    <row r="568" spans="1:1" ht="15" x14ac:dyDescent="0.25">
      <c r="A568">
        <v>0.80712302011169779</v>
      </c>
    </row>
    <row r="569" spans="1:1" ht="15" x14ac:dyDescent="0.25">
      <c r="A569">
        <v>0.20502334665974914</v>
      </c>
    </row>
    <row r="570" spans="1:1" ht="15" x14ac:dyDescent="0.25">
      <c r="A570">
        <v>0.87533188879055146</v>
      </c>
    </row>
    <row r="571" spans="1:1" ht="15" x14ac:dyDescent="0.25">
      <c r="A571">
        <v>0.59413434247871333</v>
      </c>
    </row>
    <row r="572" spans="1:1" ht="15" x14ac:dyDescent="0.25">
      <c r="A572">
        <v>0.78331858272041999</v>
      </c>
    </row>
    <row r="573" spans="1:1" ht="15" x14ac:dyDescent="0.25">
      <c r="A573">
        <v>7.4983977782525107E-2</v>
      </c>
    </row>
    <row r="574" spans="1:1" ht="15" x14ac:dyDescent="0.25">
      <c r="A574">
        <v>0.43440046388134401</v>
      </c>
    </row>
    <row r="575" spans="1:1" ht="15" x14ac:dyDescent="0.25">
      <c r="A575">
        <v>0.71660512100589002</v>
      </c>
    </row>
    <row r="576" spans="1:1" ht="15" x14ac:dyDescent="0.25">
      <c r="A576">
        <v>9.680471205786309E-2</v>
      </c>
    </row>
    <row r="577" spans="1:1" ht="15" x14ac:dyDescent="0.25">
      <c r="A577">
        <v>0.85152745139927366</v>
      </c>
    </row>
    <row r="578" spans="1:1" ht="15" x14ac:dyDescent="0.25">
      <c r="A578">
        <v>0.67427594836268201</v>
      </c>
    </row>
    <row r="579" spans="1:1" ht="15" x14ac:dyDescent="0.25">
      <c r="A579">
        <v>0.12671285134434035</v>
      </c>
    </row>
    <row r="580" spans="1:1" ht="15" x14ac:dyDescent="0.25">
      <c r="A580">
        <v>0.96362193670461138</v>
      </c>
    </row>
    <row r="581" spans="1:1" ht="15" x14ac:dyDescent="0.25">
      <c r="A581">
        <v>0.50065614795373392</v>
      </c>
    </row>
    <row r="582" spans="1:1" ht="15" x14ac:dyDescent="0.25">
      <c r="A582">
        <v>0.35532700582903531</v>
      </c>
    </row>
    <row r="583" spans="1:1" ht="15" x14ac:dyDescent="0.25">
      <c r="A583">
        <v>6.7171239356669826E-2</v>
      </c>
    </row>
    <row r="584" spans="1:1" ht="15" x14ac:dyDescent="0.25">
      <c r="A584">
        <v>0.58388012329477823</v>
      </c>
    </row>
    <row r="585" spans="1:1" ht="15" x14ac:dyDescent="0.25">
      <c r="A585">
        <v>0.13702810754722738</v>
      </c>
    </row>
    <row r="586" spans="1:1" ht="15" x14ac:dyDescent="0.25">
      <c r="A586">
        <v>0.48777733695486314</v>
      </c>
    </row>
    <row r="587" spans="1:1" ht="15" x14ac:dyDescent="0.25">
      <c r="A587">
        <v>0.94537186803796502</v>
      </c>
    </row>
    <row r="588" spans="1:1" ht="15" x14ac:dyDescent="0.25">
      <c r="A588">
        <v>0.92165898617511521</v>
      </c>
    </row>
    <row r="589" spans="1:1" ht="15" x14ac:dyDescent="0.25">
      <c r="A589">
        <v>0.81051057466353338</v>
      </c>
    </row>
    <row r="590" spans="1:1" ht="15" x14ac:dyDescent="0.25">
      <c r="A590">
        <v>0.59642323068941316</v>
      </c>
    </row>
    <row r="591" spans="1:1" ht="15" x14ac:dyDescent="0.25">
      <c r="A591">
        <v>0.66389965514084293</v>
      </c>
    </row>
    <row r="592" spans="1:1" ht="15" x14ac:dyDescent="0.25">
      <c r="A592">
        <v>0.33765678884243294</v>
      </c>
    </row>
    <row r="593" spans="1:1" ht="15" x14ac:dyDescent="0.25">
      <c r="A593">
        <v>0.73235267189550457</v>
      </c>
    </row>
    <row r="594" spans="1:1" ht="15" x14ac:dyDescent="0.25">
      <c r="A594">
        <v>0.66704306161687066</v>
      </c>
    </row>
    <row r="595" spans="1:1" ht="15" x14ac:dyDescent="0.25">
      <c r="A595">
        <v>0.90667439802240057</v>
      </c>
    </row>
    <row r="596" spans="1:1" ht="15" x14ac:dyDescent="0.25">
      <c r="A596">
        <v>0.35703604235969116</v>
      </c>
    </row>
    <row r="597" spans="1:1" ht="15" x14ac:dyDescent="0.25">
      <c r="A597">
        <v>9.7201452681051057E-2</v>
      </c>
    </row>
    <row r="598" spans="1:1" ht="15" x14ac:dyDescent="0.25">
      <c r="A598">
        <v>0.30558183538315986</v>
      </c>
    </row>
    <row r="599" spans="1:1" ht="15" x14ac:dyDescent="0.25">
      <c r="A599">
        <v>0.78576006347849969</v>
      </c>
    </row>
    <row r="600" spans="1:1" ht="15" x14ac:dyDescent="0.25">
      <c r="A600">
        <v>0.35300759910885954</v>
      </c>
    </row>
    <row r="601" spans="1:1" ht="15" x14ac:dyDescent="0.25">
      <c r="A601">
        <v>0.15689565721610158</v>
      </c>
    </row>
    <row r="602" spans="1:1" ht="15" x14ac:dyDescent="0.25">
      <c r="A602">
        <v>0.14188055055391094</v>
      </c>
    </row>
    <row r="603" spans="1:1" ht="15" x14ac:dyDescent="0.25">
      <c r="A603">
        <v>0.75612659077730648</v>
      </c>
    </row>
    <row r="604" spans="1:1" ht="15" x14ac:dyDescent="0.25">
      <c r="A604">
        <v>0.42793053987243262</v>
      </c>
    </row>
    <row r="605" spans="1:1" ht="15" x14ac:dyDescent="0.25">
      <c r="A605">
        <v>0.70250556962797939</v>
      </c>
    </row>
    <row r="606" spans="1:1" ht="15" x14ac:dyDescent="0.25">
      <c r="A606">
        <v>8.2094790490432456E-3</v>
      </c>
    </row>
    <row r="607" spans="1:1" ht="15" x14ac:dyDescent="0.25">
      <c r="A607">
        <v>0.20413830988494522</v>
      </c>
    </row>
    <row r="608" spans="1:1" ht="15" x14ac:dyDescent="0.25">
      <c r="A608">
        <v>0.27277443769646292</v>
      </c>
    </row>
    <row r="609" spans="1:1" ht="15" x14ac:dyDescent="0.25">
      <c r="A609">
        <v>0.61091952269051175</v>
      </c>
    </row>
    <row r="610" spans="1:1" ht="15" x14ac:dyDescent="0.25">
      <c r="A610">
        <v>0.92495498519852293</v>
      </c>
    </row>
    <row r="611" spans="1:1" ht="15" x14ac:dyDescent="0.25">
      <c r="A611">
        <v>0.61622974333933533</v>
      </c>
    </row>
    <row r="612" spans="1:1" ht="15" x14ac:dyDescent="0.25">
      <c r="A612">
        <v>0.28635517441328168</v>
      </c>
    </row>
    <row r="613" spans="1:1" ht="15" x14ac:dyDescent="0.25">
      <c r="A613">
        <v>0.61192663350321974</v>
      </c>
    </row>
    <row r="614" spans="1:1" ht="15" x14ac:dyDescent="0.25">
      <c r="A614">
        <v>0.42374950407422102</v>
      </c>
    </row>
    <row r="615" spans="1:1" ht="15" x14ac:dyDescent="0.25">
      <c r="A615">
        <v>0.73357341227454453</v>
      </c>
    </row>
    <row r="616" spans="1:1" ht="15" x14ac:dyDescent="0.25">
      <c r="A616">
        <v>0.73561815240943629</v>
      </c>
    </row>
    <row r="617" spans="1:1" ht="15" x14ac:dyDescent="0.25">
      <c r="A617">
        <v>0.93249305703909424</v>
      </c>
    </row>
    <row r="618" spans="1:1" ht="15" x14ac:dyDescent="0.25">
      <c r="A618">
        <v>0.2402417065950499</v>
      </c>
    </row>
    <row r="619" spans="1:1" ht="15" x14ac:dyDescent="0.25">
      <c r="A619">
        <v>0.59984130375072486</v>
      </c>
    </row>
    <row r="620" spans="1:1" ht="15" x14ac:dyDescent="0.25">
      <c r="A620">
        <v>0.23819696646015809</v>
      </c>
    </row>
    <row r="621" spans="1:1" ht="15" x14ac:dyDescent="0.25">
      <c r="A621">
        <v>0.97405926694540235</v>
      </c>
    </row>
    <row r="622" spans="1:1" ht="15" x14ac:dyDescent="0.25">
      <c r="A622">
        <v>0.90691854609820854</v>
      </c>
    </row>
    <row r="623" spans="1:1" ht="15" x14ac:dyDescent="0.25">
      <c r="A623">
        <v>0.90734580523087249</v>
      </c>
    </row>
    <row r="624" spans="1:1" ht="15" x14ac:dyDescent="0.25">
      <c r="A624">
        <v>0.34849085970641192</v>
      </c>
    </row>
    <row r="625" spans="1:1" ht="15" x14ac:dyDescent="0.25">
      <c r="A625">
        <v>0.67949461348307749</v>
      </c>
    </row>
    <row r="626" spans="1:1" ht="15" x14ac:dyDescent="0.25">
      <c r="A626">
        <v>0.27738273262733848</v>
      </c>
    </row>
    <row r="627" spans="1:1" ht="15" x14ac:dyDescent="0.25">
      <c r="A627">
        <v>0.54847865230262149</v>
      </c>
    </row>
    <row r="628" spans="1:1" ht="15" x14ac:dyDescent="0.25">
      <c r="A628">
        <v>0.52845851008636735</v>
      </c>
    </row>
    <row r="629" spans="1:1" ht="15" x14ac:dyDescent="0.25">
      <c r="A629">
        <v>0.74538407544175544</v>
      </c>
    </row>
    <row r="630" spans="1:1" ht="15" x14ac:dyDescent="0.25">
      <c r="A630">
        <v>0.51423688467055273</v>
      </c>
    </row>
    <row r="631" spans="1:1" ht="15" x14ac:dyDescent="0.25">
      <c r="A631">
        <v>0.77846613971373635</v>
      </c>
    </row>
    <row r="632" spans="1:1" ht="15" x14ac:dyDescent="0.25">
      <c r="A632">
        <v>0.28446302682576985</v>
      </c>
    </row>
    <row r="633" spans="1:1" ht="15" x14ac:dyDescent="0.25">
      <c r="A633">
        <v>0.336710715048677</v>
      </c>
    </row>
    <row r="634" spans="1:1" ht="15" x14ac:dyDescent="0.25">
      <c r="A634">
        <v>0.57026886806848354</v>
      </c>
    </row>
    <row r="635" spans="1:1" ht="15" x14ac:dyDescent="0.25">
      <c r="A635">
        <v>0.89559617908261357</v>
      </c>
    </row>
    <row r="636" spans="1:1" ht="15" x14ac:dyDescent="0.25">
      <c r="A636">
        <v>0.75142674031800283</v>
      </c>
    </row>
    <row r="637" spans="1:1" ht="15" x14ac:dyDescent="0.25">
      <c r="A637">
        <v>0.45951719718008971</v>
      </c>
    </row>
    <row r="638" spans="1:1" ht="15" x14ac:dyDescent="0.25">
      <c r="A638">
        <v>0.695547349467452</v>
      </c>
    </row>
    <row r="639" spans="1:1" ht="15" x14ac:dyDescent="0.25">
      <c r="A639">
        <v>0.84539323099459818</v>
      </c>
    </row>
    <row r="640" spans="1:1" ht="15" x14ac:dyDescent="0.25">
      <c r="A640">
        <v>0.50529496139408547</v>
      </c>
    </row>
    <row r="641" spans="1:1" ht="15" x14ac:dyDescent="0.25">
      <c r="A641">
        <v>0.64790795617542041</v>
      </c>
    </row>
    <row r="642" spans="1:1" ht="15" x14ac:dyDescent="0.25">
      <c r="A642">
        <v>1.0071108127079073E-3</v>
      </c>
    </row>
    <row r="643" spans="1:1" ht="15" x14ac:dyDescent="0.25">
      <c r="A643">
        <v>0.6548051393169958</v>
      </c>
    </row>
    <row r="644" spans="1:1" ht="15" x14ac:dyDescent="0.25">
      <c r="A644">
        <v>0.88567766350291455</v>
      </c>
    </row>
    <row r="645" spans="1:1" ht="15" x14ac:dyDescent="0.25">
      <c r="A645">
        <v>0.12198248237556078</v>
      </c>
    </row>
    <row r="646" spans="1:1" ht="15" x14ac:dyDescent="0.25">
      <c r="A646">
        <v>0.61009552293465985</v>
      </c>
    </row>
    <row r="647" spans="1:1" ht="15" x14ac:dyDescent="0.25">
      <c r="A647">
        <v>0.10272530289620654</v>
      </c>
    </row>
    <row r="648" spans="1:1" ht="15" x14ac:dyDescent="0.25">
      <c r="A648">
        <v>0.60899685659352398</v>
      </c>
    </row>
    <row r="649" spans="1:1" ht="15" x14ac:dyDescent="0.25">
      <c r="A649">
        <v>7.2664571062349317E-2</v>
      </c>
    </row>
    <row r="650" spans="1:1" ht="15" x14ac:dyDescent="0.25">
      <c r="A650">
        <v>0.42905972472304454</v>
      </c>
    </row>
    <row r="651" spans="1:1" ht="15" x14ac:dyDescent="0.25">
      <c r="A651">
        <v>0.53318887905514689</v>
      </c>
    </row>
    <row r="652" spans="1:1" ht="15" x14ac:dyDescent="0.25">
      <c r="A652">
        <v>0.95440534684286016</v>
      </c>
    </row>
    <row r="653" spans="1:1" ht="15" x14ac:dyDescent="0.25">
      <c r="A653">
        <v>0.22962126529740287</v>
      </c>
    </row>
    <row r="654" spans="1:1" ht="15" x14ac:dyDescent="0.25">
      <c r="A654">
        <v>6.8269905697805722E-2</v>
      </c>
    </row>
    <row r="655" spans="1:1" ht="15" x14ac:dyDescent="0.25">
      <c r="A655">
        <v>0.21716971343119601</v>
      </c>
    </row>
    <row r="656" spans="1:1" ht="15" x14ac:dyDescent="0.25">
      <c r="A656">
        <v>0.30271309549241615</v>
      </c>
    </row>
    <row r="657" spans="1:1" ht="15" x14ac:dyDescent="0.25">
      <c r="A657">
        <v>0.3686635944700461</v>
      </c>
    </row>
    <row r="658" spans="1:1" ht="15" x14ac:dyDescent="0.25">
      <c r="A658">
        <v>0.9447614978484451</v>
      </c>
    </row>
    <row r="659" spans="1:1" ht="15" x14ac:dyDescent="0.25">
      <c r="A659">
        <v>0.1696829126865444</v>
      </c>
    </row>
    <row r="660" spans="1:1" ht="15" x14ac:dyDescent="0.25">
      <c r="A660">
        <v>0.31055635242774743</v>
      </c>
    </row>
    <row r="661" spans="1:1" ht="15" x14ac:dyDescent="0.25">
      <c r="A661">
        <v>0.91506698812829979</v>
      </c>
    </row>
    <row r="662" spans="1:1" ht="15" x14ac:dyDescent="0.25">
      <c r="A662">
        <v>9.7781304361095001E-2</v>
      </c>
    </row>
    <row r="663" spans="1:1" ht="15" x14ac:dyDescent="0.25">
      <c r="A663">
        <v>0.82811975463118381</v>
      </c>
    </row>
    <row r="664" spans="1:1" ht="15" x14ac:dyDescent="0.25">
      <c r="A664">
        <v>0.50022888882106997</v>
      </c>
    </row>
    <row r="665" spans="1:1" ht="15" x14ac:dyDescent="0.25">
      <c r="A665">
        <v>0.29847102267525255</v>
      </c>
    </row>
    <row r="666" spans="1:1" ht="15" x14ac:dyDescent="0.25">
      <c r="A666">
        <v>0.74855800042725917</v>
      </c>
    </row>
    <row r="667" spans="1:1" ht="15" x14ac:dyDescent="0.25">
      <c r="A667">
        <v>0.49815363017670217</v>
      </c>
    </row>
    <row r="668" spans="1:1" ht="15" x14ac:dyDescent="0.25">
      <c r="A668">
        <v>0.54692220831934568</v>
      </c>
    </row>
    <row r="669" spans="1:1" ht="15" x14ac:dyDescent="0.25">
      <c r="A669">
        <v>0.21637623218482011</v>
      </c>
    </row>
    <row r="670" spans="1:1" ht="15" x14ac:dyDescent="0.25">
      <c r="A670">
        <v>0.13522751548814355</v>
      </c>
    </row>
    <row r="671" spans="1:1" ht="15" x14ac:dyDescent="0.25">
      <c r="A671">
        <v>0.97357097079378641</v>
      </c>
    </row>
    <row r="672" spans="1:1" ht="15" x14ac:dyDescent="0.25">
      <c r="A672">
        <v>4.4587542344431901E-2</v>
      </c>
    </row>
    <row r="673" spans="1:1" ht="15" x14ac:dyDescent="0.25">
      <c r="A673">
        <v>0.46177556688131349</v>
      </c>
    </row>
    <row r="674" spans="1:1" ht="15" x14ac:dyDescent="0.25">
      <c r="A674">
        <v>0.6547746208075198</v>
      </c>
    </row>
    <row r="675" spans="1:1" ht="15" x14ac:dyDescent="0.25">
      <c r="A675">
        <v>0.23587755973998231</v>
      </c>
    </row>
    <row r="676" spans="1:1" ht="15" x14ac:dyDescent="0.25">
      <c r="A676">
        <v>3.1281472212897121E-2</v>
      </c>
    </row>
    <row r="677" spans="1:1" ht="15" x14ac:dyDescent="0.25">
      <c r="A677">
        <v>0.47160252693258459</v>
      </c>
    </row>
    <row r="678" spans="1:1" ht="15" x14ac:dyDescent="0.25">
      <c r="A678">
        <v>0.84237189855647454</v>
      </c>
    </row>
    <row r="679" spans="1:1" ht="15" x14ac:dyDescent="0.25">
      <c r="A679">
        <v>0.64079714346751304</v>
      </c>
    </row>
    <row r="680" spans="1:1" ht="15" x14ac:dyDescent="0.25">
      <c r="A680">
        <v>5.5848872341074864E-2</v>
      </c>
    </row>
    <row r="681" spans="1:1" ht="15" x14ac:dyDescent="0.25">
      <c r="A681">
        <v>0.25226599932859278</v>
      </c>
    </row>
    <row r="682" spans="1:1" ht="15" x14ac:dyDescent="0.25">
      <c r="A682">
        <v>0.22043519394512773</v>
      </c>
    </row>
    <row r="683" spans="1:1" ht="15" x14ac:dyDescent="0.25">
      <c r="A683">
        <v>0.49668874172185429</v>
      </c>
    </row>
    <row r="684" spans="1:1" ht="15" x14ac:dyDescent="0.25">
      <c r="A684">
        <v>6.6621906186101865E-2</v>
      </c>
    </row>
    <row r="685" spans="1:1" ht="15" x14ac:dyDescent="0.25">
      <c r="A685">
        <v>0.83819086275826293</v>
      </c>
    </row>
    <row r="686" spans="1:1" ht="15" x14ac:dyDescent="0.25">
      <c r="A686">
        <v>0.5475936155278176</v>
      </c>
    </row>
    <row r="687" spans="1:1" ht="15" x14ac:dyDescent="0.25">
      <c r="A687">
        <v>0.44227423932615129</v>
      </c>
    </row>
    <row r="688" spans="1:1" ht="15" x14ac:dyDescent="0.25">
      <c r="A688">
        <v>0.90374462111270482</v>
      </c>
    </row>
    <row r="689" spans="1:1" ht="15" x14ac:dyDescent="0.25">
      <c r="A689">
        <v>0.93981749931333358</v>
      </c>
    </row>
    <row r="690" spans="1:1" ht="15" x14ac:dyDescent="0.25">
      <c r="A690">
        <v>0.49946592608417006</v>
      </c>
    </row>
    <row r="691" spans="1:1" ht="15" x14ac:dyDescent="0.25">
      <c r="A691">
        <v>0.52931302835169536</v>
      </c>
    </row>
    <row r="692" spans="1:1" ht="15" x14ac:dyDescent="0.25">
      <c r="A692">
        <v>0.67625965147862177</v>
      </c>
    </row>
    <row r="693" spans="1:1" ht="15" x14ac:dyDescent="0.25">
      <c r="A693">
        <v>0.93755912961210974</v>
      </c>
    </row>
    <row r="694" spans="1:1" ht="15" x14ac:dyDescent="0.25">
      <c r="A694">
        <v>0.31235694448683127</v>
      </c>
    </row>
    <row r="695" spans="1:1" ht="15" x14ac:dyDescent="0.25">
      <c r="A695">
        <v>0.41639454329050568</v>
      </c>
    </row>
    <row r="696" spans="1:1" ht="15" x14ac:dyDescent="0.25">
      <c r="A696">
        <v>0.80520035401470991</v>
      </c>
    </row>
    <row r="697" spans="1:1" ht="15" x14ac:dyDescent="0.25">
      <c r="A697">
        <v>0.87737662892544332</v>
      </c>
    </row>
    <row r="698" spans="1:1" ht="15" x14ac:dyDescent="0.25">
      <c r="A698">
        <v>0.42118594927823727</v>
      </c>
    </row>
    <row r="699" spans="1:1" ht="15" x14ac:dyDescent="0.25">
      <c r="A699">
        <v>0.58067567979979862</v>
      </c>
    </row>
    <row r="700" spans="1:1" ht="15" x14ac:dyDescent="0.25">
      <c r="A700">
        <v>1.3977477340006714E-2</v>
      </c>
    </row>
    <row r="701" spans="1:1" ht="15" x14ac:dyDescent="0.25">
      <c r="A701">
        <v>0.62471388897366253</v>
      </c>
    </row>
    <row r="702" spans="1:1" ht="15" x14ac:dyDescent="0.25">
      <c r="A702">
        <v>0.62251655629139069</v>
      </c>
    </row>
    <row r="703" spans="1:1" ht="15" x14ac:dyDescent="0.25">
      <c r="A703">
        <v>0.95315408795434431</v>
      </c>
    </row>
    <row r="704" spans="1:1" ht="15" x14ac:dyDescent="0.25">
      <c r="A704">
        <v>4.7181615649891658E-2</v>
      </c>
    </row>
    <row r="705" spans="1:1" ht="15" x14ac:dyDescent="0.25">
      <c r="A705">
        <v>0.83300271614734334</v>
      </c>
    </row>
    <row r="706" spans="1:1" ht="15" x14ac:dyDescent="0.25">
      <c r="A706">
        <v>0.79457991271706285</v>
      </c>
    </row>
    <row r="707" spans="1:1" ht="15" x14ac:dyDescent="0.25">
      <c r="A707">
        <v>0.88412121951963862</v>
      </c>
    </row>
    <row r="708" spans="1:1" ht="15" x14ac:dyDescent="0.25">
      <c r="A708">
        <v>0.39927365947447124</v>
      </c>
    </row>
    <row r="709" spans="1:1" ht="15" x14ac:dyDescent="0.25">
      <c r="A709">
        <v>0.8826563310647908</v>
      </c>
    </row>
    <row r="710" spans="1:1" ht="15" x14ac:dyDescent="0.25">
      <c r="A710">
        <v>0.70479445783867911</v>
      </c>
    </row>
    <row r="711" spans="1:1" ht="15" x14ac:dyDescent="0.25">
      <c r="A711">
        <v>0.84502700888088622</v>
      </c>
    </row>
    <row r="712" spans="1:1" ht="15" x14ac:dyDescent="0.25">
      <c r="A712">
        <v>0.8342539750358593</v>
      </c>
    </row>
    <row r="713" spans="1:1" ht="15" x14ac:dyDescent="0.25">
      <c r="A713">
        <v>0.44706564531388288</v>
      </c>
    </row>
    <row r="714" spans="1:1" ht="15" x14ac:dyDescent="0.25">
      <c r="A714">
        <v>0.93697927793206581</v>
      </c>
    </row>
    <row r="715" spans="1:1" ht="15" x14ac:dyDescent="0.25">
      <c r="A715">
        <v>0.77272865993224893</v>
      </c>
    </row>
    <row r="716" spans="1:1" ht="15" x14ac:dyDescent="0.25">
      <c r="A716">
        <v>0.97744682149723805</v>
      </c>
    </row>
    <row r="717" spans="1:1" ht="15" x14ac:dyDescent="0.25">
      <c r="A717">
        <v>0.84197515793328659</v>
      </c>
    </row>
    <row r="718" spans="1:1" ht="15" x14ac:dyDescent="0.25">
      <c r="A718">
        <v>0.46818445387127294</v>
      </c>
    </row>
    <row r="719" spans="1:1" ht="15" x14ac:dyDescent="0.25">
      <c r="A719">
        <v>0.46278267769402143</v>
      </c>
    </row>
    <row r="720" spans="1:1" ht="15" x14ac:dyDescent="0.25">
      <c r="A720">
        <v>0.76113162633136999</v>
      </c>
    </row>
    <row r="721" spans="1:1" ht="15" x14ac:dyDescent="0.25">
      <c r="A721">
        <v>0.81408124027222506</v>
      </c>
    </row>
    <row r="722" spans="1:1" ht="15" x14ac:dyDescent="0.25">
      <c r="A722">
        <v>0.92806787316507466</v>
      </c>
    </row>
    <row r="723" spans="1:1" ht="15" x14ac:dyDescent="0.25">
      <c r="A723">
        <v>0.91763054292428359</v>
      </c>
    </row>
    <row r="724" spans="1:1" ht="15" x14ac:dyDescent="0.25">
      <c r="A724">
        <v>4.6388134403515732E-3</v>
      </c>
    </row>
    <row r="725" spans="1:1" ht="15" x14ac:dyDescent="0.25">
      <c r="A725">
        <v>0.92544328135013887</v>
      </c>
    </row>
    <row r="726" spans="1:1" ht="15" x14ac:dyDescent="0.25">
      <c r="A726">
        <v>7.0253608813745538E-2</v>
      </c>
    </row>
    <row r="727" spans="1:1" ht="15" x14ac:dyDescent="0.25">
      <c r="A727">
        <v>5.6215094454786826E-2</v>
      </c>
    </row>
    <row r="728" spans="1:1" ht="15" x14ac:dyDescent="0.25">
      <c r="A728">
        <v>0.91058076723532821</v>
      </c>
    </row>
    <row r="729" spans="1:1" ht="15" x14ac:dyDescent="0.25">
      <c r="A729">
        <v>0.18979461043122653</v>
      </c>
    </row>
    <row r="730" spans="1:1" ht="15" x14ac:dyDescent="0.25">
      <c r="A730">
        <v>0.48875392925809502</v>
      </c>
    </row>
    <row r="731" spans="1:1" ht="15" x14ac:dyDescent="0.25">
      <c r="A731">
        <v>0.69121372112186041</v>
      </c>
    </row>
    <row r="732" spans="1:1" ht="15" x14ac:dyDescent="0.25">
      <c r="A732">
        <v>0.75826288644062623</v>
      </c>
    </row>
    <row r="733" spans="1:1" ht="15" x14ac:dyDescent="0.25">
      <c r="A733">
        <v>0.1173131504257332</v>
      </c>
    </row>
    <row r="734" spans="1:1" ht="15" x14ac:dyDescent="0.25">
      <c r="A734">
        <v>0.108767967772454</v>
      </c>
    </row>
    <row r="735" spans="1:1" ht="15" x14ac:dyDescent="0.25">
      <c r="A735">
        <v>0.17987609485152745</v>
      </c>
    </row>
    <row r="736" spans="1:1" ht="15" x14ac:dyDescent="0.25">
      <c r="A736">
        <v>0.57585375530259097</v>
      </c>
    </row>
    <row r="737" spans="1:1" ht="15" x14ac:dyDescent="0.25">
      <c r="A737">
        <v>0.82338938566240427</v>
      </c>
    </row>
    <row r="738" spans="1:1" ht="15" x14ac:dyDescent="0.25">
      <c r="A738">
        <v>0.48512222663045135</v>
      </c>
    </row>
    <row r="739" spans="1:1" ht="15" x14ac:dyDescent="0.25">
      <c r="A739">
        <v>0.65541550950651573</v>
      </c>
    </row>
    <row r="740" spans="1:1" ht="15" x14ac:dyDescent="0.25">
      <c r="A740">
        <v>7.1901608325449382E-2</v>
      </c>
    </row>
    <row r="741" spans="1:1" ht="15" x14ac:dyDescent="0.25">
      <c r="A741">
        <v>0.35828730124820701</v>
      </c>
    </row>
    <row r="742" spans="1:1" ht="15" x14ac:dyDescent="0.25">
      <c r="A742">
        <v>0.43784905545213171</v>
      </c>
    </row>
    <row r="743" spans="1:1" ht="15" x14ac:dyDescent="0.25">
      <c r="A743">
        <v>0.24399548326059756</v>
      </c>
    </row>
    <row r="744" spans="1:1" ht="15" x14ac:dyDescent="0.25">
      <c r="A744">
        <v>0.60844752342295605</v>
      </c>
    </row>
    <row r="745" spans="1:1" ht="15" x14ac:dyDescent="0.25">
      <c r="A745">
        <v>0.9141209143345439</v>
      </c>
    </row>
    <row r="746" spans="1:1" ht="15" x14ac:dyDescent="0.25">
      <c r="A746">
        <v>5.7313760795922729E-2</v>
      </c>
    </row>
    <row r="747" spans="1:1" ht="15" x14ac:dyDescent="0.25">
      <c r="A747">
        <v>0.17508468886379588</v>
      </c>
    </row>
    <row r="748" spans="1:1" ht="15" x14ac:dyDescent="0.25">
      <c r="A748">
        <v>0.49568163090914641</v>
      </c>
    </row>
    <row r="749" spans="1:1" ht="15" x14ac:dyDescent="0.25">
      <c r="A749">
        <v>6.4485610522782066E-2</v>
      </c>
    </row>
    <row r="750" spans="1:1" ht="15" x14ac:dyDescent="0.25">
      <c r="A750">
        <v>0.60954618976409192</v>
      </c>
    </row>
    <row r="751" spans="1:1" ht="15" x14ac:dyDescent="0.25">
      <c r="A751">
        <v>0.19003875850703453</v>
      </c>
    </row>
    <row r="752" spans="1:1" ht="15" x14ac:dyDescent="0.25">
      <c r="A752">
        <v>0.39075899533066805</v>
      </c>
    </row>
    <row r="753" spans="1:1" ht="15" x14ac:dyDescent="0.25">
      <c r="A753">
        <v>0.69380779442732021</v>
      </c>
    </row>
    <row r="754" spans="1:1" ht="15" x14ac:dyDescent="0.25">
      <c r="A754">
        <v>0.37333292641987365</v>
      </c>
    </row>
    <row r="755" spans="1:1" ht="15" x14ac:dyDescent="0.25">
      <c r="A755">
        <v>0.15616321298867764</v>
      </c>
    </row>
    <row r="756" spans="1:1" ht="15" x14ac:dyDescent="0.25">
      <c r="A756">
        <v>8.1148716696676532E-2</v>
      </c>
    </row>
    <row r="757" spans="1:1" ht="15" x14ac:dyDescent="0.25">
      <c r="A757">
        <v>0.77245399334696496</v>
      </c>
    </row>
    <row r="758" spans="1:1" ht="15" x14ac:dyDescent="0.25">
      <c r="A758">
        <v>0.94018372142704554</v>
      </c>
    </row>
    <row r="759" spans="1:1" ht="15" x14ac:dyDescent="0.25">
      <c r="A759">
        <v>0.29178746910000913</v>
      </c>
    </row>
    <row r="760" spans="1:1" ht="15" x14ac:dyDescent="0.25">
      <c r="A760">
        <v>0.43375957518234809</v>
      </c>
    </row>
    <row r="761" spans="1:1" ht="15" x14ac:dyDescent="0.25">
      <c r="A761">
        <v>0.63356425672170169</v>
      </c>
    </row>
    <row r="762" spans="1:1" ht="15" x14ac:dyDescent="0.25">
      <c r="A762">
        <v>8.1484420300912512E-3</v>
      </c>
    </row>
    <row r="763" spans="1:1" ht="15" x14ac:dyDescent="0.25">
      <c r="A763">
        <v>0.90911587878048039</v>
      </c>
    </row>
    <row r="764" spans="1:1" ht="15" x14ac:dyDescent="0.25">
      <c r="A764">
        <v>0.79174169133579519</v>
      </c>
    </row>
    <row r="765" spans="1:1" ht="15" x14ac:dyDescent="0.25">
      <c r="A765">
        <v>0.90841395306253248</v>
      </c>
    </row>
    <row r="766" spans="1:1" ht="15" x14ac:dyDescent="0.25">
      <c r="A766">
        <v>0.20169682912686546</v>
      </c>
    </row>
    <row r="767" spans="1:1" ht="15" x14ac:dyDescent="0.25">
      <c r="A767">
        <v>8.0813013092440572E-2</v>
      </c>
    </row>
    <row r="768" spans="1:1" ht="15" x14ac:dyDescent="0.25">
      <c r="A768">
        <v>0.59953611865596479</v>
      </c>
    </row>
    <row r="769" spans="1:1" ht="15" x14ac:dyDescent="0.25">
      <c r="A769">
        <v>0.77590258491775266</v>
      </c>
    </row>
    <row r="770" spans="1:1" ht="15" x14ac:dyDescent="0.25">
      <c r="A770">
        <v>0.94744712668233289</v>
      </c>
    </row>
    <row r="771" spans="1:1" ht="15" x14ac:dyDescent="0.25">
      <c r="A771">
        <v>0.1369060335093234</v>
      </c>
    </row>
    <row r="772" spans="1:1" ht="15" x14ac:dyDescent="0.25">
      <c r="A772">
        <v>0.53770561845759457</v>
      </c>
    </row>
    <row r="773" spans="1:1" ht="15" x14ac:dyDescent="0.25">
      <c r="A773">
        <v>0.68297372356334118</v>
      </c>
    </row>
    <row r="774" spans="1:1" ht="15" x14ac:dyDescent="0.25">
      <c r="A774">
        <v>0.93829157383953365</v>
      </c>
    </row>
    <row r="775" spans="1:1" ht="15" x14ac:dyDescent="0.25">
      <c r="A775">
        <v>0.39753410443433945</v>
      </c>
    </row>
    <row r="776" spans="1:1" ht="15" x14ac:dyDescent="0.25">
      <c r="A776">
        <v>0.94906460768456069</v>
      </c>
    </row>
    <row r="777" spans="1:1" ht="15" x14ac:dyDescent="0.25">
      <c r="A777">
        <v>0.19177831354716635</v>
      </c>
    </row>
    <row r="778" spans="1:1" ht="15" x14ac:dyDescent="0.25">
      <c r="A778">
        <v>0.21652882473220009</v>
      </c>
    </row>
    <row r="779" spans="1:1" ht="15" x14ac:dyDescent="0.25">
      <c r="A779">
        <v>4.8677022614215519E-2</v>
      </c>
    </row>
    <row r="780" spans="1:1" ht="15" x14ac:dyDescent="0.25">
      <c r="A780">
        <v>0.83645130771813103</v>
      </c>
    </row>
    <row r="781" spans="1:1" ht="15" x14ac:dyDescent="0.25">
      <c r="A781">
        <v>0.11044648579363384</v>
      </c>
    </row>
    <row r="782" spans="1:1" ht="15" x14ac:dyDescent="0.25">
      <c r="A782">
        <v>0.40748313852351453</v>
      </c>
    </row>
    <row r="783" spans="1:1" ht="15" x14ac:dyDescent="0.25">
      <c r="A783">
        <v>0.56672872096926785</v>
      </c>
    </row>
    <row r="784" spans="1:1" ht="15" x14ac:dyDescent="0.25">
      <c r="A784">
        <v>0.21478926969206824</v>
      </c>
    </row>
    <row r="785" spans="1:1" ht="15" x14ac:dyDescent="0.25">
      <c r="A785">
        <v>0.56270027771843623</v>
      </c>
    </row>
    <row r="786" spans="1:1" ht="15" x14ac:dyDescent="0.25">
      <c r="A786">
        <v>0.13443403424176764</v>
      </c>
    </row>
    <row r="787" spans="1:1" ht="15" x14ac:dyDescent="0.25">
      <c r="A787">
        <v>0.597766045106357</v>
      </c>
    </row>
    <row r="788" spans="1:1" ht="15" x14ac:dyDescent="0.25">
      <c r="A788">
        <v>9.7415082247383045E-2</v>
      </c>
    </row>
    <row r="789" spans="1:1" ht="15" x14ac:dyDescent="0.25">
      <c r="A789">
        <v>0.15366069521164585</v>
      </c>
    </row>
    <row r="790" spans="1:1" ht="15" x14ac:dyDescent="0.25">
      <c r="A790">
        <v>0.14685506759849848</v>
      </c>
    </row>
    <row r="791" spans="1:1" ht="15" x14ac:dyDescent="0.25">
      <c r="A791">
        <v>0.69856868190557575</v>
      </c>
    </row>
    <row r="792" spans="1:1" ht="15" x14ac:dyDescent="0.25">
      <c r="A792">
        <v>0.89846491897335734</v>
      </c>
    </row>
    <row r="793" spans="1:1" ht="15" x14ac:dyDescent="0.25">
      <c r="A793">
        <v>0.88756981109042632</v>
      </c>
    </row>
    <row r="794" spans="1:1" ht="15" x14ac:dyDescent="0.25">
      <c r="A794">
        <v>0.19254127628406628</v>
      </c>
    </row>
    <row r="795" spans="1:1" ht="15" x14ac:dyDescent="0.25">
      <c r="A795">
        <v>0.84499649037141022</v>
      </c>
    </row>
    <row r="796" spans="1:1" ht="15" x14ac:dyDescent="0.25">
      <c r="A796">
        <v>0.53260902737510296</v>
      </c>
    </row>
    <row r="797" spans="1:1" ht="15" x14ac:dyDescent="0.25">
      <c r="A797">
        <v>0.99328592791528059</v>
      </c>
    </row>
    <row r="798" spans="1:1" ht="15" x14ac:dyDescent="0.25">
      <c r="A798">
        <v>0.1651661732840968</v>
      </c>
    </row>
    <row r="799" spans="1:1" ht="15" x14ac:dyDescent="0.25">
      <c r="A799">
        <v>0.1142002624591815</v>
      </c>
    </row>
    <row r="800" spans="1:1" ht="15" x14ac:dyDescent="0.25">
      <c r="A800">
        <v>0.99349955748161256</v>
      </c>
    </row>
    <row r="801" spans="1:1" ht="15" x14ac:dyDescent="0.25">
      <c r="A801">
        <v>0.31485946226386302</v>
      </c>
    </row>
    <row r="802" spans="1:1" ht="15" x14ac:dyDescent="0.25">
      <c r="A802">
        <v>0.5586718344676046</v>
      </c>
    </row>
    <row r="803" spans="1:1" ht="15" x14ac:dyDescent="0.25">
      <c r="A803">
        <v>0.44706564531388288</v>
      </c>
    </row>
    <row r="804" spans="1:1" ht="15" x14ac:dyDescent="0.25">
      <c r="A804">
        <v>0.69145786919766838</v>
      </c>
    </row>
    <row r="805" spans="1:1" ht="15" x14ac:dyDescent="0.25">
      <c r="A805">
        <v>0.42234565263832513</v>
      </c>
    </row>
    <row r="806" spans="1:1" ht="15" x14ac:dyDescent="0.25">
      <c r="A806">
        <v>0.75905636768700213</v>
      </c>
    </row>
    <row r="807" spans="1:1" ht="15" x14ac:dyDescent="0.25">
      <c r="A807">
        <v>0.89672536393322555</v>
      </c>
    </row>
    <row r="808" spans="1:1" ht="15" x14ac:dyDescent="0.25">
      <c r="A808">
        <v>0.33280434583574936</v>
      </c>
    </row>
    <row r="809" spans="1:1" ht="15" x14ac:dyDescent="0.25">
      <c r="A809">
        <v>9.9642933439130832E-2</v>
      </c>
    </row>
    <row r="810" spans="1:1" ht="15" x14ac:dyDescent="0.25">
      <c r="A810">
        <v>0.20590838343455306</v>
      </c>
    </row>
    <row r="811" spans="1:1" ht="15" x14ac:dyDescent="0.25">
      <c r="A811">
        <v>0.26981414227729117</v>
      </c>
    </row>
    <row r="812" spans="1:1" ht="15" x14ac:dyDescent="0.25">
      <c r="A812">
        <v>0.62105166783654286</v>
      </c>
    </row>
    <row r="813" spans="1:1" ht="15" x14ac:dyDescent="0.25">
      <c r="A813">
        <v>0.36585589159825432</v>
      </c>
    </row>
    <row r="814" spans="1:1" ht="15" x14ac:dyDescent="0.25">
      <c r="A814">
        <v>0.9540696432386242</v>
      </c>
    </row>
    <row r="815" spans="1:1" ht="15" x14ac:dyDescent="0.25">
      <c r="A815">
        <v>0.56669820245979186</v>
      </c>
    </row>
    <row r="816" spans="1:1" ht="15" x14ac:dyDescent="0.25">
      <c r="A816">
        <v>0.56157109286782436</v>
      </c>
    </row>
    <row r="817" spans="1:1" ht="15" x14ac:dyDescent="0.25">
      <c r="A817">
        <v>0.68562883388775298</v>
      </c>
    </row>
    <row r="818" spans="1:1" ht="15" x14ac:dyDescent="0.25">
      <c r="A818">
        <v>0.66664632099368271</v>
      </c>
    </row>
    <row r="819" spans="1:1" ht="15" x14ac:dyDescent="0.25">
      <c r="A819">
        <v>0.12637714774010436</v>
      </c>
    </row>
    <row r="820" spans="1:1" ht="15" x14ac:dyDescent="0.25">
      <c r="A820">
        <v>0.6513870662556841</v>
      </c>
    </row>
    <row r="821" spans="1:1" ht="15" x14ac:dyDescent="0.25">
      <c r="A821">
        <v>0.52543717764824371</v>
      </c>
    </row>
    <row r="822" spans="1:1" ht="15" x14ac:dyDescent="0.25">
      <c r="A822">
        <v>0.57148960844752339</v>
      </c>
    </row>
    <row r="823" spans="1:1" ht="15" x14ac:dyDescent="0.25">
      <c r="A823">
        <v>0.88323618274483473</v>
      </c>
    </row>
    <row r="824" spans="1:1" ht="15" x14ac:dyDescent="0.25">
      <c r="A824">
        <v>0.73461104159672841</v>
      </c>
    </row>
    <row r="825" spans="1:1" ht="15" x14ac:dyDescent="0.25">
      <c r="A825">
        <v>0.91201513718070004</v>
      </c>
    </row>
    <row r="826" spans="1:1" ht="15" x14ac:dyDescent="0.25">
      <c r="A826">
        <v>0.41126743369853819</v>
      </c>
    </row>
    <row r="827" spans="1:1" ht="15" x14ac:dyDescent="0.25">
      <c r="A827">
        <v>0.64070558793908505</v>
      </c>
    </row>
    <row r="828" spans="1:1" ht="15" x14ac:dyDescent="0.25">
      <c r="A828">
        <v>0.80538346507156588</v>
      </c>
    </row>
    <row r="829" spans="1:1" ht="15" x14ac:dyDescent="0.25">
      <c r="A829">
        <v>0.14853358561967833</v>
      </c>
    </row>
    <row r="830" spans="1:1" ht="15" x14ac:dyDescent="0.25">
      <c r="A830">
        <v>0.91943113498336737</v>
      </c>
    </row>
    <row r="831" spans="1:1" ht="15" x14ac:dyDescent="0.25">
      <c r="A831">
        <v>0.7695242164372692</v>
      </c>
    </row>
    <row r="832" spans="1:1" ht="15" x14ac:dyDescent="0.25">
      <c r="A832">
        <v>0.53920102542191839</v>
      </c>
    </row>
    <row r="833" spans="1:1" ht="15" x14ac:dyDescent="0.25">
      <c r="A833">
        <v>0.34577471236304819</v>
      </c>
    </row>
    <row r="834" spans="1:1" ht="15" x14ac:dyDescent="0.25">
      <c r="A834">
        <v>0.85225989562669757</v>
      </c>
    </row>
    <row r="835" spans="1:1" ht="15" x14ac:dyDescent="0.25">
      <c r="A835">
        <v>0.23551133762627033</v>
      </c>
    </row>
    <row r="836" spans="1:1" ht="15" x14ac:dyDescent="0.25">
      <c r="A836">
        <v>0.83416241950743131</v>
      </c>
    </row>
    <row r="837" spans="1:1" ht="15" x14ac:dyDescent="0.25">
      <c r="A837">
        <v>0.92336802270577101</v>
      </c>
    </row>
    <row r="838" spans="1:1" ht="15" x14ac:dyDescent="0.25">
      <c r="A838">
        <v>0.10934781945249794</v>
      </c>
    </row>
    <row r="839" spans="1:1" ht="15" x14ac:dyDescent="0.25">
      <c r="A839">
        <v>0.36381115146336251</v>
      </c>
    </row>
    <row r="840" spans="1:1" ht="15" x14ac:dyDescent="0.25">
      <c r="A840">
        <v>0.14285714285714285</v>
      </c>
    </row>
    <row r="841" spans="1:1" ht="15" x14ac:dyDescent="0.25">
      <c r="A841">
        <v>0.73854792931913205</v>
      </c>
    </row>
    <row r="842" spans="1:1" ht="15" x14ac:dyDescent="0.25">
      <c r="A842">
        <v>0.97296060060426648</v>
      </c>
    </row>
    <row r="843" spans="1:1" ht="15" x14ac:dyDescent="0.25">
      <c r="A843">
        <v>0.24588763084810938</v>
      </c>
    </row>
    <row r="844" spans="1:1" ht="15" x14ac:dyDescent="0.25">
      <c r="A844">
        <v>0.87713248084963535</v>
      </c>
    </row>
    <row r="845" spans="1:1" ht="15" x14ac:dyDescent="0.25">
      <c r="A845">
        <v>0.99798577837458413</v>
      </c>
    </row>
    <row r="846" spans="1:1" ht="15" x14ac:dyDescent="0.25">
      <c r="A846">
        <v>0.99755851924192018</v>
      </c>
    </row>
    <row r="847" spans="1:1" ht="15" x14ac:dyDescent="0.25">
      <c r="A847">
        <v>0.19504379406109806</v>
      </c>
    </row>
    <row r="848" spans="1:1" ht="15" x14ac:dyDescent="0.25">
      <c r="A848">
        <v>0.66570024719992671</v>
      </c>
    </row>
    <row r="849" spans="1:1" ht="15" x14ac:dyDescent="0.25">
      <c r="A849">
        <v>0.60872219000824002</v>
      </c>
    </row>
    <row r="850" spans="1:1" ht="15" x14ac:dyDescent="0.25">
      <c r="A850">
        <v>0.58156071657460251</v>
      </c>
    </row>
    <row r="851" spans="1:1" ht="15" x14ac:dyDescent="0.25">
      <c r="A851">
        <v>0.15735343485824152</v>
      </c>
    </row>
    <row r="852" spans="1:1" ht="15" x14ac:dyDescent="0.25">
      <c r="A852">
        <v>0.74715414899136323</v>
      </c>
    </row>
    <row r="853" spans="1:1" ht="15" x14ac:dyDescent="0.25">
      <c r="A853">
        <v>0.12521744438001647</v>
      </c>
    </row>
    <row r="854" spans="1:1" ht="15" x14ac:dyDescent="0.25">
      <c r="A854">
        <v>0.75136570329905084</v>
      </c>
    </row>
    <row r="855" spans="1:1" ht="15" x14ac:dyDescent="0.25">
      <c r="A855">
        <v>0.48368785668507952</v>
      </c>
    </row>
    <row r="856" spans="1:1" ht="15" x14ac:dyDescent="0.25">
      <c r="A856">
        <v>0.27832880642109442</v>
      </c>
    </row>
    <row r="857" spans="1:1" ht="15" x14ac:dyDescent="0.25">
      <c r="A857">
        <v>0.94836268196661277</v>
      </c>
    </row>
    <row r="858" spans="1:1" ht="15" x14ac:dyDescent="0.25">
      <c r="A858">
        <v>0.19000823999755853</v>
      </c>
    </row>
    <row r="859" spans="1:1" ht="15" x14ac:dyDescent="0.25">
      <c r="A859">
        <v>0.96932889797662281</v>
      </c>
    </row>
    <row r="860" spans="1:1" ht="15" x14ac:dyDescent="0.25">
      <c r="A860">
        <v>0.84072389904477063</v>
      </c>
    </row>
    <row r="861" spans="1:1" ht="15" x14ac:dyDescent="0.25">
      <c r="A861">
        <v>0.93209631641590629</v>
      </c>
    </row>
    <row r="862" spans="1:1" ht="15" x14ac:dyDescent="0.25">
      <c r="A862">
        <v>4.0772728659932249E-2</v>
      </c>
    </row>
    <row r="863" spans="1:1" ht="15" x14ac:dyDescent="0.25">
      <c r="A863">
        <v>0.56752220221564376</v>
      </c>
    </row>
    <row r="864" spans="1:1" ht="15" x14ac:dyDescent="0.25">
      <c r="A864">
        <v>0.92446668904690699</v>
      </c>
    </row>
    <row r="865" spans="1:1" ht="15" x14ac:dyDescent="0.25">
      <c r="A865">
        <v>5.5360576189458909E-2</v>
      </c>
    </row>
    <row r="866" spans="1:1" ht="15" x14ac:dyDescent="0.25">
      <c r="A866">
        <v>0.5178991058076724</v>
      </c>
    </row>
    <row r="867" spans="1:1" ht="15" x14ac:dyDescent="0.25">
      <c r="A867">
        <v>0.68315683462019716</v>
      </c>
    </row>
    <row r="868" spans="1:1" ht="15" x14ac:dyDescent="0.25">
      <c r="A868">
        <v>0.67308572649311804</v>
      </c>
    </row>
    <row r="869" spans="1:1" ht="15" x14ac:dyDescent="0.25">
      <c r="A869">
        <v>0.31415753654591511</v>
      </c>
    </row>
    <row r="870" spans="1:1" ht="15" x14ac:dyDescent="0.25">
      <c r="A870">
        <v>0.85473189489425339</v>
      </c>
    </row>
    <row r="871" spans="1:1" ht="15" x14ac:dyDescent="0.25">
      <c r="A871">
        <v>0.4524369029816584</v>
      </c>
    </row>
    <row r="872" spans="1:1" ht="15" x14ac:dyDescent="0.25">
      <c r="A872">
        <v>0.66844691305276649</v>
      </c>
    </row>
    <row r="873" spans="1:1" ht="15" x14ac:dyDescent="0.25">
      <c r="A873">
        <v>0.49052400280770286</v>
      </c>
    </row>
    <row r="874" spans="1:1" ht="15" x14ac:dyDescent="0.25">
      <c r="A874">
        <v>0.62135685293130283</v>
      </c>
    </row>
    <row r="875" spans="1:1" ht="15" x14ac:dyDescent="0.25">
      <c r="A875">
        <v>0.91564683980834372</v>
      </c>
    </row>
    <row r="876" spans="1:1" ht="15" x14ac:dyDescent="0.25">
      <c r="A876">
        <v>3.8453321939756466E-2</v>
      </c>
    </row>
    <row r="877" spans="1:1" ht="15" x14ac:dyDescent="0.25">
      <c r="A877">
        <v>0.95525986510818817</v>
      </c>
    </row>
    <row r="878" spans="1:1" ht="15" x14ac:dyDescent="0.25">
      <c r="A878">
        <v>0.94250312814722126</v>
      </c>
    </row>
    <row r="879" spans="1:1" ht="15" x14ac:dyDescent="0.25">
      <c r="A879">
        <v>0.48820459608752709</v>
      </c>
    </row>
    <row r="880" spans="1:1" ht="15" x14ac:dyDescent="0.25">
      <c r="A880">
        <v>0.66808069093905453</v>
      </c>
    </row>
    <row r="881" spans="1:1" ht="15" x14ac:dyDescent="0.25">
      <c r="A881">
        <v>0.15933713797418134</v>
      </c>
    </row>
    <row r="882" spans="1:1" ht="15" x14ac:dyDescent="0.25">
      <c r="A882">
        <v>0.64696188238166452</v>
      </c>
    </row>
    <row r="883" spans="1:1" ht="15" x14ac:dyDescent="0.25">
      <c r="A883">
        <v>0.63722647785882136</v>
      </c>
    </row>
    <row r="884" spans="1:1" ht="15" x14ac:dyDescent="0.25">
      <c r="A884">
        <v>0.7951292458876309</v>
      </c>
    </row>
    <row r="885" spans="1:1" ht="15" x14ac:dyDescent="0.25">
      <c r="A885">
        <v>0.9719229712820826</v>
      </c>
    </row>
    <row r="886" spans="1:1" ht="15" x14ac:dyDescent="0.25">
      <c r="A886">
        <v>0.88015381328775899</v>
      </c>
    </row>
    <row r="887" spans="1:1" ht="15" x14ac:dyDescent="0.25">
      <c r="A887">
        <v>0.16916409802545243</v>
      </c>
    </row>
    <row r="888" spans="1:1" ht="15" x14ac:dyDescent="0.25">
      <c r="A888">
        <v>0.772179326761681</v>
      </c>
    </row>
    <row r="889" spans="1:1" ht="15" x14ac:dyDescent="0.25">
      <c r="A889">
        <v>0.51930295724356823</v>
      </c>
    </row>
    <row r="890" spans="1:1" ht="15" x14ac:dyDescent="0.25">
      <c r="A890">
        <v>0.21060823389385663</v>
      </c>
    </row>
    <row r="891" spans="1:1" ht="15" x14ac:dyDescent="0.25">
      <c r="A891">
        <v>3.5187841425824762E-2</v>
      </c>
    </row>
    <row r="892" spans="1:1" ht="15" x14ac:dyDescent="0.25">
      <c r="A892">
        <v>0.27558214056825464</v>
      </c>
    </row>
    <row r="893" spans="1:1" ht="15" x14ac:dyDescent="0.25">
      <c r="A893">
        <v>0.68303476058229318</v>
      </c>
    </row>
    <row r="894" spans="1:1" ht="15" x14ac:dyDescent="0.25">
      <c r="A894">
        <v>0.76198614459669789</v>
      </c>
    </row>
    <row r="895" spans="1:1" ht="15" x14ac:dyDescent="0.25">
      <c r="A895">
        <v>6.0213019196142463E-2</v>
      </c>
    </row>
    <row r="896" spans="1:1" ht="15" x14ac:dyDescent="0.25">
      <c r="A896">
        <v>0.74324777977843559</v>
      </c>
    </row>
    <row r="897" spans="1:1" ht="15" x14ac:dyDescent="0.25">
      <c r="A897">
        <v>0.91174047059541607</v>
      </c>
    </row>
    <row r="898" spans="1:1" ht="15" x14ac:dyDescent="0.25">
      <c r="A898">
        <v>0.40156254768517108</v>
      </c>
    </row>
    <row r="899" spans="1:1" ht="15" x14ac:dyDescent="0.25">
      <c r="A899">
        <v>0.50215155491805785</v>
      </c>
    </row>
    <row r="900" spans="1:1" ht="15" x14ac:dyDescent="0.25">
      <c r="A900">
        <v>0.32175664540543841</v>
      </c>
    </row>
    <row r="901" spans="1:1" ht="15" x14ac:dyDescent="0.25">
      <c r="A901">
        <v>0.50419629505294961</v>
      </c>
    </row>
    <row r="902" spans="1:1" ht="15" x14ac:dyDescent="0.25">
      <c r="A902">
        <v>0.51686147648548841</v>
      </c>
    </row>
    <row r="903" spans="1:1" ht="15" x14ac:dyDescent="0.25">
      <c r="A903">
        <v>0.84740745262001405</v>
      </c>
    </row>
    <row r="904" spans="1:1" ht="15" x14ac:dyDescent="0.25">
      <c r="A904">
        <v>0.10513626514481032</v>
      </c>
    </row>
    <row r="905" spans="1:1" ht="15" x14ac:dyDescent="0.25">
      <c r="A905">
        <v>1.8921475875118259E-2</v>
      </c>
    </row>
    <row r="906" spans="1:1" ht="15" x14ac:dyDescent="0.25">
      <c r="A906">
        <v>0.4111758781701102</v>
      </c>
    </row>
    <row r="907" spans="1:1" ht="15" x14ac:dyDescent="0.25">
      <c r="A907">
        <v>0.74904629657887511</v>
      </c>
    </row>
    <row r="908" spans="1:1" ht="15" x14ac:dyDescent="0.25">
      <c r="A908">
        <v>0.94518875698110905</v>
      </c>
    </row>
    <row r="909" spans="1:1" ht="15" x14ac:dyDescent="0.25">
      <c r="A909">
        <v>0.96740623187963504</v>
      </c>
    </row>
    <row r="910" spans="1:1" ht="15" x14ac:dyDescent="0.25">
      <c r="A910">
        <v>0.84966582232123788</v>
      </c>
    </row>
    <row r="911" spans="1:1" ht="15" x14ac:dyDescent="0.25">
      <c r="A911">
        <v>0.51374858851893679</v>
      </c>
    </row>
    <row r="912" spans="1:1" ht="15" x14ac:dyDescent="0.25">
      <c r="A912">
        <v>0.61580248420667139</v>
      </c>
    </row>
    <row r="913" spans="1:1" ht="15" x14ac:dyDescent="0.25">
      <c r="A913">
        <v>0.44621112704855492</v>
      </c>
    </row>
    <row r="914" spans="1:1" ht="15" x14ac:dyDescent="0.25">
      <c r="A914">
        <v>0.78691976683858755</v>
      </c>
    </row>
    <row r="915" spans="1:1" ht="15" x14ac:dyDescent="0.25">
      <c r="A915">
        <v>4.3702505569627979E-2</v>
      </c>
    </row>
    <row r="916" spans="1:1" ht="15" x14ac:dyDescent="0.25">
      <c r="A916">
        <v>0.61195715201269574</v>
      </c>
    </row>
    <row r="917" spans="1:1" ht="15" x14ac:dyDescent="0.25">
      <c r="A917">
        <v>0.86550492873928042</v>
      </c>
    </row>
    <row r="918" spans="1:1" ht="15" x14ac:dyDescent="0.25">
      <c r="A918">
        <v>0.80764183477278972</v>
      </c>
    </row>
    <row r="919" spans="1:1" ht="15" x14ac:dyDescent="0.25">
      <c r="A919">
        <v>0.64009521774956513</v>
      </c>
    </row>
    <row r="920" spans="1:1" ht="15" x14ac:dyDescent="0.25">
      <c r="A920">
        <v>0.36469618823816646</v>
      </c>
    </row>
    <row r="921" spans="1:1" ht="15" x14ac:dyDescent="0.25">
      <c r="A921">
        <v>0.42881557664723657</v>
      </c>
    </row>
    <row r="922" spans="1:1" ht="15" x14ac:dyDescent="0.25">
      <c r="A922">
        <v>0.31122775963621935</v>
      </c>
    </row>
    <row r="923" spans="1:1" ht="15" x14ac:dyDescent="0.25">
      <c r="A923">
        <v>0.57393108920560321</v>
      </c>
    </row>
    <row r="924" spans="1:1" ht="15" x14ac:dyDescent="0.25">
      <c r="A924">
        <v>0.15320291756950591</v>
      </c>
    </row>
    <row r="925" spans="1:1" ht="15" x14ac:dyDescent="0.25">
      <c r="A925">
        <v>0.52168340098269605</v>
      </c>
    </row>
    <row r="926" spans="1:1" ht="15" x14ac:dyDescent="0.25">
      <c r="A926">
        <v>0.9719229712820826</v>
      </c>
    </row>
    <row r="927" spans="1:1" ht="15" x14ac:dyDescent="0.25">
      <c r="A927">
        <v>0.83086642048402359</v>
      </c>
    </row>
    <row r="928" spans="1:1" ht="15" x14ac:dyDescent="0.25">
      <c r="A928">
        <v>0.4957426679280984</v>
      </c>
    </row>
    <row r="929" spans="1:1" ht="15" x14ac:dyDescent="0.25">
      <c r="A929">
        <v>0.6640827661976989</v>
      </c>
    </row>
    <row r="930" spans="1:1" ht="15" x14ac:dyDescent="0.25">
      <c r="A930">
        <v>0.50544755394146546</v>
      </c>
    </row>
    <row r="931" spans="1:1" ht="15" x14ac:dyDescent="0.25">
      <c r="A931">
        <v>0.93591113010040594</v>
      </c>
    </row>
    <row r="932" spans="1:1" ht="15" x14ac:dyDescent="0.25">
      <c r="A932">
        <v>0.29999694814905242</v>
      </c>
    </row>
    <row r="933" spans="1:1" ht="15" x14ac:dyDescent="0.25">
      <c r="A933">
        <v>0.18411816766869107</v>
      </c>
    </row>
    <row r="934" spans="1:1" ht="15" x14ac:dyDescent="0.25">
      <c r="A934">
        <v>0.27375102999969481</v>
      </c>
    </row>
    <row r="935" spans="1:1" ht="15" x14ac:dyDescent="0.25">
      <c r="A935">
        <v>0.26471755119479967</v>
      </c>
    </row>
    <row r="936" spans="1:1" ht="15" x14ac:dyDescent="0.25">
      <c r="A936">
        <v>0.55476546525467696</v>
      </c>
    </row>
    <row r="937" spans="1:1" ht="15" x14ac:dyDescent="0.25">
      <c r="A937">
        <v>0.26837977233191929</v>
      </c>
    </row>
    <row r="938" spans="1:1" ht="15" x14ac:dyDescent="0.25">
      <c r="A938">
        <v>0.75869014557329018</v>
      </c>
    </row>
    <row r="939" spans="1:1" ht="15" x14ac:dyDescent="0.25">
      <c r="A939">
        <v>0.74733726004821921</v>
      </c>
    </row>
    <row r="940" spans="1:1" ht="15" x14ac:dyDescent="0.25">
      <c r="A940">
        <v>0.84359263893551439</v>
      </c>
    </row>
    <row r="941" spans="1:1" ht="15" x14ac:dyDescent="0.25">
      <c r="A941">
        <v>0.54545731986449786</v>
      </c>
    </row>
    <row r="942" spans="1:1" ht="15" x14ac:dyDescent="0.25">
      <c r="A942">
        <v>0.43610950041199986</v>
      </c>
    </row>
    <row r="943" spans="1:1" ht="15" x14ac:dyDescent="0.25">
      <c r="A943">
        <v>0.37058626056703392</v>
      </c>
    </row>
    <row r="944" spans="1:1" ht="15" x14ac:dyDescent="0.25">
      <c r="A944">
        <v>0.46223334452345349</v>
      </c>
    </row>
    <row r="945" spans="1:1" ht="15" x14ac:dyDescent="0.25">
      <c r="A945">
        <v>0.85918759727774896</v>
      </c>
    </row>
    <row r="946" spans="1:1" ht="15" x14ac:dyDescent="0.25">
      <c r="A946">
        <v>8.1789605395672482E-2</v>
      </c>
    </row>
    <row r="947" spans="1:1" ht="15" x14ac:dyDescent="0.25">
      <c r="A947">
        <v>0.38587603381450852</v>
      </c>
    </row>
    <row r="948" spans="1:1" ht="15" x14ac:dyDescent="0.25">
      <c r="A948">
        <v>0.42057557908871729</v>
      </c>
    </row>
    <row r="949" spans="1:1" ht="15" x14ac:dyDescent="0.25">
      <c r="A949">
        <v>0.38727988525040435</v>
      </c>
    </row>
    <row r="950" spans="1:1" ht="15" x14ac:dyDescent="0.25">
      <c r="A950">
        <v>3.9979247413556324E-2</v>
      </c>
    </row>
    <row r="951" spans="1:1" ht="15" x14ac:dyDescent="0.25">
      <c r="A951">
        <v>0.62816248054445023</v>
      </c>
    </row>
    <row r="952" spans="1:1" ht="15" x14ac:dyDescent="0.25">
      <c r="A952">
        <v>0.11090426343577379</v>
      </c>
    </row>
    <row r="953" spans="1:1" ht="15" x14ac:dyDescent="0.25">
      <c r="A953">
        <v>0.76210821863460187</v>
      </c>
    </row>
    <row r="954" spans="1:1" ht="15" x14ac:dyDescent="0.25">
      <c r="A954">
        <v>0.48625141148106327</v>
      </c>
    </row>
    <row r="955" spans="1:1" ht="15" x14ac:dyDescent="0.25">
      <c r="A955">
        <v>0.85238196966460156</v>
      </c>
    </row>
    <row r="956" spans="1:1" ht="15" x14ac:dyDescent="0.25">
      <c r="A956">
        <v>0.92309335612048704</v>
      </c>
    </row>
    <row r="957" spans="1:1" ht="15" x14ac:dyDescent="0.25">
      <c r="A957">
        <v>0.34968108157597583</v>
      </c>
    </row>
    <row r="958" spans="1:1" ht="15" x14ac:dyDescent="0.25">
      <c r="A958">
        <v>0.21573534348582415</v>
      </c>
    </row>
    <row r="959" spans="1:1" ht="15" x14ac:dyDescent="0.25">
      <c r="A959">
        <v>0.49391155735953857</v>
      </c>
    </row>
    <row r="960" spans="1:1" ht="15" x14ac:dyDescent="0.25">
      <c r="A960">
        <v>0.58851893673512989</v>
      </c>
    </row>
    <row r="961" spans="1:1" ht="15" x14ac:dyDescent="0.25">
      <c r="A961">
        <v>0.34293649098178047</v>
      </c>
    </row>
    <row r="962" spans="1:1" ht="15" x14ac:dyDescent="0.25">
      <c r="A962">
        <v>0.98797570726645711</v>
      </c>
    </row>
    <row r="963" spans="1:1" ht="15" x14ac:dyDescent="0.25">
      <c r="A963">
        <v>0.75908688619647813</v>
      </c>
    </row>
    <row r="964" spans="1:1" ht="15" x14ac:dyDescent="0.25">
      <c r="A964">
        <v>0.53379924924466693</v>
      </c>
    </row>
    <row r="965" spans="1:1" ht="15" x14ac:dyDescent="0.25">
      <c r="A965">
        <v>0.82589190343943597</v>
      </c>
    </row>
    <row r="966" spans="1:1" ht="15" x14ac:dyDescent="0.25">
      <c r="A966">
        <v>0.95965453047273175</v>
      </c>
    </row>
    <row r="967" spans="1:1" ht="15" x14ac:dyDescent="0.25">
      <c r="A967">
        <v>0.45176549577318642</v>
      </c>
    </row>
    <row r="968" spans="1:1" ht="15" x14ac:dyDescent="0.25">
      <c r="A968">
        <v>2.5330362865077671E-2</v>
      </c>
    </row>
    <row r="969" spans="1:1" ht="15" x14ac:dyDescent="0.25">
      <c r="A969">
        <v>0.46464430677205726</v>
      </c>
    </row>
    <row r="970" spans="1:1" ht="15" x14ac:dyDescent="0.25">
      <c r="A970">
        <v>0.23636585589159825</v>
      </c>
    </row>
    <row r="971" spans="1:1" ht="15" x14ac:dyDescent="0.25">
      <c r="A971">
        <v>0.44294564653462326</v>
      </c>
    </row>
    <row r="972" spans="1:1" ht="15" x14ac:dyDescent="0.25">
      <c r="A972">
        <v>0.38630329294717247</v>
      </c>
    </row>
    <row r="973" spans="1:1" ht="15" x14ac:dyDescent="0.25">
      <c r="A973">
        <v>0.98165837580492565</v>
      </c>
    </row>
    <row r="974" spans="1:1" ht="15" x14ac:dyDescent="0.25">
      <c r="A974">
        <v>7.5136570329905089E-2</v>
      </c>
    </row>
    <row r="975" spans="1:1" ht="15" x14ac:dyDescent="0.25">
      <c r="A975">
        <v>0.18881801812799462</v>
      </c>
    </row>
    <row r="976" spans="1:1" ht="15" x14ac:dyDescent="0.25">
      <c r="A976">
        <v>6.6988128299813834E-2</v>
      </c>
    </row>
    <row r="977" spans="1:1" ht="15" x14ac:dyDescent="0.25">
      <c r="A977">
        <v>6.9368572038941617E-2</v>
      </c>
    </row>
    <row r="978" spans="1:1" ht="15" x14ac:dyDescent="0.25">
      <c r="A978">
        <v>0.76818140202032537</v>
      </c>
    </row>
    <row r="979" spans="1:1" ht="15" x14ac:dyDescent="0.25">
      <c r="A979">
        <v>0.20401623584704123</v>
      </c>
    </row>
    <row r="980" spans="1:1" ht="15" x14ac:dyDescent="0.25">
      <c r="A980">
        <v>0.85015411847285383</v>
      </c>
    </row>
    <row r="981" spans="1:1" ht="15" x14ac:dyDescent="0.25">
      <c r="A981">
        <v>0.89980773339030118</v>
      </c>
    </row>
    <row r="982" spans="1:1" ht="15" x14ac:dyDescent="0.25">
      <c r="A982">
        <v>0.73952452162236393</v>
      </c>
    </row>
    <row r="983" spans="1:1" ht="15" x14ac:dyDescent="0.25">
      <c r="A983">
        <v>0.89632862331003749</v>
      </c>
    </row>
    <row r="984" spans="1:1" ht="15" x14ac:dyDescent="0.25">
      <c r="A984">
        <v>0.9719840083010346</v>
      </c>
    </row>
    <row r="985" spans="1:1" ht="15" x14ac:dyDescent="0.25">
      <c r="A985">
        <v>0.88564714499343855</v>
      </c>
    </row>
    <row r="986" spans="1:1" ht="15" x14ac:dyDescent="0.25">
      <c r="A986">
        <v>0.88628803369243447</v>
      </c>
    </row>
    <row r="987" spans="1:1" ht="15" x14ac:dyDescent="0.25">
      <c r="A987">
        <v>0.66863002410962247</v>
      </c>
    </row>
    <row r="988" spans="1:1" ht="15" x14ac:dyDescent="0.25">
      <c r="A988">
        <v>0.44087038789025546</v>
      </c>
    </row>
    <row r="989" spans="1:1" ht="15" x14ac:dyDescent="0.25">
      <c r="A989">
        <v>0.84990997039704586</v>
      </c>
    </row>
    <row r="990" spans="1:1" ht="15" x14ac:dyDescent="0.25">
      <c r="A990">
        <v>0.69487594225898008</v>
      </c>
    </row>
    <row r="991" spans="1:1" ht="15" x14ac:dyDescent="0.25">
      <c r="A991">
        <v>0.69518112735374005</v>
      </c>
    </row>
    <row r="992" spans="1:1" ht="15" x14ac:dyDescent="0.25">
      <c r="A992">
        <v>0.33426923429059724</v>
      </c>
    </row>
    <row r="993" spans="1:1" ht="15" x14ac:dyDescent="0.25">
      <c r="A993">
        <v>0.26007873775444806</v>
      </c>
    </row>
    <row r="994" spans="1:1" ht="15" x14ac:dyDescent="0.25">
      <c r="A994">
        <v>0.16385387737662893</v>
      </c>
    </row>
    <row r="995" spans="1:1" ht="15" x14ac:dyDescent="0.25">
      <c r="A995">
        <v>0.27756584368419446</v>
      </c>
    </row>
    <row r="996" spans="1:1" ht="15" x14ac:dyDescent="0.25">
      <c r="A996">
        <v>0.3554490798669393</v>
      </c>
    </row>
    <row r="997" spans="1:1" ht="15" x14ac:dyDescent="0.25">
      <c r="A997">
        <v>0.68266853846858122</v>
      </c>
    </row>
    <row r="998" spans="1:1" ht="15" x14ac:dyDescent="0.25">
      <c r="A998">
        <v>6.4943388164922025E-2</v>
      </c>
    </row>
    <row r="999" spans="1:1" ht="15" x14ac:dyDescent="0.25">
      <c r="A999">
        <v>0.1870479445783868</v>
      </c>
    </row>
    <row r="1000" spans="1:1" ht="15" x14ac:dyDescent="0.25">
      <c r="A1000">
        <v>0.43122653889584034</v>
      </c>
    </row>
    <row r="1001" spans="1:1" ht="15" x14ac:dyDescent="0.25">
      <c r="A1001">
        <v>0.11481063264870144</v>
      </c>
    </row>
    <row r="1002" spans="1:1" ht="15" x14ac:dyDescent="0.25">
      <c r="A1002">
        <v>0.57298501541184732</v>
      </c>
    </row>
    <row r="1003" spans="1:1" ht="15" x14ac:dyDescent="0.25">
      <c r="A1003">
        <v>0.8996551408429212</v>
      </c>
    </row>
    <row r="1004" spans="1:1" ht="15" x14ac:dyDescent="0.25">
      <c r="A1004">
        <v>0.63219092379528186</v>
      </c>
    </row>
    <row r="1005" spans="1:1" ht="15" x14ac:dyDescent="0.25">
      <c r="A1005">
        <v>0.34943693350016786</v>
      </c>
    </row>
    <row r="1006" spans="1:1" ht="15" x14ac:dyDescent="0.25">
      <c r="A1006">
        <v>0.79631946775719475</v>
      </c>
    </row>
    <row r="1007" spans="1:1" ht="15" x14ac:dyDescent="0.25">
      <c r="A1007">
        <v>0.12985625782036805</v>
      </c>
    </row>
    <row r="1008" spans="1:1" ht="15" x14ac:dyDescent="0.25">
      <c r="A1008">
        <v>0.19598986785485398</v>
      </c>
    </row>
    <row r="1009" spans="1:1" ht="15" x14ac:dyDescent="0.25">
      <c r="A1009">
        <v>2.9206213568529312E-2</v>
      </c>
    </row>
    <row r="1010" spans="1:1" ht="15" x14ac:dyDescent="0.25">
      <c r="A1010">
        <v>0.23880733664967804</v>
      </c>
    </row>
    <row r="1011" spans="1:1" ht="15" x14ac:dyDescent="0.25">
      <c r="A1011">
        <v>0.56968901638843961</v>
      </c>
    </row>
    <row r="1012" spans="1:1" ht="15" x14ac:dyDescent="0.25">
      <c r="A1012">
        <v>0.93600268562883393</v>
      </c>
    </row>
    <row r="1013" spans="1:1" ht="15" x14ac:dyDescent="0.25">
      <c r="A1013">
        <v>0.54689168980986969</v>
      </c>
    </row>
    <row r="1014" spans="1:1" ht="15" x14ac:dyDescent="0.25">
      <c r="A1014">
        <v>0.72481460005493337</v>
      </c>
    </row>
    <row r="1015" spans="1:1" ht="15" x14ac:dyDescent="0.25">
      <c r="A1015">
        <v>0.23871578112125003</v>
      </c>
    </row>
    <row r="1016" spans="1:1" ht="15" x14ac:dyDescent="0.25">
      <c r="A1016">
        <v>0.81530198065126502</v>
      </c>
    </row>
    <row r="1017" spans="1:1" ht="15" x14ac:dyDescent="0.25">
      <c r="A1017">
        <v>0.44706564531388288</v>
      </c>
    </row>
    <row r="1018" spans="1:1" ht="15" x14ac:dyDescent="0.25">
      <c r="A1018">
        <v>0.81826227607043667</v>
      </c>
    </row>
    <row r="1019" spans="1:1" ht="15" x14ac:dyDescent="0.25">
      <c r="A1019">
        <v>0.3520004882961516</v>
      </c>
    </row>
    <row r="1020" spans="1:1" ht="15" x14ac:dyDescent="0.25">
      <c r="A1020">
        <v>0.9685659352397229</v>
      </c>
    </row>
    <row r="1021" spans="1:1" ht="15" x14ac:dyDescent="0.25">
      <c r="A1021">
        <v>0.48646504104739524</v>
      </c>
    </row>
    <row r="1022" spans="1:1" ht="15" x14ac:dyDescent="0.25">
      <c r="A1022">
        <v>0.26697592089602346</v>
      </c>
    </row>
    <row r="1023" spans="1:1" ht="15" x14ac:dyDescent="0.25">
      <c r="A1023">
        <v>0.11163670766319773</v>
      </c>
    </row>
    <row r="1024" spans="1:1" ht="15" x14ac:dyDescent="0.25">
      <c r="A1024">
        <v>0.95202490310373244</v>
      </c>
    </row>
    <row r="1025" spans="1:1" ht="15" x14ac:dyDescent="0.25">
      <c r="A1025">
        <v>8.5146641438032175E-3</v>
      </c>
    </row>
    <row r="1026" spans="1:1" ht="15" x14ac:dyDescent="0.25">
      <c r="A1026">
        <v>0.50404370250556962</v>
      </c>
    </row>
    <row r="1027" spans="1:1" ht="15" x14ac:dyDescent="0.25">
      <c r="A1027">
        <v>0.32856227301858576</v>
      </c>
    </row>
    <row r="1028" spans="1:1" ht="15" x14ac:dyDescent="0.25">
      <c r="A1028">
        <v>0.5034333323160497</v>
      </c>
    </row>
    <row r="1029" spans="1:1" ht="15" x14ac:dyDescent="0.25">
      <c r="A1029">
        <v>0.78884243293557543</v>
      </c>
    </row>
    <row r="1030" spans="1:1" ht="15" x14ac:dyDescent="0.25">
      <c r="A1030">
        <v>0.7364726706747643</v>
      </c>
    </row>
    <row r="1031" spans="1:1" ht="15" x14ac:dyDescent="0.25">
      <c r="A1031">
        <v>0.28043458357493822</v>
      </c>
    </row>
    <row r="1032" spans="1:1" ht="15" x14ac:dyDescent="0.25">
      <c r="A1032">
        <v>0.59294412060914947</v>
      </c>
    </row>
    <row r="1033" spans="1:1" ht="15" x14ac:dyDescent="0.25">
      <c r="A1033">
        <v>7.2634052552873318E-3</v>
      </c>
    </row>
    <row r="1034" spans="1:1" ht="15" x14ac:dyDescent="0.25">
      <c r="A1034">
        <v>0.65358439893795583</v>
      </c>
    </row>
    <row r="1035" spans="1:1" ht="15" x14ac:dyDescent="0.25">
      <c r="A1035">
        <v>0.71236304818872642</v>
      </c>
    </row>
    <row r="1036" spans="1:1" ht="15" x14ac:dyDescent="0.25">
      <c r="A1036">
        <v>4.6235541856135744E-2</v>
      </c>
    </row>
    <row r="1037" spans="1:1" ht="15" x14ac:dyDescent="0.25">
      <c r="A1037">
        <v>0.50358592486342968</v>
      </c>
    </row>
    <row r="1038" spans="1:1" ht="15" x14ac:dyDescent="0.25">
      <c r="A1038">
        <v>0.28537858211004974</v>
      </c>
    </row>
  </sheetData>
  <mergeCells count="11">
    <mergeCell ref="A24:C24"/>
    <mergeCell ref="A25:B25"/>
    <mergeCell ref="A29:C29"/>
    <mergeCell ref="A30:B30"/>
    <mergeCell ref="B38:C38"/>
    <mergeCell ref="A18:B18"/>
    <mergeCell ref="A1:C1"/>
    <mergeCell ref="A2:B2"/>
    <mergeCell ref="A8:C8"/>
    <mergeCell ref="A9:B9"/>
    <mergeCell ref="A17:C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A01B-895F-4F98-B7F1-75D074C5B689}">
  <dimension ref="A1:C4"/>
  <sheetViews>
    <sheetView zoomScale="175" zoomScaleNormal="175" workbookViewId="0">
      <selection activeCell="C2" sqref="C2"/>
    </sheetView>
  </sheetViews>
  <sheetFormatPr baseColWidth="10" defaultRowHeight="15" x14ac:dyDescent="0.25"/>
  <cols>
    <col min="3" max="3" width="13.42578125" customWidth="1"/>
  </cols>
  <sheetData>
    <row r="1" spans="1:3" x14ac:dyDescent="0.25">
      <c r="A1" s="37" t="s">
        <v>36</v>
      </c>
      <c r="B1" s="37"/>
      <c r="C1" s="37"/>
    </row>
    <row r="2" spans="1:3" x14ac:dyDescent="0.25">
      <c r="A2" s="36" t="s">
        <v>26</v>
      </c>
      <c r="B2" s="36"/>
      <c r="C2" s="20" t="s">
        <v>39</v>
      </c>
    </row>
    <row r="3" spans="1:3" x14ac:dyDescent="0.25">
      <c r="A3" s="1" t="s">
        <v>37</v>
      </c>
      <c r="B3" s="20">
        <v>1</v>
      </c>
      <c r="C3" s="28">
        <v>0.375</v>
      </c>
    </row>
    <row r="4" spans="1:3" x14ac:dyDescent="0.25">
      <c r="A4" s="1" t="s">
        <v>38</v>
      </c>
      <c r="B4" s="20">
        <v>0</v>
      </c>
      <c r="C4" s="28">
        <f>1-C3</f>
        <v>0.625</v>
      </c>
    </row>
  </sheetData>
  <mergeCells count="2">
    <mergeCell ref="A1:C1"/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E9B1-7BB7-43EE-A043-876E4F0031D7}">
  <dimension ref="A1:E1038"/>
  <sheetViews>
    <sheetView zoomScale="175" zoomScaleNormal="175" workbookViewId="0">
      <selection activeCell="B39" sqref="B39"/>
    </sheetView>
  </sheetViews>
  <sheetFormatPr baseColWidth="10" defaultRowHeight="15" x14ac:dyDescent="0.25"/>
  <cols>
    <col min="1" max="1" width="17" bestFit="1" customWidth="1"/>
    <col min="2" max="2" width="13" customWidth="1"/>
    <col min="3" max="3" width="16.28515625" customWidth="1"/>
    <col min="5" max="5" width="12.85546875" customWidth="1"/>
  </cols>
  <sheetData>
    <row r="1" spans="1:5" x14ac:dyDescent="0.25">
      <c r="A1" s="37" t="s">
        <v>40</v>
      </c>
      <c r="B1" s="37"/>
      <c r="C1" s="37"/>
    </row>
    <row r="2" spans="1:5" x14ac:dyDescent="0.25">
      <c r="A2" s="36" t="s">
        <v>26</v>
      </c>
      <c r="B2" s="36"/>
      <c r="C2" s="20" t="s">
        <v>39</v>
      </c>
    </row>
    <row r="3" spans="1:5" x14ac:dyDescent="0.25">
      <c r="A3" s="1" t="s">
        <v>41</v>
      </c>
      <c r="B3" s="20">
        <v>5</v>
      </c>
    </row>
    <row r="4" spans="1:5" x14ac:dyDescent="0.25">
      <c r="A4" s="1" t="s">
        <v>42</v>
      </c>
      <c r="B4" s="20">
        <v>20</v>
      </c>
      <c r="E4" s="29"/>
    </row>
    <row r="5" spans="1:5" x14ac:dyDescent="0.25">
      <c r="A5" s="1" t="s">
        <v>43</v>
      </c>
      <c r="B5" s="28">
        <v>0.25</v>
      </c>
    </row>
    <row r="7" spans="1:5" x14ac:dyDescent="0.25">
      <c r="A7" s="1" t="s">
        <v>44</v>
      </c>
      <c r="B7" s="27">
        <f>+BINOMDIST(B3,B4,B5,0)</f>
        <v>0.20233115185692441</v>
      </c>
      <c r="C7" s="38"/>
    </row>
    <row r="9" spans="1:5" ht="42.75" x14ac:dyDescent="0.25">
      <c r="A9" s="21" t="s">
        <v>45</v>
      </c>
      <c r="B9" s="19" t="s">
        <v>46</v>
      </c>
      <c r="C9" s="19" t="s">
        <v>47</v>
      </c>
    </row>
    <row r="10" spans="1:5" x14ac:dyDescent="0.25">
      <c r="A10" s="30">
        <v>0</v>
      </c>
      <c r="B10" s="9">
        <f>+BINOMDIST(A10,$B$4,$B$5,0)</f>
        <v>3.1712119389339963E-3</v>
      </c>
      <c r="C10" s="9">
        <f>+BINOMDIST(A10,$B$4,$B$5,1)</f>
        <v>3.1712119389339963E-3</v>
      </c>
    </row>
    <row r="11" spans="1:5" x14ac:dyDescent="0.25">
      <c r="A11" s="30">
        <v>1</v>
      </c>
      <c r="B11" s="9">
        <f t="shared" ref="B11:B30" si="0">+BINOMDIST(A11,$B$4,$B$5,0)</f>
        <v>2.1141412926226615E-2</v>
      </c>
      <c r="C11" s="9">
        <f t="shared" ref="C11:C30" si="1">+BINOMDIST(A11,$B$4,$B$5,1)</f>
        <v>2.4312624865160629E-2</v>
      </c>
    </row>
    <row r="12" spans="1:5" x14ac:dyDescent="0.25">
      <c r="A12" s="30">
        <v>2</v>
      </c>
      <c r="B12" s="9">
        <f t="shared" si="0"/>
        <v>6.6947807599717662E-2</v>
      </c>
      <c r="C12" s="9">
        <f t="shared" si="1"/>
        <v>9.1260432464878291E-2</v>
      </c>
    </row>
    <row r="13" spans="1:5" x14ac:dyDescent="0.25">
      <c r="A13" s="30">
        <v>3</v>
      </c>
      <c r="B13" s="9">
        <f t="shared" si="0"/>
        <v>0.13389561519943524</v>
      </c>
      <c r="C13" s="9">
        <f t="shared" si="1"/>
        <v>0.2251560476643136</v>
      </c>
    </row>
    <row r="14" spans="1:5" x14ac:dyDescent="0.25">
      <c r="A14" s="30">
        <v>4</v>
      </c>
      <c r="B14" s="9">
        <f t="shared" si="0"/>
        <v>0.18968545486586663</v>
      </c>
      <c r="C14" s="9">
        <f t="shared" si="1"/>
        <v>0.41484150253018032</v>
      </c>
    </row>
    <row r="15" spans="1:5" x14ac:dyDescent="0.25">
      <c r="A15" s="30">
        <v>5</v>
      </c>
      <c r="B15" s="9">
        <f t="shared" si="0"/>
        <v>0.20233115185692441</v>
      </c>
      <c r="C15" s="9">
        <f t="shared" si="1"/>
        <v>0.61717265438710467</v>
      </c>
    </row>
    <row r="16" spans="1:5" x14ac:dyDescent="0.25">
      <c r="A16" s="30">
        <v>6</v>
      </c>
      <c r="B16" s="9">
        <f t="shared" si="0"/>
        <v>0.1686092932141037</v>
      </c>
      <c r="C16" s="9">
        <f t="shared" si="1"/>
        <v>0.78578194760120801</v>
      </c>
    </row>
    <row r="17" spans="1:3" x14ac:dyDescent="0.25">
      <c r="A17" s="30">
        <v>7</v>
      </c>
      <c r="B17" s="9">
        <f t="shared" si="0"/>
        <v>0.11240619547606913</v>
      </c>
      <c r="C17" s="9">
        <f t="shared" si="1"/>
        <v>0.89818814307727735</v>
      </c>
    </row>
    <row r="18" spans="1:3" x14ac:dyDescent="0.25">
      <c r="A18" s="30">
        <v>8</v>
      </c>
      <c r="B18" s="9">
        <f t="shared" si="0"/>
        <v>6.0886689216204062E-2</v>
      </c>
      <c r="C18" s="9">
        <f t="shared" si="1"/>
        <v>0.95907483229348145</v>
      </c>
    </row>
    <row r="19" spans="1:3" x14ac:dyDescent="0.25">
      <c r="A19" s="30">
        <v>9</v>
      </c>
      <c r="B19" s="9">
        <f t="shared" si="0"/>
        <v>2.7060750762757369E-2</v>
      </c>
      <c r="C19" s="9">
        <f t="shared" si="1"/>
        <v>0.98613558305623883</v>
      </c>
    </row>
    <row r="20" spans="1:3" x14ac:dyDescent="0.25">
      <c r="A20" s="30">
        <v>10</v>
      </c>
      <c r="B20" s="9">
        <f t="shared" si="0"/>
        <v>9.9222752796777041E-3</v>
      </c>
      <c r="C20" s="9">
        <f t="shared" si="1"/>
        <v>0.99605785833591653</v>
      </c>
    </row>
    <row r="21" spans="1:3" x14ac:dyDescent="0.25">
      <c r="A21" s="30">
        <v>11</v>
      </c>
      <c r="B21" s="9">
        <f t="shared" si="0"/>
        <v>3.0067500847508173E-3</v>
      </c>
      <c r="C21" s="9">
        <f t="shared" si="1"/>
        <v>0.99906460842066735</v>
      </c>
    </row>
    <row r="22" spans="1:3" x14ac:dyDescent="0.25">
      <c r="A22" s="30">
        <v>12</v>
      </c>
      <c r="B22" s="9">
        <f t="shared" si="0"/>
        <v>7.5168752118770586E-4</v>
      </c>
      <c r="C22" s="9">
        <f t="shared" si="1"/>
        <v>0.99981629594185506</v>
      </c>
    </row>
    <row r="23" spans="1:3" x14ac:dyDescent="0.25">
      <c r="A23" s="30">
        <v>13</v>
      </c>
      <c r="B23" s="9">
        <f t="shared" si="0"/>
        <v>1.541923120385034E-4</v>
      </c>
      <c r="C23" s="9">
        <f t="shared" si="1"/>
        <v>0.99997048825389356</v>
      </c>
    </row>
    <row r="24" spans="1:3" x14ac:dyDescent="0.25">
      <c r="A24" s="30">
        <v>14</v>
      </c>
      <c r="B24" s="9">
        <f t="shared" si="0"/>
        <v>2.5698718673083962E-5</v>
      </c>
      <c r="C24" s="9">
        <f t="shared" si="1"/>
        <v>0.99999618697256665</v>
      </c>
    </row>
    <row r="25" spans="1:3" x14ac:dyDescent="0.25">
      <c r="A25" s="30">
        <v>15</v>
      </c>
      <c r="B25" s="9">
        <f t="shared" si="0"/>
        <v>3.42649582307786E-6</v>
      </c>
      <c r="C25" s="9">
        <f t="shared" si="1"/>
        <v>0.99999961346838973</v>
      </c>
    </row>
    <row r="26" spans="1:3" x14ac:dyDescent="0.25">
      <c r="A26" s="30">
        <v>16</v>
      </c>
      <c r="B26" s="9">
        <f t="shared" si="0"/>
        <v>3.5692664823727645E-7</v>
      </c>
      <c r="C26" s="9">
        <f t="shared" si="1"/>
        <v>0.99999997039503796</v>
      </c>
    </row>
    <row r="27" spans="1:3" x14ac:dyDescent="0.25">
      <c r="A27" s="30">
        <v>17</v>
      </c>
      <c r="B27" s="9">
        <f t="shared" si="0"/>
        <v>2.7994246920570738E-8</v>
      </c>
      <c r="C27" s="9">
        <f t="shared" si="1"/>
        <v>0.99999999838928488</v>
      </c>
    </row>
    <row r="28" spans="1:3" x14ac:dyDescent="0.25">
      <c r="A28" s="30">
        <v>18</v>
      </c>
      <c r="B28" s="9">
        <f t="shared" si="0"/>
        <v>1.5552359400317114E-9</v>
      </c>
      <c r="C28" s="9">
        <f t="shared" si="1"/>
        <v>0.99999999994452082</v>
      </c>
    </row>
    <row r="29" spans="1:3" x14ac:dyDescent="0.25">
      <c r="A29" s="30">
        <v>19</v>
      </c>
      <c r="B29" s="9">
        <f t="shared" si="0"/>
        <v>5.4569682106375856E-11</v>
      </c>
      <c r="C29" s="9">
        <f t="shared" si="1"/>
        <v>0.99999999999909051</v>
      </c>
    </row>
    <row r="30" spans="1:3" x14ac:dyDescent="0.25">
      <c r="A30" s="30">
        <v>20</v>
      </c>
      <c r="B30" s="9">
        <f t="shared" si="0"/>
        <v>9.0949470177292824E-13</v>
      </c>
      <c r="C30" s="9">
        <f t="shared" si="1"/>
        <v>1</v>
      </c>
    </row>
    <row r="38" spans="1:5" ht="28.5" x14ac:dyDescent="0.25">
      <c r="A38" s="26" t="s">
        <v>54</v>
      </c>
      <c r="B38" s="25" t="s">
        <v>4</v>
      </c>
      <c r="D38" s="25" t="s">
        <v>4</v>
      </c>
      <c r="E38" s="25" t="s">
        <v>53</v>
      </c>
    </row>
    <row r="39" spans="1:5" x14ac:dyDescent="0.25">
      <c r="A39" s="30">
        <v>1</v>
      </c>
      <c r="B39" s="30">
        <f ca="1">+_xlfn.BINOM.INV($B$4,$B$5,RAND())</f>
        <v>1</v>
      </c>
      <c r="D39" s="30">
        <v>0</v>
      </c>
      <c r="E39" s="5">
        <f ca="1">+COUNTIF(B39:B1038,D39)/1000</f>
        <v>3.0000000000000001E-3</v>
      </c>
    </row>
    <row r="40" spans="1:5" x14ac:dyDescent="0.25">
      <c r="A40" s="30">
        <v>2</v>
      </c>
      <c r="B40" s="30">
        <f t="shared" ref="B40:B103" ca="1" si="2">+_xlfn.BINOM.INV($B$4,$B$5,RAND())</f>
        <v>4</v>
      </c>
      <c r="D40" s="30">
        <v>1</v>
      </c>
      <c r="E40" s="5">
        <f t="shared" ref="E40:E59" ca="1" si="3">+COUNTIF(B40:B1039,D40)/1000</f>
        <v>1.9E-2</v>
      </c>
    </row>
    <row r="41" spans="1:5" x14ac:dyDescent="0.25">
      <c r="A41" s="30">
        <v>3</v>
      </c>
      <c r="B41" s="30">
        <f t="shared" ca="1" si="2"/>
        <v>4</v>
      </c>
      <c r="D41" s="30">
        <v>2</v>
      </c>
      <c r="E41" s="5">
        <f t="shared" ca="1" si="3"/>
        <v>6.7000000000000004E-2</v>
      </c>
    </row>
    <row r="42" spans="1:5" x14ac:dyDescent="0.25">
      <c r="A42" s="30">
        <v>4</v>
      </c>
      <c r="B42" s="30">
        <f t="shared" ca="1" si="2"/>
        <v>4</v>
      </c>
      <c r="D42" s="30">
        <v>3</v>
      </c>
      <c r="E42" s="5">
        <f t="shared" ca="1" si="3"/>
        <v>0.125</v>
      </c>
    </row>
    <row r="43" spans="1:5" x14ac:dyDescent="0.25">
      <c r="A43" s="30">
        <v>5</v>
      </c>
      <c r="B43" s="30">
        <f t="shared" ca="1" si="2"/>
        <v>6</v>
      </c>
      <c r="D43" s="30">
        <v>4</v>
      </c>
      <c r="E43" s="5">
        <f t="shared" ca="1" si="3"/>
        <v>0.17899999999999999</v>
      </c>
    </row>
    <row r="44" spans="1:5" x14ac:dyDescent="0.25">
      <c r="A44" s="30">
        <v>6</v>
      </c>
      <c r="B44" s="30">
        <f t="shared" ca="1" si="2"/>
        <v>2</v>
      </c>
      <c r="D44" s="30">
        <v>5</v>
      </c>
      <c r="E44" s="5">
        <f t="shared" ca="1" si="3"/>
        <v>0.20699999999999999</v>
      </c>
    </row>
    <row r="45" spans="1:5" x14ac:dyDescent="0.25">
      <c r="A45" s="30">
        <v>7</v>
      </c>
      <c r="B45" s="30">
        <f t="shared" ca="1" si="2"/>
        <v>4</v>
      </c>
      <c r="D45" s="30">
        <v>6</v>
      </c>
      <c r="E45" s="5">
        <f t="shared" ca="1" si="3"/>
        <v>0.16400000000000001</v>
      </c>
    </row>
    <row r="46" spans="1:5" x14ac:dyDescent="0.25">
      <c r="A46" s="30">
        <v>8</v>
      </c>
      <c r="B46" s="30">
        <f t="shared" ca="1" si="2"/>
        <v>6</v>
      </c>
      <c r="D46" s="30">
        <v>7</v>
      </c>
      <c r="E46" s="5">
        <f t="shared" ca="1" si="3"/>
        <v>0.126</v>
      </c>
    </row>
    <row r="47" spans="1:5" x14ac:dyDescent="0.25">
      <c r="A47" s="30">
        <v>9</v>
      </c>
      <c r="B47" s="30">
        <f t="shared" ca="1" si="2"/>
        <v>8</v>
      </c>
      <c r="D47" s="30">
        <v>8</v>
      </c>
      <c r="E47" s="5">
        <f t="shared" ca="1" si="3"/>
        <v>6.3E-2</v>
      </c>
    </row>
    <row r="48" spans="1:5" x14ac:dyDescent="0.25">
      <c r="A48" s="30">
        <v>10</v>
      </c>
      <c r="B48" s="30">
        <f t="shared" ca="1" si="2"/>
        <v>5</v>
      </c>
      <c r="D48" s="30">
        <v>9</v>
      </c>
      <c r="E48" s="5">
        <f t="shared" ca="1" si="3"/>
        <v>2.9000000000000001E-2</v>
      </c>
    </row>
    <row r="49" spans="1:5" x14ac:dyDescent="0.25">
      <c r="A49" s="30">
        <v>11</v>
      </c>
      <c r="B49" s="30">
        <f t="shared" ca="1" si="2"/>
        <v>6</v>
      </c>
      <c r="D49" s="30">
        <v>10</v>
      </c>
      <c r="E49" s="5">
        <f t="shared" ca="1" si="3"/>
        <v>8.0000000000000002E-3</v>
      </c>
    </row>
    <row r="50" spans="1:5" x14ac:dyDescent="0.25">
      <c r="A50" s="30">
        <v>12</v>
      </c>
      <c r="B50" s="30">
        <f t="shared" ca="1" si="2"/>
        <v>4</v>
      </c>
      <c r="D50" s="30">
        <v>11</v>
      </c>
      <c r="E50" s="5">
        <f t="shared" ca="1" si="3"/>
        <v>4.0000000000000001E-3</v>
      </c>
    </row>
    <row r="51" spans="1:5" x14ac:dyDescent="0.25">
      <c r="A51" s="30">
        <v>13</v>
      </c>
      <c r="B51" s="30">
        <f t="shared" ca="1" si="2"/>
        <v>4</v>
      </c>
      <c r="D51" s="30">
        <v>12</v>
      </c>
      <c r="E51" s="5">
        <f t="shared" ca="1" si="3"/>
        <v>0</v>
      </c>
    </row>
    <row r="52" spans="1:5" x14ac:dyDescent="0.25">
      <c r="A52" s="30">
        <v>14</v>
      </c>
      <c r="B52" s="30">
        <f t="shared" ca="1" si="2"/>
        <v>7</v>
      </c>
      <c r="D52" s="30">
        <v>13</v>
      </c>
      <c r="E52" s="5">
        <f t="shared" ca="1" si="3"/>
        <v>1E-3</v>
      </c>
    </row>
    <row r="53" spans="1:5" x14ac:dyDescent="0.25">
      <c r="A53" s="30">
        <v>15</v>
      </c>
      <c r="B53" s="30">
        <f t="shared" ca="1" si="2"/>
        <v>1</v>
      </c>
      <c r="D53" s="30">
        <v>14</v>
      </c>
      <c r="E53" s="5">
        <f t="shared" ca="1" si="3"/>
        <v>0</v>
      </c>
    </row>
    <row r="54" spans="1:5" x14ac:dyDescent="0.25">
      <c r="A54" s="30">
        <v>16</v>
      </c>
      <c r="B54" s="30">
        <f t="shared" ca="1" si="2"/>
        <v>3</v>
      </c>
      <c r="D54" s="30">
        <v>15</v>
      </c>
      <c r="E54" s="5">
        <f t="shared" ca="1" si="3"/>
        <v>0</v>
      </c>
    </row>
    <row r="55" spans="1:5" x14ac:dyDescent="0.25">
      <c r="A55" s="30">
        <v>17</v>
      </c>
      <c r="B55" s="30">
        <f t="shared" ca="1" si="2"/>
        <v>6</v>
      </c>
      <c r="D55" s="30">
        <v>16</v>
      </c>
      <c r="E55" s="5">
        <f t="shared" ca="1" si="3"/>
        <v>0</v>
      </c>
    </row>
    <row r="56" spans="1:5" x14ac:dyDescent="0.25">
      <c r="A56" s="30">
        <v>18</v>
      </c>
      <c r="B56" s="30">
        <f t="shared" ca="1" si="2"/>
        <v>6</v>
      </c>
      <c r="D56" s="30">
        <v>17</v>
      </c>
      <c r="E56" s="5">
        <f t="shared" ca="1" si="3"/>
        <v>0</v>
      </c>
    </row>
    <row r="57" spans="1:5" x14ac:dyDescent="0.25">
      <c r="A57" s="30">
        <v>19</v>
      </c>
      <c r="B57" s="30">
        <f t="shared" ca="1" si="2"/>
        <v>5</v>
      </c>
      <c r="D57" s="30">
        <v>18</v>
      </c>
      <c r="E57" s="5">
        <f t="shared" ca="1" si="3"/>
        <v>0</v>
      </c>
    </row>
    <row r="58" spans="1:5" x14ac:dyDescent="0.25">
      <c r="A58" s="30">
        <v>20</v>
      </c>
      <c r="B58" s="30">
        <f t="shared" ca="1" si="2"/>
        <v>5</v>
      </c>
      <c r="D58" s="30">
        <v>19</v>
      </c>
      <c r="E58" s="5">
        <f t="shared" ca="1" si="3"/>
        <v>0</v>
      </c>
    </row>
    <row r="59" spans="1:5" x14ac:dyDescent="0.25">
      <c r="A59" s="30">
        <v>21</v>
      </c>
      <c r="B59" s="30">
        <f t="shared" ca="1" si="2"/>
        <v>7</v>
      </c>
      <c r="D59" s="30">
        <v>20</v>
      </c>
      <c r="E59" s="5">
        <f t="shared" ca="1" si="3"/>
        <v>0</v>
      </c>
    </row>
    <row r="60" spans="1:5" x14ac:dyDescent="0.25">
      <c r="A60" s="30">
        <v>22</v>
      </c>
      <c r="B60" s="30">
        <f t="shared" ca="1" si="2"/>
        <v>4</v>
      </c>
    </row>
    <row r="61" spans="1:5" x14ac:dyDescent="0.25">
      <c r="A61" s="30">
        <v>23</v>
      </c>
      <c r="B61" s="30">
        <f t="shared" ca="1" si="2"/>
        <v>4</v>
      </c>
    </row>
    <row r="62" spans="1:5" x14ac:dyDescent="0.25">
      <c r="A62" s="30">
        <v>24</v>
      </c>
      <c r="B62" s="30">
        <f t="shared" ca="1" si="2"/>
        <v>6</v>
      </c>
    </row>
    <row r="63" spans="1:5" x14ac:dyDescent="0.25">
      <c r="A63" s="30">
        <v>25</v>
      </c>
      <c r="B63" s="30">
        <f t="shared" ca="1" si="2"/>
        <v>6</v>
      </c>
    </row>
    <row r="64" spans="1:5" x14ac:dyDescent="0.25">
      <c r="A64" s="30">
        <v>26</v>
      </c>
      <c r="B64" s="30">
        <f t="shared" ca="1" si="2"/>
        <v>5</v>
      </c>
    </row>
    <row r="65" spans="1:2" x14ac:dyDescent="0.25">
      <c r="A65" s="30">
        <v>27</v>
      </c>
      <c r="B65" s="30">
        <f t="shared" ca="1" si="2"/>
        <v>8</v>
      </c>
    </row>
    <row r="66" spans="1:2" x14ac:dyDescent="0.25">
      <c r="A66" s="30">
        <v>28</v>
      </c>
      <c r="B66" s="30">
        <f t="shared" ca="1" si="2"/>
        <v>3</v>
      </c>
    </row>
    <row r="67" spans="1:2" x14ac:dyDescent="0.25">
      <c r="A67" s="30">
        <v>29</v>
      </c>
      <c r="B67" s="30">
        <f t="shared" ca="1" si="2"/>
        <v>3</v>
      </c>
    </row>
    <row r="68" spans="1:2" x14ac:dyDescent="0.25">
      <c r="A68" s="30">
        <v>30</v>
      </c>
      <c r="B68" s="30">
        <f t="shared" ca="1" si="2"/>
        <v>6</v>
      </c>
    </row>
    <row r="69" spans="1:2" x14ac:dyDescent="0.25">
      <c r="A69" s="30">
        <v>31</v>
      </c>
      <c r="B69" s="30">
        <f t="shared" ca="1" si="2"/>
        <v>2</v>
      </c>
    </row>
    <row r="70" spans="1:2" x14ac:dyDescent="0.25">
      <c r="A70" s="30">
        <v>32</v>
      </c>
      <c r="B70" s="30">
        <f t="shared" ca="1" si="2"/>
        <v>5</v>
      </c>
    </row>
    <row r="71" spans="1:2" x14ac:dyDescent="0.25">
      <c r="A71" s="30">
        <v>33</v>
      </c>
      <c r="B71" s="30">
        <f t="shared" ca="1" si="2"/>
        <v>6</v>
      </c>
    </row>
    <row r="72" spans="1:2" x14ac:dyDescent="0.25">
      <c r="A72" s="30">
        <v>34</v>
      </c>
      <c r="B72" s="30">
        <f t="shared" ca="1" si="2"/>
        <v>6</v>
      </c>
    </row>
    <row r="73" spans="1:2" x14ac:dyDescent="0.25">
      <c r="A73" s="30">
        <v>35</v>
      </c>
      <c r="B73" s="30">
        <f t="shared" ca="1" si="2"/>
        <v>5</v>
      </c>
    </row>
    <row r="74" spans="1:2" x14ac:dyDescent="0.25">
      <c r="A74" s="30">
        <v>36</v>
      </c>
      <c r="B74" s="30">
        <f t="shared" ca="1" si="2"/>
        <v>2</v>
      </c>
    </row>
    <row r="75" spans="1:2" x14ac:dyDescent="0.25">
      <c r="A75" s="30">
        <v>37</v>
      </c>
      <c r="B75" s="30">
        <f t="shared" ca="1" si="2"/>
        <v>3</v>
      </c>
    </row>
    <row r="76" spans="1:2" x14ac:dyDescent="0.25">
      <c r="A76" s="30">
        <v>38</v>
      </c>
      <c r="B76" s="30">
        <f t="shared" ca="1" si="2"/>
        <v>5</v>
      </c>
    </row>
    <row r="77" spans="1:2" x14ac:dyDescent="0.25">
      <c r="A77" s="30">
        <v>39</v>
      </c>
      <c r="B77" s="30">
        <f t="shared" ca="1" si="2"/>
        <v>4</v>
      </c>
    </row>
    <row r="78" spans="1:2" x14ac:dyDescent="0.25">
      <c r="A78" s="30">
        <v>40</v>
      </c>
      <c r="B78" s="30">
        <f t="shared" ca="1" si="2"/>
        <v>5</v>
      </c>
    </row>
    <row r="79" spans="1:2" x14ac:dyDescent="0.25">
      <c r="A79" s="30">
        <v>41</v>
      </c>
      <c r="B79" s="30">
        <f t="shared" ca="1" si="2"/>
        <v>9</v>
      </c>
    </row>
    <row r="80" spans="1:2" x14ac:dyDescent="0.25">
      <c r="A80" s="30">
        <v>42</v>
      </c>
      <c r="B80" s="30">
        <f t="shared" ca="1" si="2"/>
        <v>1</v>
      </c>
    </row>
    <row r="81" spans="1:2" x14ac:dyDescent="0.25">
      <c r="A81" s="30">
        <v>43</v>
      </c>
      <c r="B81" s="30">
        <f t="shared" ca="1" si="2"/>
        <v>6</v>
      </c>
    </row>
    <row r="82" spans="1:2" x14ac:dyDescent="0.25">
      <c r="A82" s="30">
        <v>44</v>
      </c>
      <c r="B82" s="30">
        <f t="shared" ca="1" si="2"/>
        <v>4</v>
      </c>
    </row>
    <row r="83" spans="1:2" x14ac:dyDescent="0.25">
      <c r="A83" s="30">
        <v>45</v>
      </c>
      <c r="B83" s="30">
        <f t="shared" ca="1" si="2"/>
        <v>4</v>
      </c>
    </row>
    <row r="84" spans="1:2" x14ac:dyDescent="0.25">
      <c r="A84" s="30">
        <v>46</v>
      </c>
      <c r="B84" s="30">
        <f t="shared" ca="1" si="2"/>
        <v>6</v>
      </c>
    </row>
    <row r="85" spans="1:2" x14ac:dyDescent="0.25">
      <c r="A85" s="30">
        <v>47</v>
      </c>
      <c r="B85" s="30">
        <f t="shared" ca="1" si="2"/>
        <v>7</v>
      </c>
    </row>
    <row r="86" spans="1:2" x14ac:dyDescent="0.25">
      <c r="A86" s="30">
        <v>48</v>
      </c>
      <c r="B86" s="30">
        <f t="shared" ca="1" si="2"/>
        <v>5</v>
      </c>
    </row>
    <row r="87" spans="1:2" x14ac:dyDescent="0.25">
      <c r="A87" s="30">
        <v>49</v>
      </c>
      <c r="B87" s="30">
        <f t="shared" ca="1" si="2"/>
        <v>5</v>
      </c>
    </row>
    <row r="88" spans="1:2" x14ac:dyDescent="0.25">
      <c r="A88" s="30">
        <v>50</v>
      </c>
      <c r="B88" s="30">
        <f t="shared" ca="1" si="2"/>
        <v>8</v>
      </c>
    </row>
    <row r="89" spans="1:2" x14ac:dyDescent="0.25">
      <c r="A89" s="30">
        <v>51</v>
      </c>
      <c r="B89" s="30">
        <f t="shared" ca="1" si="2"/>
        <v>3</v>
      </c>
    </row>
    <row r="90" spans="1:2" x14ac:dyDescent="0.25">
      <c r="A90" s="30">
        <v>52</v>
      </c>
      <c r="B90" s="30">
        <f t="shared" ca="1" si="2"/>
        <v>5</v>
      </c>
    </row>
    <row r="91" spans="1:2" x14ac:dyDescent="0.25">
      <c r="A91" s="30">
        <v>53</v>
      </c>
      <c r="B91" s="30">
        <f t="shared" ca="1" si="2"/>
        <v>5</v>
      </c>
    </row>
    <row r="92" spans="1:2" x14ac:dyDescent="0.25">
      <c r="A92" s="30">
        <v>54</v>
      </c>
      <c r="B92" s="30">
        <f t="shared" ca="1" si="2"/>
        <v>6</v>
      </c>
    </row>
    <row r="93" spans="1:2" x14ac:dyDescent="0.25">
      <c r="A93" s="30">
        <v>55</v>
      </c>
      <c r="B93" s="30">
        <f t="shared" ca="1" si="2"/>
        <v>6</v>
      </c>
    </row>
    <row r="94" spans="1:2" x14ac:dyDescent="0.25">
      <c r="A94" s="30">
        <v>56</v>
      </c>
      <c r="B94" s="30">
        <f t="shared" ca="1" si="2"/>
        <v>2</v>
      </c>
    </row>
    <row r="95" spans="1:2" x14ac:dyDescent="0.25">
      <c r="A95" s="30">
        <v>57</v>
      </c>
      <c r="B95" s="30">
        <f t="shared" ca="1" si="2"/>
        <v>3</v>
      </c>
    </row>
    <row r="96" spans="1:2" x14ac:dyDescent="0.25">
      <c r="A96" s="30">
        <v>58</v>
      </c>
      <c r="B96" s="30">
        <f t="shared" ca="1" si="2"/>
        <v>4</v>
      </c>
    </row>
    <row r="97" spans="1:2" x14ac:dyDescent="0.25">
      <c r="A97" s="30">
        <v>59</v>
      </c>
      <c r="B97" s="30">
        <f t="shared" ca="1" si="2"/>
        <v>2</v>
      </c>
    </row>
    <row r="98" spans="1:2" x14ac:dyDescent="0.25">
      <c r="A98" s="30">
        <v>60</v>
      </c>
      <c r="B98" s="30">
        <f t="shared" ca="1" si="2"/>
        <v>6</v>
      </c>
    </row>
    <row r="99" spans="1:2" x14ac:dyDescent="0.25">
      <c r="A99" s="30">
        <v>61</v>
      </c>
      <c r="B99" s="30">
        <f t="shared" ca="1" si="2"/>
        <v>5</v>
      </c>
    </row>
    <row r="100" spans="1:2" x14ac:dyDescent="0.25">
      <c r="A100" s="30">
        <v>62</v>
      </c>
      <c r="B100" s="30">
        <f t="shared" ca="1" si="2"/>
        <v>2</v>
      </c>
    </row>
    <row r="101" spans="1:2" x14ac:dyDescent="0.25">
      <c r="A101" s="30">
        <v>63</v>
      </c>
      <c r="B101" s="30">
        <f t="shared" ca="1" si="2"/>
        <v>8</v>
      </c>
    </row>
    <row r="102" spans="1:2" x14ac:dyDescent="0.25">
      <c r="A102" s="30">
        <v>64</v>
      </c>
      <c r="B102" s="30">
        <f t="shared" ca="1" si="2"/>
        <v>6</v>
      </c>
    </row>
    <row r="103" spans="1:2" x14ac:dyDescent="0.25">
      <c r="A103" s="30">
        <v>65</v>
      </c>
      <c r="B103" s="30">
        <f t="shared" ca="1" si="2"/>
        <v>5</v>
      </c>
    </row>
    <row r="104" spans="1:2" x14ac:dyDescent="0.25">
      <c r="A104" s="30">
        <v>66</v>
      </c>
      <c r="B104" s="30">
        <f t="shared" ref="B104:B167" ca="1" si="4">+_xlfn.BINOM.INV($B$4,$B$5,RAND())</f>
        <v>8</v>
      </c>
    </row>
    <row r="105" spans="1:2" x14ac:dyDescent="0.25">
      <c r="A105" s="30">
        <v>67</v>
      </c>
      <c r="B105" s="30">
        <f t="shared" ca="1" si="4"/>
        <v>7</v>
      </c>
    </row>
    <row r="106" spans="1:2" x14ac:dyDescent="0.25">
      <c r="A106" s="30">
        <v>68</v>
      </c>
      <c r="B106" s="30">
        <f t="shared" ca="1" si="4"/>
        <v>6</v>
      </c>
    </row>
    <row r="107" spans="1:2" x14ac:dyDescent="0.25">
      <c r="A107" s="30">
        <v>69</v>
      </c>
      <c r="B107" s="30">
        <f t="shared" ca="1" si="4"/>
        <v>2</v>
      </c>
    </row>
    <row r="108" spans="1:2" x14ac:dyDescent="0.25">
      <c r="A108" s="30">
        <v>70</v>
      </c>
      <c r="B108" s="30">
        <f t="shared" ca="1" si="4"/>
        <v>3</v>
      </c>
    </row>
    <row r="109" spans="1:2" x14ac:dyDescent="0.25">
      <c r="A109" s="30">
        <v>71</v>
      </c>
      <c r="B109" s="30">
        <f t="shared" ca="1" si="4"/>
        <v>3</v>
      </c>
    </row>
    <row r="110" spans="1:2" x14ac:dyDescent="0.25">
      <c r="A110" s="30">
        <v>72</v>
      </c>
      <c r="B110" s="30">
        <f t="shared" ca="1" si="4"/>
        <v>5</v>
      </c>
    </row>
    <row r="111" spans="1:2" x14ac:dyDescent="0.25">
      <c r="A111" s="30">
        <v>73</v>
      </c>
      <c r="B111" s="30">
        <f t="shared" ca="1" si="4"/>
        <v>5</v>
      </c>
    </row>
    <row r="112" spans="1:2" x14ac:dyDescent="0.25">
      <c r="A112" s="30">
        <v>74</v>
      </c>
      <c r="B112" s="30">
        <f t="shared" ca="1" si="4"/>
        <v>6</v>
      </c>
    </row>
    <row r="113" spans="1:2" x14ac:dyDescent="0.25">
      <c r="A113" s="30">
        <v>75</v>
      </c>
      <c r="B113" s="30">
        <f t="shared" ca="1" si="4"/>
        <v>3</v>
      </c>
    </row>
    <row r="114" spans="1:2" x14ac:dyDescent="0.25">
      <c r="A114" s="30">
        <v>76</v>
      </c>
      <c r="B114" s="30">
        <f t="shared" ca="1" si="4"/>
        <v>3</v>
      </c>
    </row>
    <row r="115" spans="1:2" x14ac:dyDescent="0.25">
      <c r="A115" s="30">
        <v>77</v>
      </c>
      <c r="B115" s="30">
        <f t="shared" ca="1" si="4"/>
        <v>6</v>
      </c>
    </row>
    <row r="116" spans="1:2" x14ac:dyDescent="0.25">
      <c r="A116" s="30">
        <v>78</v>
      </c>
      <c r="B116" s="30">
        <f t="shared" ca="1" si="4"/>
        <v>5</v>
      </c>
    </row>
    <row r="117" spans="1:2" x14ac:dyDescent="0.25">
      <c r="A117" s="30">
        <v>79</v>
      </c>
      <c r="B117" s="30">
        <f t="shared" ca="1" si="4"/>
        <v>4</v>
      </c>
    </row>
    <row r="118" spans="1:2" x14ac:dyDescent="0.25">
      <c r="A118" s="30">
        <v>80</v>
      </c>
      <c r="B118" s="30">
        <f t="shared" ca="1" si="4"/>
        <v>8</v>
      </c>
    </row>
    <row r="119" spans="1:2" x14ac:dyDescent="0.25">
      <c r="A119" s="30">
        <v>81</v>
      </c>
      <c r="B119" s="30">
        <f t="shared" ca="1" si="4"/>
        <v>4</v>
      </c>
    </row>
    <row r="120" spans="1:2" x14ac:dyDescent="0.25">
      <c r="A120" s="30">
        <v>82</v>
      </c>
      <c r="B120" s="30">
        <f t="shared" ca="1" si="4"/>
        <v>7</v>
      </c>
    </row>
    <row r="121" spans="1:2" x14ac:dyDescent="0.25">
      <c r="A121" s="30">
        <v>83</v>
      </c>
      <c r="B121" s="30">
        <f t="shared" ca="1" si="4"/>
        <v>4</v>
      </c>
    </row>
    <row r="122" spans="1:2" x14ac:dyDescent="0.25">
      <c r="A122" s="30">
        <v>84</v>
      </c>
      <c r="B122" s="30">
        <f t="shared" ca="1" si="4"/>
        <v>4</v>
      </c>
    </row>
    <row r="123" spans="1:2" x14ac:dyDescent="0.25">
      <c r="A123" s="30">
        <v>85</v>
      </c>
      <c r="B123" s="30">
        <f t="shared" ca="1" si="4"/>
        <v>5</v>
      </c>
    </row>
    <row r="124" spans="1:2" x14ac:dyDescent="0.25">
      <c r="A124" s="30">
        <v>86</v>
      </c>
      <c r="B124" s="30">
        <f t="shared" ca="1" si="4"/>
        <v>1</v>
      </c>
    </row>
    <row r="125" spans="1:2" x14ac:dyDescent="0.25">
      <c r="A125" s="30">
        <v>87</v>
      </c>
      <c r="B125" s="30">
        <f t="shared" ca="1" si="4"/>
        <v>7</v>
      </c>
    </row>
    <row r="126" spans="1:2" x14ac:dyDescent="0.25">
      <c r="A126" s="30">
        <v>88</v>
      </c>
      <c r="B126" s="30">
        <f t="shared" ca="1" si="4"/>
        <v>5</v>
      </c>
    </row>
    <row r="127" spans="1:2" x14ac:dyDescent="0.25">
      <c r="A127" s="30">
        <v>89</v>
      </c>
      <c r="B127" s="30">
        <f t="shared" ca="1" si="4"/>
        <v>6</v>
      </c>
    </row>
    <row r="128" spans="1:2" x14ac:dyDescent="0.25">
      <c r="A128" s="30">
        <v>90</v>
      </c>
      <c r="B128" s="30">
        <f t="shared" ca="1" si="4"/>
        <v>4</v>
      </c>
    </row>
    <row r="129" spans="1:2" x14ac:dyDescent="0.25">
      <c r="A129" s="30">
        <v>91</v>
      </c>
      <c r="B129" s="30">
        <f t="shared" ca="1" si="4"/>
        <v>13</v>
      </c>
    </row>
    <row r="130" spans="1:2" x14ac:dyDescent="0.25">
      <c r="A130" s="30">
        <v>92</v>
      </c>
      <c r="B130" s="30">
        <f t="shared" ca="1" si="4"/>
        <v>5</v>
      </c>
    </row>
    <row r="131" spans="1:2" x14ac:dyDescent="0.25">
      <c r="A131" s="30">
        <v>93</v>
      </c>
      <c r="B131" s="30">
        <f t="shared" ca="1" si="4"/>
        <v>5</v>
      </c>
    </row>
    <row r="132" spans="1:2" x14ac:dyDescent="0.25">
      <c r="A132" s="30">
        <v>94</v>
      </c>
      <c r="B132" s="30">
        <f t="shared" ca="1" si="4"/>
        <v>3</v>
      </c>
    </row>
    <row r="133" spans="1:2" x14ac:dyDescent="0.25">
      <c r="A133" s="30">
        <v>95</v>
      </c>
      <c r="B133" s="30">
        <f t="shared" ca="1" si="4"/>
        <v>4</v>
      </c>
    </row>
    <row r="134" spans="1:2" x14ac:dyDescent="0.25">
      <c r="A134" s="30">
        <v>96</v>
      </c>
      <c r="B134" s="30">
        <f t="shared" ca="1" si="4"/>
        <v>9</v>
      </c>
    </row>
    <row r="135" spans="1:2" x14ac:dyDescent="0.25">
      <c r="A135" s="30">
        <v>97</v>
      </c>
      <c r="B135" s="30">
        <f t="shared" ca="1" si="4"/>
        <v>6</v>
      </c>
    </row>
    <row r="136" spans="1:2" x14ac:dyDescent="0.25">
      <c r="A136" s="30">
        <v>98</v>
      </c>
      <c r="B136" s="30">
        <f t="shared" ca="1" si="4"/>
        <v>4</v>
      </c>
    </row>
    <row r="137" spans="1:2" x14ac:dyDescent="0.25">
      <c r="A137" s="30">
        <v>99</v>
      </c>
      <c r="B137" s="30">
        <f t="shared" ca="1" si="4"/>
        <v>7</v>
      </c>
    </row>
    <row r="138" spans="1:2" x14ac:dyDescent="0.25">
      <c r="A138" s="30">
        <v>100</v>
      </c>
      <c r="B138" s="30">
        <f t="shared" ca="1" si="4"/>
        <v>5</v>
      </c>
    </row>
    <row r="139" spans="1:2" x14ac:dyDescent="0.25">
      <c r="A139" s="30">
        <v>101</v>
      </c>
      <c r="B139" s="30">
        <f t="shared" ca="1" si="4"/>
        <v>3</v>
      </c>
    </row>
    <row r="140" spans="1:2" x14ac:dyDescent="0.25">
      <c r="A140" s="30">
        <v>102</v>
      </c>
      <c r="B140" s="30">
        <f t="shared" ca="1" si="4"/>
        <v>5</v>
      </c>
    </row>
    <row r="141" spans="1:2" x14ac:dyDescent="0.25">
      <c r="A141" s="30">
        <v>103</v>
      </c>
      <c r="B141" s="30">
        <f t="shared" ca="1" si="4"/>
        <v>2</v>
      </c>
    </row>
    <row r="142" spans="1:2" x14ac:dyDescent="0.25">
      <c r="A142" s="30">
        <v>104</v>
      </c>
      <c r="B142" s="30">
        <f t="shared" ca="1" si="4"/>
        <v>8</v>
      </c>
    </row>
    <row r="143" spans="1:2" x14ac:dyDescent="0.25">
      <c r="A143" s="30">
        <v>105</v>
      </c>
      <c r="B143" s="30">
        <f t="shared" ca="1" si="4"/>
        <v>4</v>
      </c>
    </row>
    <row r="144" spans="1:2" x14ac:dyDescent="0.25">
      <c r="A144" s="30">
        <v>106</v>
      </c>
      <c r="B144" s="30">
        <f t="shared" ca="1" si="4"/>
        <v>2</v>
      </c>
    </row>
    <row r="145" spans="1:2" x14ac:dyDescent="0.25">
      <c r="A145" s="30">
        <v>107</v>
      </c>
      <c r="B145" s="30">
        <f t="shared" ca="1" si="4"/>
        <v>5</v>
      </c>
    </row>
    <row r="146" spans="1:2" x14ac:dyDescent="0.25">
      <c r="A146" s="30">
        <v>108</v>
      </c>
      <c r="B146" s="30">
        <f t="shared" ca="1" si="4"/>
        <v>5</v>
      </c>
    </row>
    <row r="147" spans="1:2" x14ac:dyDescent="0.25">
      <c r="A147" s="30">
        <v>109</v>
      </c>
      <c r="B147" s="30">
        <f t="shared" ca="1" si="4"/>
        <v>11</v>
      </c>
    </row>
    <row r="148" spans="1:2" x14ac:dyDescent="0.25">
      <c r="A148" s="30">
        <v>110</v>
      </c>
      <c r="B148" s="30">
        <f t="shared" ca="1" si="4"/>
        <v>4</v>
      </c>
    </row>
    <row r="149" spans="1:2" x14ac:dyDescent="0.25">
      <c r="A149" s="30">
        <v>111</v>
      </c>
      <c r="B149" s="30">
        <f t="shared" ca="1" si="4"/>
        <v>3</v>
      </c>
    </row>
    <row r="150" spans="1:2" x14ac:dyDescent="0.25">
      <c r="A150" s="30">
        <v>112</v>
      </c>
      <c r="B150" s="30">
        <f t="shared" ca="1" si="4"/>
        <v>8</v>
      </c>
    </row>
    <row r="151" spans="1:2" x14ac:dyDescent="0.25">
      <c r="A151" s="30">
        <v>113</v>
      </c>
      <c r="B151" s="30">
        <f t="shared" ca="1" si="4"/>
        <v>8</v>
      </c>
    </row>
    <row r="152" spans="1:2" x14ac:dyDescent="0.25">
      <c r="A152" s="30">
        <v>114</v>
      </c>
      <c r="B152" s="30">
        <f t="shared" ca="1" si="4"/>
        <v>9</v>
      </c>
    </row>
    <row r="153" spans="1:2" x14ac:dyDescent="0.25">
      <c r="A153" s="30">
        <v>115</v>
      </c>
      <c r="B153" s="30">
        <f t="shared" ca="1" si="4"/>
        <v>4</v>
      </c>
    </row>
    <row r="154" spans="1:2" x14ac:dyDescent="0.25">
      <c r="A154" s="30">
        <v>116</v>
      </c>
      <c r="B154" s="30">
        <f t="shared" ca="1" si="4"/>
        <v>7</v>
      </c>
    </row>
    <row r="155" spans="1:2" x14ac:dyDescent="0.25">
      <c r="A155" s="30">
        <v>117</v>
      </c>
      <c r="B155" s="30">
        <f t="shared" ca="1" si="4"/>
        <v>7</v>
      </c>
    </row>
    <row r="156" spans="1:2" x14ac:dyDescent="0.25">
      <c r="A156" s="30">
        <v>118</v>
      </c>
      <c r="B156" s="30">
        <f t="shared" ca="1" si="4"/>
        <v>7</v>
      </c>
    </row>
    <row r="157" spans="1:2" x14ac:dyDescent="0.25">
      <c r="A157" s="30">
        <v>119</v>
      </c>
      <c r="B157" s="30">
        <f t="shared" ca="1" si="4"/>
        <v>5</v>
      </c>
    </row>
    <row r="158" spans="1:2" x14ac:dyDescent="0.25">
      <c r="A158" s="30">
        <v>120</v>
      </c>
      <c r="B158" s="30">
        <f t="shared" ca="1" si="4"/>
        <v>4</v>
      </c>
    </row>
    <row r="159" spans="1:2" x14ac:dyDescent="0.25">
      <c r="A159" s="30">
        <v>121</v>
      </c>
      <c r="B159" s="30">
        <f t="shared" ca="1" si="4"/>
        <v>5</v>
      </c>
    </row>
    <row r="160" spans="1:2" x14ac:dyDescent="0.25">
      <c r="A160" s="30">
        <v>122</v>
      </c>
      <c r="B160" s="30">
        <f t="shared" ca="1" si="4"/>
        <v>5</v>
      </c>
    </row>
    <row r="161" spans="1:2" x14ac:dyDescent="0.25">
      <c r="A161" s="30">
        <v>123</v>
      </c>
      <c r="B161" s="30">
        <f t="shared" ca="1" si="4"/>
        <v>6</v>
      </c>
    </row>
    <row r="162" spans="1:2" x14ac:dyDescent="0.25">
      <c r="A162" s="30">
        <v>124</v>
      </c>
      <c r="B162" s="30">
        <f t="shared" ca="1" si="4"/>
        <v>3</v>
      </c>
    </row>
    <row r="163" spans="1:2" x14ac:dyDescent="0.25">
      <c r="A163" s="30">
        <v>125</v>
      </c>
      <c r="B163" s="30">
        <f t="shared" ca="1" si="4"/>
        <v>5</v>
      </c>
    </row>
    <row r="164" spans="1:2" x14ac:dyDescent="0.25">
      <c r="A164" s="30">
        <v>126</v>
      </c>
      <c r="B164" s="30">
        <f t="shared" ca="1" si="4"/>
        <v>3</v>
      </c>
    </row>
    <row r="165" spans="1:2" x14ac:dyDescent="0.25">
      <c r="A165" s="30">
        <v>127</v>
      </c>
      <c r="B165" s="30">
        <f t="shared" ca="1" si="4"/>
        <v>8</v>
      </c>
    </row>
    <row r="166" spans="1:2" x14ac:dyDescent="0.25">
      <c r="A166" s="30">
        <v>128</v>
      </c>
      <c r="B166" s="30">
        <f t="shared" ca="1" si="4"/>
        <v>9</v>
      </c>
    </row>
    <row r="167" spans="1:2" x14ac:dyDescent="0.25">
      <c r="A167" s="30">
        <v>129</v>
      </c>
      <c r="B167" s="30">
        <f t="shared" ca="1" si="4"/>
        <v>8</v>
      </c>
    </row>
    <row r="168" spans="1:2" x14ac:dyDescent="0.25">
      <c r="A168" s="30">
        <v>130</v>
      </c>
      <c r="B168" s="30">
        <f t="shared" ref="B168:B231" ca="1" si="5">+_xlfn.BINOM.INV($B$4,$B$5,RAND())</f>
        <v>6</v>
      </c>
    </row>
    <row r="169" spans="1:2" x14ac:dyDescent="0.25">
      <c r="A169" s="30">
        <v>131</v>
      </c>
      <c r="B169" s="30">
        <f t="shared" ca="1" si="5"/>
        <v>2</v>
      </c>
    </row>
    <row r="170" spans="1:2" x14ac:dyDescent="0.25">
      <c r="A170" s="30">
        <v>132</v>
      </c>
      <c r="B170" s="30">
        <f t="shared" ca="1" si="5"/>
        <v>4</v>
      </c>
    </row>
    <row r="171" spans="1:2" x14ac:dyDescent="0.25">
      <c r="A171" s="30">
        <v>133</v>
      </c>
      <c r="B171" s="30">
        <f t="shared" ca="1" si="5"/>
        <v>7</v>
      </c>
    </row>
    <row r="172" spans="1:2" x14ac:dyDescent="0.25">
      <c r="A172" s="30">
        <v>134</v>
      </c>
      <c r="B172" s="30">
        <f t="shared" ca="1" si="5"/>
        <v>7</v>
      </c>
    </row>
    <row r="173" spans="1:2" x14ac:dyDescent="0.25">
      <c r="A173" s="30">
        <v>135</v>
      </c>
      <c r="B173" s="30">
        <f t="shared" ca="1" si="5"/>
        <v>7</v>
      </c>
    </row>
    <row r="174" spans="1:2" x14ac:dyDescent="0.25">
      <c r="A174" s="30">
        <v>136</v>
      </c>
      <c r="B174" s="30">
        <f t="shared" ca="1" si="5"/>
        <v>5</v>
      </c>
    </row>
    <row r="175" spans="1:2" x14ac:dyDescent="0.25">
      <c r="A175" s="30">
        <v>137</v>
      </c>
      <c r="B175" s="30">
        <f t="shared" ca="1" si="5"/>
        <v>6</v>
      </c>
    </row>
    <row r="176" spans="1:2" x14ac:dyDescent="0.25">
      <c r="A176" s="30">
        <v>138</v>
      </c>
      <c r="B176" s="30">
        <f t="shared" ca="1" si="5"/>
        <v>7</v>
      </c>
    </row>
    <row r="177" spans="1:2" x14ac:dyDescent="0.25">
      <c r="A177" s="30">
        <v>139</v>
      </c>
      <c r="B177" s="30">
        <f t="shared" ca="1" si="5"/>
        <v>5</v>
      </c>
    </row>
    <row r="178" spans="1:2" x14ac:dyDescent="0.25">
      <c r="A178" s="30">
        <v>140</v>
      </c>
      <c r="B178" s="30">
        <f t="shared" ca="1" si="5"/>
        <v>6</v>
      </c>
    </row>
    <row r="179" spans="1:2" x14ac:dyDescent="0.25">
      <c r="A179" s="30">
        <v>141</v>
      </c>
      <c r="B179" s="30">
        <f t="shared" ca="1" si="5"/>
        <v>5</v>
      </c>
    </row>
    <row r="180" spans="1:2" x14ac:dyDescent="0.25">
      <c r="A180" s="30">
        <v>142</v>
      </c>
      <c r="B180" s="30">
        <f t="shared" ca="1" si="5"/>
        <v>6</v>
      </c>
    </row>
    <row r="181" spans="1:2" x14ac:dyDescent="0.25">
      <c r="A181" s="30">
        <v>143</v>
      </c>
      <c r="B181" s="30">
        <f t="shared" ca="1" si="5"/>
        <v>4</v>
      </c>
    </row>
    <row r="182" spans="1:2" x14ac:dyDescent="0.25">
      <c r="A182" s="30">
        <v>144</v>
      </c>
      <c r="B182" s="30">
        <f t="shared" ca="1" si="5"/>
        <v>2</v>
      </c>
    </row>
    <row r="183" spans="1:2" x14ac:dyDescent="0.25">
      <c r="A183" s="30">
        <v>145</v>
      </c>
      <c r="B183" s="30">
        <f t="shared" ca="1" si="5"/>
        <v>5</v>
      </c>
    </row>
    <row r="184" spans="1:2" x14ac:dyDescent="0.25">
      <c r="A184" s="30">
        <v>146</v>
      </c>
      <c r="B184" s="30">
        <f t="shared" ca="1" si="5"/>
        <v>5</v>
      </c>
    </row>
    <row r="185" spans="1:2" x14ac:dyDescent="0.25">
      <c r="A185" s="30">
        <v>147</v>
      </c>
      <c r="B185" s="30">
        <f t="shared" ca="1" si="5"/>
        <v>5</v>
      </c>
    </row>
    <row r="186" spans="1:2" x14ac:dyDescent="0.25">
      <c r="A186" s="30">
        <v>148</v>
      </c>
      <c r="B186" s="30">
        <f t="shared" ca="1" si="5"/>
        <v>6</v>
      </c>
    </row>
    <row r="187" spans="1:2" x14ac:dyDescent="0.25">
      <c r="A187" s="30">
        <v>149</v>
      </c>
      <c r="B187" s="30">
        <f t="shared" ca="1" si="5"/>
        <v>5</v>
      </c>
    </row>
    <row r="188" spans="1:2" x14ac:dyDescent="0.25">
      <c r="A188" s="30">
        <v>150</v>
      </c>
      <c r="B188" s="30">
        <f t="shared" ca="1" si="5"/>
        <v>7</v>
      </c>
    </row>
    <row r="189" spans="1:2" x14ac:dyDescent="0.25">
      <c r="A189" s="30">
        <v>151</v>
      </c>
      <c r="B189" s="30">
        <f t="shared" ca="1" si="5"/>
        <v>6</v>
      </c>
    </row>
    <row r="190" spans="1:2" x14ac:dyDescent="0.25">
      <c r="A190" s="30">
        <v>152</v>
      </c>
      <c r="B190" s="30">
        <f t="shared" ca="1" si="5"/>
        <v>4</v>
      </c>
    </row>
    <row r="191" spans="1:2" x14ac:dyDescent="0.25">
      <c r="A191" s="30">
        <v>153</v>
      </c>
      <c r="B191" s="30">
        <f t="shared" ca="1" si="5"/>
        <v>7</v>
      </c>
    </row>
    <row r="192" spans="1:2" x14ac:dyDescent="0.25">
      <c r="A192" s="30">
        <v>154</v>
      </c>
      <c r="B192" s="30">
        <f t="shared" ca="1" si="5"/>
        <v>5</v>
      </c>
    </row>
    <row r="193" spans="1:2" x14ac:dyDescent="0.25">
      <c r="A193" s="30">
        <v>155</v>
      </c>
      <c r="B193" s="30">
        <f t="shared" ca="1" si="5"/>
        <v>6</v>
      </c>
    </row>
    <row r="194" spans="1:2" x14ac:dyDescent="0.25">
      <c r="A194" s="30">
        <v>156</v>
      </c>
      <c r="B194" s="30">
        <f t="shared" ca="1" si="5"/>
        <v>4</v>
      </c>
    </row>
    <row r="195" spans="1:2" x14ac:dyDescent="0.25">
      <c r="A195" s="30">
        <v>157</v>
      </c>
      <c r="B195" s="30">
        <f t="shared" ca="1" si="5"/>
        <v>3</v>
      </c>
    </row>
    <row r="196" spans="1:2" x14ac:dyDescent="0.25">
      <c r="A196" s="30">
        <v>158</v>
      </c>
      <c r="B196" s="30">
        <f t="shared" ca="1" si="5"/>
        <v>6</v>
      </c>
    </row>
    <row r="197" spans="1:2" x14ac:dyDescent="0.25">
      <c r="A197" s="30">
        <v>159</v>
      </c>
      <c r="B197" s="30">
        <f t="shared" ca="1" si="5"/>
        <v>3</v>
      </c>
    </row>
    <row r="198" spans="1:2" x14ac:dyDescent="0.25">
      <c r="A198" s="30">
        <v>160</v>
      </c>
      <c r="B198" s="30">
        <f t="shared" ca="1" si="5"/>
        <v>6</v>
      </c>
    </row>
    <row r="199" spans="1:2" x14ac:dyDescent="0.25">
      <c r="A199" s="30">
        <v>161</v>
      </c>
      <c r="B199" s="30">
        <f t="shared" ca="1" si="5"/>
        <v>7</v>
      </c>
    </row>
    <row r="200" spans="1:2" x14ac:dyDescent="0.25">
      <c r="A200" s="30">
        <v>162</v>
      </c>
      <c r="B200" s="30">
        <f t="shared" ca="1" si="5"/>
        <v>4</v>
      </c>
    </row>
    <row r="201" spans="1:2" x14ac:dyDescent="0.25">
      <c r="A201" s="30">
        <v>163</v>
      </c>
      <c r="B201" s="30">
        <f t="shared" ca="1" si="5"/>
        <v>5</v>
      </c>
    </row>
    <row r="202" spans="1:2" x14ac:dyDescent="0.25">
      <c r="A202" s="30">
        <v>164</v>
      </c>
      <c r="B202" s="30">
        <f t="shared" ca="1" si="5"/>
        <v>4</v>
      </c>
    </row>
    <row r="203" spans="1:2" x14ac:dyDescent="0.25">
      <c r="A203" s="30">
        <v>165</v>
      </c>
      <c r="B203" s="30">
        <f t="shared" ca="1" si="5"/>
        <v>6</v>
      </c>
    </row>
    <row r="204" spans="1:2" x14ac:dyDescent="0.25">
      <c r="A204" s="30">
        <v>166</v>
      </c>
      <c r="B204" s="30">
        <f t="shared" ca="1" si="5"/>
        <v>6</v>
      </c>
    </row>
    <row r="205" spans="1:2" x14ac:dyDescent="0.25">
      <c r="A205" s="30">
        <v>167</v>
      </c>
      <c r="B205" s="30">
        <f t="shared" ca="1" si="5"/>
        <v>3</v>
      </c>
    </row>
    <row r="206" spans="1:2" x14ac:dyDescent="0.25">
      <c r="A206" s="30">
        <v>168</v>
      </c>
      <c r="B206" s="30">
        <f t="shared" ca="1" si="5"/>
        <v>6</v>
      </c>
    </row>
    <row r="207" spans="1:2" x14ac:dyDescent="0.25">
      <c r="A207" s="30">
        <v>169</v>
      </c>
      <c r="B207" s="30">
        <f t="shared" ca="1" si="5"/>
        <v>3</v>
      </c>
    </row>
    <row r="208" spans="1:2" x14ac:dyDescent="0.25">
      <c r="A208" s="30">
        <v>170</v>
      </c>
      <c r="B208" s="30">
        <f t="shared" ca="1" si="5"/>
        <v>5</v>
      </c>
    </row>
    <row r="209" spans="1:2" x14ac:dyDescent="0.25">
      <c r="A209" s="30">
        <v>171</v>
      </c>
      <c r="B209" s="30">
        <f t="shared" ca="1" si="5"/>
        <v>7</v>
      </c>
    </row>
    <row r="210" spans="1:2" x14ac:dyDescent="0.25">
      <c r="A210" s="30">
        <v>172</v>
      </c>
      <c r="B210" s="30">
        <f t="shared" ca="1" si="5"/>
        <v>4</v>
      </c>
    </row>
    <row r="211" spans="1:2" x14ac:dyDescent="0.25">
      <c r="A211" s="30">
        <v>173</v>
      </c>
      <c r="B211" s="30">
        <f t="shared" ca="1" si="5"/>
        <v>9</v>
      </c>
    </row>
    <row r="212" spans="1:2" x14ac:dyDescent="0.25">
      <c r="A212" s="30">
        <v>174</v>
      </c>
      <c r="B212" s="30">
        <f t="shared" ca="1" si="5"/>
        <v>3</v>
      </c>
    </row>
    <row r="213" spans="1:2" x14ac:dyDescent="0.25">
      <c r="A213" s="30">
        <v>175</v>
      </c>
      <c r="B213" s="30">
        <f t="shared" ca="1" si="5"/>
        <v>6</v>
      </c>
    </row>
    <row r="214" spans="1:2" x14ac:dyDescent="0.25">
      <c r="A214" s="30">
        <v>176</v>
      </c>
      <c r="B214" s="30">
        <f t="shared" ca="1" si="5"/>
        <v>7</v>
      </c>
    </row>
    <row r="215" spans="1:2" x14ac:dyDescent="0.25">
      <c r="A215" s="30">
        <v>177</v>
      </c>
      <c r="B215" s="30">
        <f t="shared" ca="1" si="5"/>
        <v>4</v>
      </c>
    </row>
    <row r="216" spans="1:2" x14ac:dyDescent="0.25">
      <c r="A216" s="30">
        <v>178</v>
      </c>
      <c r="B216" s="30">
        <f t="shared" ca="1" si="5"/>
        <v>5</v>
      </c>
    </row>
    <row r="217" spans="1:2" x14ac:dyDescent="0.25">
      <c r="A217" s="30">
        <v>179</v>
      </c>
      <c r="B217" s="30">
        <f t="shared" ca="1" si="5"/>
        <v>2</v>
      </c>
    </row>
    <row r="218" spans="1:2" x14ac:dyDescent="0.25">
      <c r="A218" s="30">
        <v>180</v>
      </c>
      <c r="B218" s="30">
        <f t="shared" ca="1" si="5"/>
        <v>5</v>
      </c>
    </row>
    <row r="219" spans="1:2" x14ac:dyDescent="0.25">
      <c r="A219" s="30">
        <v>181</v>
      </c>
      <c r="B219" s="30">
        <f t="shared" ca="1" si="5"/>
        <v>3</v>
      </c>
    </row>
    <row r="220" spans="1:2" x14ac:dyDescent="0.25">
      <c r="A220" s="30">
        <v>182</v>
      </c>
      <c r="B220" s="30">
        <f t="shared" ca="1" si="5"/>
        <v>7</v>
      </c>
    </row>
    <row r="221" spans="1:2" x14ac:dyDescent="0.25">
      <c r="A221" s="30">
        <v>183</v>
      </c>
      <c r="B221" s="30">
        <f t="shared" ca="1" si="5"/>
        <v>5</v>
      </c>
    </row>
    <row r="222" spans="1:2" x14ac:dyDescent="0.25">
      <c r="A222" s="30">
        <v>184</v>
      </c>
      <c r="B222" s="30">
        <f t="shared" ca="1" si="5"/>
        <v>4</v>
      </c>
    </row>
    <row r="223" spans="1:2" x14ac:dyDescent="0.25">
      <c r="A223" s="30">
        <v>185</v>
      </c>
      <c r="B223" s="30">
        <f t="shared" ca="1" si="5"/>
        <v>6</v>
      </c>
    </row>
    <row r="224" spans="1:2" x14ac:dyDescent="0.25">
      <c r="A224" s="30">
        <v>186</v>
      </c>
      <c r="B224" s="30">
        <f t="shared" ca="1" si="5"/>
        <v>2</v>
      </c>
    </row>
    <row r="225" spans="1:2" x14ac:dyDescent="0.25">
      <c r="A225" s="30">
        <v>187</v>
      </c>
      <c r="B225" s="30">
        <f t="shared" ca="1" si="5"/>
        <v>2</v>
      </c>
    </row>
    <row r="226" spans="1:2" x14ac:dyDescent="0.25">
      <c r="A226" s="30">
        <v>188</v>
      </c>
      <c r="B226" s="30">
        <f t="shared" ca="1" si="5"/>
        <v>7</v>
      </c>
    </row>
    <row r="227" spans="1:2" x14ac:dyDescent="0.25">
      <c r="A227" s="30">
        <v>189</v>
      </c>
      <c r="B227" s="30">
        <f t="shared" ca="1" si="5"/>
        <v>6</v>
      </c>
    </row>
    <row r="228" spans="1:2" x14ac:dyDescent="0.25">
      <c r="A228" s="30">
        <v>190</v>
      </c>
      <c r="B228" s="30">
        <f t="shared" ca="1" si="5"/>
        <v>6</v>
      </c>
    </row>
    <row r="229" spans="1:2" x14ac:dyDescent="0.25">
      <c r="A229" s="30">
        <v>191</v>
      </c>
      <c r="B229" s="30">
        <f t="shared" ca="1" si="5"/>
        <v>6</v>
      </c>
    </row>
    <row r="230" spans="1:2" x14ac:dyDescent="0.25">
      <c r="A230" s="30">
        <v>192</v>
      </c>
      <c r="B230" s="30">
        <f t="shared" ca="1" si="5"/>
        <v>3</v>
      </c>
    </row>
    <row r="231" spans="1:2" x14ac:dyDescent="0.25">
      <c r="A231" s="30">
        <v>193</v>
      </c>
      <c r="B231" s="30">
        <f t="shared" ca="1" si="5"/>
        <v>4</v>
      </c>
    </row>
    <row r="232" spans="1:2" x14ac:dyDescent="0.25">
      <c r="A232" s="30">
        <v>194</v>
      </c>
      <c r="B232" s="30">
        <f t="shared" ref="B232:B295" ca="1" si="6">+_xlfn.BINOM.INV($B$4,$B$5,RAND())</f>
        <v>2</v>
      </c>
    </row>
    <row r="233" spans="1:2" x14ac:dyDescent="0.25">
      <c r="A233" s="30">
        <v>195</v>
      </c>
      <c r="B233" s="30">
        <f t="shared" ca="1" si="6"/>
        <v>7</v>
      </c>
    </row>
    <row r="234" spans="1:2" x14ac:dyDescent="0.25">
      <c r="A234" s="30">
        <v>196</v>
      </c>
      <c r="B234" s="30">
        <f t="shared" ca="1" si="6"/>
        <v>4</v>
      </c>
    </row>
    <row r="235" spans="1:2" x14ac:dyDescent="0.25">
      <c r="A235" s="30">
        <v>197</v>
      </c>
      <c r="B235" s="30">
        <f t="shared" ca="1" si="6"/>
        <v>5</v>
      </c>
    </row>
    <row r="236" spans="1:2" x14ac:dyDescent="0.25">
      <c r="A236" s="30">
        <v>198</v>
      </c>
      <c r="B236" s="30">
        <f t="shared" ca="1" si="6"/>
        <v>2</v>
      </c>
    </row>
    <row r="237" spans="1:2" x14ac:dyDescent="0.25">
      <c r="A237" s="30">
        <v>199</v>
      </c>
      <c r="B237" s="30">
        <f t="shared" ca="1" si="6"/>
        <v>6</v>
      </c>
    </row>
    <row r="238" spans="1:2" x14ac:dyDescent="0.25">
      <c r="A238" s="30">
        <v>200</v>
      </c>
      <c r="B238" s="30">
        <f t="shared" ca="1" si="6"/>
        <v>9</v>
      </c>
    </row>
    <row r="239" spans="1:2" x14ac:dyDescent="0.25">
      <c r="A239" s="30">
        <v>201</v>
      </c>
      <c r="B239" s="30">
        <f t="shared" ca="1" si="6"/>
        <v>10</v>
      </c>
    </row>
    <row r="240" spans="1:2" x14ac:dyDescent="0.25">
      <c r="A240" s="30">
        <v>202</v>
      </c>
      <c r="B240" s="30">
        <f t="shared" ca="1" si="6"/>
        <v>7</v>
      </c>
    </row>
    <row r="241" spans="1:2" x14ac:dyDescent="0.25">
      <c r="A241" s="30">
        <v>203</v>
      </c>
      <c r="B241" s="30">
        <f t="shared" ca="1" si="6"/>
        <v>7</v>
      </c>
    </row>
    <row r="242" spans="1:2" x14ac:dyDescent="0.25">
      <c r="A242" s="30">
        <v>204</v>
      </c>
      <c r="B242" s="30">
        <f t="shared" ca="1" si="6"/>
        <v>4</v>
      </c>
    </row>
    <row r="243" spans="1:2" x14ac:dyDescent="0.25">
      <c r="A243" s="30">
        <v>205</v>
      </c>
      <c r="B243" s="30">
        <f t="shared" ca="1" si="6"/>
        <v>5</v>
      </c>
    </row>
    <row r="244" spans="1:2" x14ac:dyDescent="0.25">
      <c r="A244" s="30">
        <v>206</v>
      </c>
      <c r="B244" s="30">
        <f t="shared" ca="1" si="6"/>
        <v>4</v>
      </c>
    </row>
    <row r="245" spans="1:2" x14ac:dyDescent="0.25">
      <c r="A245" s="30">
        <v>207</v>
      </c>
      <c r="B245" s="30">
        <f t="shared" ca="1" si="6"/>
        <v>6</v>
      </c>
    </row>
    <row r="246" spans="1:2" x14ac:dyDescent="0.25">
      <c r="A246" s="30">
        <v>208</v>
      </c>
      <c r="B246" s="30">
        <f t="shared" ca="1" si="6"/>
        <v>6</v>
      </c>
    </row>
    <row r="247" spans="1:2" x14ac:dyDescent="0.25">
      <c r="A247" s="30">
        <v>209</v>
      </c>
      <c r="B247" s="30">
        <f t="shared" ca="1" si="6"/>
        <v>5</v>
      </c>
    </row>
    <row r="248" spans="1:2" x14ac:dyDescent="0.25">
      <c r="A248" s="30">
        <v>210</v>
      </c>
      <c r="B248" s="30">
        <f t="shared" ca="1" si="6"/>
        <v>4</v>
      </c>
    </row>
    <row r="249" spans="1:2" x14ac:dyDescent="0.25">
      <c r="A249" s="30">
        <v>211</v>
      </c>
      <c r="B249" s="30">
        <f t="shared" ca="1" si="6"/>
        <v>5</v>
      </c>
    </row>
    <row r="250" spans="1:2" x14ac:dyDescent="0.25">
      <c r="A250" s="30">
        <v>212</v>
      </c>
      <c r="B250" s="30">
        <f t="shared" ca="1" si="6"/>
        <v>7</v>
      </c>
    </row>
    <row r="251" spans="1:2" x14ac:dyDescent="0.25">
      <c r="A251" s="30">
        <v>213</v>
      </c>
      <c r="B251" s="30">
        <f t="shared" ca="1" si="6"/>
        <v>4</v>
      </c>
    </row>
    <row r="252" spans="1:2" x14ac:dyDescent="0.25">
      <c r="A252" s="30">
        <v>214</v>
      </c>
      <c r="B252" s="30">
        <f t="shared" ca="1" si="6"/>
        <v>5</v>
      </c>
    </row>
    <row r="253" spans="1:2" x14ac:dyDescent="0.25">
      <c r="A253" s="30">
        <v>215</v>
      </c>
      <c r="B253" s="30">
        <f t="shared" ca="1" si="6"/>
        <v>5</v>
      </c>
    </row>
    <row r="254" spans="1:2" x14ac:dyDescent="0.25">
      <c r="A254" s="30">
        <v>216</v>
      </c>
      <c r="B254" s="30">
        <f t="shared" ca="1" si="6"/>
        <v>6</v>
      </c>
    </row>
    <row r="255" spans="1:2" x14ac:dyDescent="0.25">
      <c r="A255" s="30">
        <v>217</v>
      </c>
      <c r="B255" s="30">
        <f t="shared" ca="1" si="6"/>
        <v>6</v>
      </c>
    </row>
    <row r="256" spans="1:2" x14ac:dyDescent="0.25">
      <c r="A256" s="30">
        <v>218</v>
      </c>
      <c r="B256" s="30">
        <f t="shared" ca="1" si="6"/>
        <v>8</v>
      </c>
    </row>
    <row r="257" spans="1:2" x14ac:dyDescent="0.25">
      <c r="A257" s="30">
        <v>219</v>
      </c>
      <c r="B257" s="30">
        <f t="shared" ca="1" si="6"/>
        <v>3</v>
      </c>
    </row>
    <row r="258" spans="1:2" x14ac:dyDescent="0.25">
      <c r="A258" s="30">
        <v>220</v>
      </c>
      <c r="B258" s="30">
        <f t="shared" ca="1" si="6"/>
        <v>4</v>
      </c>
    </row>
    <row r="259" spans="1:2" x14ac:dyDescent="0.25">
      <c r="A259" s="30">
        <v>221</v>
      </c>
      <c r="B259" s="30">
        <f t="shared" ca="1" si="6"/>
        <v>6</v>
      </c>
    </row>
    <row r="260" spans="1:2" x14ac:dyDescent="0.25">
      <c r="A260" s="30">
        <v>222</v>
      </c>
      <c r="B260" s="30">
        <f t="shared" ca="1" si="6"/>
        <v>4</v>
      </c>
    </row>
    <row r="261" spans="1:2" x14ac:dyDescent="0.25">
      <c r="A261" s="30">
        <v>223</v>
      </c>
      <c r="B261" s="30">
        <f t="shared" ca="1" si="6"/>
        <v>5</v>
      </c>
    </row>
    <row r="262" spans="1:2" x14ac:dyDescent="0.25">
      <c r="A262" s="30">
        <v>224</v>
      </c>
      <c r="B262" s="30">
        <f t="shared" ca="1" si="6"/>
        <v>3</v>
      </c>
    </row>
    <row r="263" spans="1:2" x14ac:dyDescent="0.25">
      <c r="A263" s="30">
        <v>225</v>
      </c>
      <c r="B263" s="30">
        <f t="shared" ca="1" si="6"/>
        <v>7</v>
      </c>
    </row>
    <row r="264" spans="1:2" x14ac:dyDescent="0.25">
      <c r="A264" s="30">
        <v>226</v>
      </c>
      <c r="B264" s="30">
        <f t="shared" ca="1" si="6"/>
        <v>2</v>
      </c>
    </row>
    <row r="265" spans="1:2" x14ac:dyDescent="0.25">
      <c r="A265" s="30">
        <v>227</v>
      </c>
      <c r="B265" s="30">
        <f t="shared" ca="1" si="6"/>
        <v>6</v>
      </c>
    </row>
    <row r="266" spans="1:2" x14ac:dyDescent="0.25">
      <c r="A266" s="30">
        <v>228</v>
      </c>
      <c r="B266" s="30">
        <f t="shared" ca="1" si="6"/>
        <v>5</v>
      </c>
    </row>
    <row r="267" spans="1:2" x14ac:dyDescent="0.25">
      <c r="A267" s="30">
        <v>229</v>
      </c>
      <c r="B267" s="30">
        <f t="shared" ca="1" si="6"/>
        <v>6</v>
      </c>
    </row>
    <row r="268" spans="1:2" x14ac:dyDescent="0.25">
      <c r="A268" s="30">
        <v>230</v>
      </c>
      <c r="B268" s="30">
        <f t="shared" ca="1" si="6"/>
        <v>1</v>
      </c>
    </row>
    <row r="269" spans="1:2" x14ac:dyDescent="0.25">
      <c r="A269" s="30">
        <v>231</v>
      </c>
      <c r="B269" s="30">
        <f t="shared" ca="1" si="6"/>
        <v>7</v>
      </c>
    </row>
    <row r="270" spans="1:2" x14ac:dyDescent="0.25">
      <c r="A270" s="30">
        <v>232</v>
      </c>
      <c r="B270" s="30">
        <f t="shared" ca="1" si="6"/>
        <v>3</v>
      </c>
    </row>
    <row r="271" spans="1:2" x14ac:dyDescent="0.25">
      <c r="A271" s="30">
        <v>233</v>
      </c>
      <c r="B271" s="30">
        <f t="shared" ca="1" si="6"/>
        <v>5</v>
      </c>
    </row>
    <row r="272" spans="1:2" x14ac:dyDescent="0.25">
      <c r="A272" s="30">
        <v>234</v>
      </c>
      <c r="B272" s="30">
        <f t="shared" ca="1" si="6"/>
        <v>7</v>
      </c>
    </row>
    <row r="273" spans="1:2" x14ac:dyDescent="0.25">
      <c r="A273" s="30">
        <v>235</v>
      </c>
      <c r="B273" s="30">
        <f t="shared" ca="1" si="6"/>
        <v>6</v>
      </c>
    </row>
    <row r="274" spans="1:2" x14ac:dyDescent="0.25">
      <c r="A274" s="30">
        <v>236</v>
      </c>
      <c r="B274" s="30">
        <f t="shared" ca="1" si="6"/>
        <v>4</v>
      </c>
    </row>
    <row r="275" spans="1:2" x14ac:dyDescent="0.25">
      <c r="A275" s="30">
        <v>237</v>
      </c>
      <c r="B275" s="30">
        <f t="shared" ca="1" si="6"/>
        <v>3</v>
      </c>
    </row>
    <row r="276" spans="1:2" x14ac:dyDescent="0.25">
      <c r="A276" s="30">
        <v>238</v>
      </c>
      <c r="B276" s="30">
        <f t="shared" ca="1" si="6"/>
        <v>5</v>
      </c>
    </row>
    <row r="277" spans="1:2" x14ac:dyDescent="0.25">
      <c r="A277" s="30">
        <v>239</v>
      </c>
      <c r="B277" s="30">
        <f t="shared" ca="1" si="6"/>
        <v>4</v>
      </c>
    </row>
    <row r="278" spans="1:2" x14ac:dyDescent="0.25">
      <c r="A278" s="30">
        <v>240</v>
      </c>
      <c r="B278" s="30">
        <f t="shared" ca="1" si="6"/>
        <v>4</v>
      </c>
    </row>
    <row r="279" spans="1:2" x14ac:dyDescent="0.25">
      <c r="A279" s="30">
        <v>241</v>
      </c>
      <c r="B279" s="30">
        <f t="shared" ca="1" si="6"/>
        <v>7</v>
      </c>
    </row>
    <row r="280" spans="1:2" x14ac:dyDescent="0.25">
      <c r="A280" s="30">
        <v>242</v>
      </c>
      <c r="B280" s="30">
        <f t="shared" ca="1" si="6"/>
        <v>5</v>
      </c>
    </row>
    <row r="281" spans="1:2" x14ac:dyDescent="0.25">
      <c r="A281" s="30">
        <v>243</v>
      </c>
      <c r="B281" s="30">
        <f t="shared" ca="1" si="6"/>
        <v>5</v>
      </c>
    </row>
    <row r="282" spans="1:2" x14ac:dyDescent="0.25">
      <c r="A282" s="30">
        <v>244</v>
      </c>
      <c r="B282" s="30">
        <f t="shared" ca="1" si="6"/>
        <v>3</v>
      </c>
    </row>
    <row r="283" spans="1:2" x14ac:dyDescent="0.25">
      <c r="A283" s="30">
        <v>245</v>
      </c>
      <c r="B283" s="30">
        <f t="shared" ca="1" si="6"/>
        <v>5</v>
      </c>
    </row>
    <row r="284" spans="1:2" x14ac:dyDescent="0.25">
      <c r="A284" s="30">
        <v>246</v>
      </c>
      <c r="B284" s="30">
        <f t="shared" ca="1" si="6"/>
        <v>6</v>
      </c>
    </row>
    <row r="285" spans="1:2" x14ac:dyDescent="0.25">
      <c r="A285" s="30">
        <v>247</v>
      </c>
      <c r="B285" s="30">
        <f t="shared" ca="1" si="6"/>
        <v>6</v>
      </c>
    </row>
    <row r="286" spans="1:2" x14ac:dyDescent="0.25">
      <c r="A286" s="30">
        <v>248</v>
      </c>
      <c r="B286" s="30">
        <f t="shared" ca="1" si="6"/>
        <v>5</v>
      </c>
    </row>
    <row r="287" spans="1:2" x14ac:dyDescent="0.25">
      <c r="A287" s="30">
        <v>249</v>
      </c>
      <c r="B287" s="30">
        <f t="shared" ca="1" si="6"/>
        <v>3</v>
      </c>
    </row>
    <row r="288" spans="1:2" x14ac:dyDescent="0.25">
      <c r="A288" s="30">
        <v>250</v>
      </c>
      <c r="B288" s="30">
        <f t="shared" ca="1" si="6"/>
        <v>6</v>
      </c>
    </row>
    <row r="289" spans="1:2" x14ac:dyDescent="0.25">
      <c r="A289" s="30">
        <v>251</v>
      </c>
      <c r="B289" s="30">
        <f t="shared" ca="1" si="6"/>
        <v>3</v>
      </c>
    </row>
    <row r="290" spans="1:2" x14ac:dyDescent="0.25">
      <c r="A290" s="30">
        <v>252</v>
      </c>
      <c r="B290" s="30">
        <f t="shared" ca="1" si="6"/>
        <v>6</v>
      </c>
    </row>
    <row r="291" spans="1:2" x14ac:dyDescent="0.25">
      <c r="A291" s="30">
        <v>253</v>
      </c>
      <c r="B291" s="30">
        <f t="shared" ca="1" si="6"/>
        <v>4</v>
      </c>
    </row>
    <row r="292" spans="1:2" x14ac:dyDescent="0.25">
      <c r="A292" s="30">
        <v>254</v>
      </c>
      <c r="B292" s="30">
        <f t="shared" ca="1" si="6"/>
        <v>3</v>
      </c>
    </row>
    <row r="293" spans="1:2" x14ac:dyDescent="0.25">
      <c r="A293" s="30">
        <v>255</v>
      </c>
      <c r="B293" s="30">
        <f t="shared" ca="1" si="6"/>
        <v>8</v>
      </c>
    </row>
    <row r="294" spans="1:2" x14ac:dyDescent="0.25">
      <c r="A294" s="30">
        <v>256</v>
      </c>
      <c r="B294" s="30">
        <f t="shared" ca="1" si="6"/>
        <v>10</v>
      </c>
    </row>
    <row r="295" spans="1:2" x14ac:dyDescent="0.25">
      <c r="A295" s="30">
        <v>257</v>
      </c>
      <c r="B295" s="30">
        <f t="shared" ca="1" si="6"/>
        <v>4</v>
      </c>
    </row>
    <row r="296" spans="1:2" x14ac:dyDescent="0.25">
      <c r="A296" s="30">
        <v>258</v>
      </c>
      <c r="B296" s="30">
        <f t="shared" ref="B296:B359" ca="1" si="7">+_xlfn.BINOM.INV($B$4,$B$5,RAND())</f>
        <v>3</v>
      </c>
    </row>
    <row r="297" spans="1:2" x14ac:dyDescent="0.25">
      <c r="A297" s="30">
        <v>259</v>
      </c>
      <c r="B297" s="30">
        <f t="shared" ca="1" si="7"/>
        <v>2</v>
      </c>
    </row>
    <row r="298" spans="1:2" x14ac:dyDescent="0.25">
      <c r="A298" s="30">
        <v>260</v>
      </c>
      <c r="B298" s="30">
        <f t="shared" ca="1" si="7"/>
        <v>4</v>
      </c>
    </row>
    <row r="299" spans="1:2" x14ac:dyDescent="0.25">
      <c r="A299" s="30">
        <v>261</v>
      </c>
      <c r="B299" s="30">
        <f t="shared" ca="1" si="7"/>
        <v>5</v>
      </c>
    </row>
    <row r="300" spans="1:2" x14ac:dyDescent="0.25">
      <c r="A300" s="30">
        <v>262</v>
      </c>
      <c r="B300" s="30">
        <f t="shared" ca="1" si="7"/>
        <v>7</v>
      </c>
    </row>
    <row r="301" spans="1:2" x14ac:dyDescent="0.25">
      <c r="A301" s="30">
        <v>263</v>
      </c>
      <c r="B301" s="30">
        <f t="shared" ca="1" si="7"/>
        <v>2</v>
      </c>
    </row>
    <row r="302" spans="1:2" x14ac:dyDescent="0.25">
      <c r="A302" s="30">
        <v>264</v>
      </c>
      <c r="B302" s="30">
        <f t="shared" ca="1" si="7"/>
        <v>4</v>
      </c>
    </row>
    <row r="303" spans="1:2" x14ac:dyDescent="0.25">
      <c r="A303" s="30">
        <v>265</v>
      </c>
      <c r="B303" s="30">
        <f t="shared" ca="1" si="7"/>
        <v>7</v>
      </c>
    </row>
    <row r="304" spans="1:2" x14ac:dyDescent="0.25">
      <c r="A304" s="30">
        <v>266</v>
      </c>
      <c r="B304" s="30">
        <f t="shared" ca="1" si="7"/>
        <v>5</v>
      </c>
    </row>
    <row r="305" spans="1:2" x14ac:dyDescent="0.25">
      <c r="A305" s="30">
        <v>267</v>
      </c>
      <c r="B305" s="30">
        <f t="shared" ca="1" si="7"/>
        <v>5</v>
      </c>
    </row>
    <row r="306" spans="1:2" x14ac:dyDescent="0.25">
      <c r="A306" s="30">
        <v>268</v>
      </c>
      <c r="B306" s="30">
        <f t="shared" ca="1" si="7"/>
        <v>5</v>
      </c>
    </row>
    <row r="307" spans="1:2" x14ac:dyDescent="0.25">
      <c r="A307" s="30">
        <v>269</v>
      </c>
      <c r="B307" s="30">
        <f t="shared" ca="1" si="7"/>
        <v>9</v>
      </c>
    </row>
    <row r="308" spans="1:2" x14ac:dyDescent="0.25">
      <c r="A308" s="30">
        <v>270</v>
      </c>
      <c r="B308" s="30">
        <f t="shared" ca="1" si="7"/>
        <v>3</v>
      </c>
    </row>
    <row r="309" spans="1:2" x14ac:dyDescent="0.25">
      <c r="A309" s="30">
        <v>271</v>
      </c>
      <c r="B309" s="30">
        <f t="shared" ca="1" si="7"/>
        <v>5</v>
      </c>
    </row>
    <row r="310" spans="1:2" x14ac:dyDescent="0.25">
      <c r="A310" s="30">
        <v>272</v>
      </c>
      <c r="B310" s="30">
        <f t="shared" ca="1" si="7"/>
        <v>2</v>
      </c>
    </row>
    <row r="311" spans="1:2" x14ac:dyDescent="0.25">
      <c r="A311" s="30">
        <v>273</v>
      </c>
      <c r="B311" s="30">
        <f t="shared" ca="1" si="7"/>
        <v>7</v>
      </c>
    </row>
    <row r="312" spans="1:2" x14ac:dyDescent="0.25">
      <c r="A312" s="30">
        <v>274</v>
      </c>
      <c r="B312" s="30">
        <f t="shared" ca="1" si="7"/>
        <v>9</v>
      </c>
    </row>
    <row r="313" spans="1:2" x14ac:dyDescent="0.25">
      <c r="A313" s="30">
        <v>275</v>
      </c>
      <c r="B313" s="30">
        <f t="shared" ca="1" si="7"/>
        <v>4</v>
      </c>
    </row>
    <row r="314" spans="1:2" x14ac:dyDescent="0.25">
      <c r="A314" s="30">
        <v>276</v>
      </c>
      <c r="B314" s="30">
        <f t="shared" ca="1" si="7"/>
        <v>4</v>
      </c>
    </row>
    <row r="315" spans="1:2" x14ac:dyDescent="0.25">
      <c r="A315" s="30">
        <v>277</v>
      </c>
      <c r="B315" s="30">
        <f t="shared" ca="1" si="7"/>
        <v>3</v>
      </c>
    </row>
    <row r="316" spans="1:2" x14ac:dyDescent="0.25">
      <c r="A316" s="30">
        <v>278</v>
      </c>
      <c r="B316" s="30">
        <f t="shared" ca="1" si="7"/>
        <v>1</v>
      </c>
    </row>
    <row r="317" spans="1:2" x14ac:dyDescent="0.25">
      <c r="A317" s="30">
        <v>279</v>
      </c>
      <c r="B317" s="30">
        <f t="shared" ca="1" si="7"/>
        <v>4</v>
      </c>
    </row>
    <row r="318" spans="1:2" x14ac:dyDescent="0.25">
      <c r="A318" s="30">
        <v>280</v>
      </c>
      <c r="B318" s="30">
        <f t="shared" ca="1" si="7"/>
        <v>3</v>
      </c>
    </row>
    <row r="319" spans="1:2" x14ac:dyDescent="0.25">
      <c r="A319" s="30">
        <v>281</v>
      </c>
      <c r="B319" s="30">
        <f t="shared" ca="1" si="7"/>
        <v>9</v>
      </c>
    </row>
    <row r="320" spans="1:2" x14ac:dyDescent="0.25">
      <c r="A320" s="30">
        <v>282</v>
      </c>
      <c r="B320" s="30">
        <f t="shared" ca="1" si="7"/>
        <v>4</v>
      </c>
    </row>
    <row r="321" spans="1:2" x14ac:dyDescent="0.25">
      <c r="A321" s="30">
        <v>283</v>
      </c>
      <c r="B321" s="30">
        <f t="shared" ca="1" si="7"/>
        <v>6</v>
      </c>
    </row>
    <row r="322" spans="1:2" x14ac:dyDescent="0.25">
      <c r="A322" s="30">
        <v>284</v>
      </c>
      <c r="B322" s="30">
        <f t="shared" ca="1" si="7"/>
        <v>3</v>
      </c>
    </row>
    <row r="323" spans="1:2" x14ac:dyDescent="0.25">
      <c r="A323" s="30">
        <v>285</v>
      </c>
      <c r="B323" s="30">
        <f t="shared" ca="1" si="7"/>
        <v>8</v>
      </c>
    </row>
    <row r="324" spans="1:2" x14ac:dyDescent="0.25">
      <c r="A324" s="30">
        <v>286</v>
      </c>
      <c r="B324" s="30">
        <f t="shared" ca="1" si="7"/>
        <v>8</v>
      </c>
    </row>
    <row r="325" spans="1:2" x14ac:dyDescent="0.25">
      <c r="A325" s="30">
        <v>287</v>
      </c>
      <c r="B325" s="30">
        <f t="shared" ca="1" si="7"/>
        <v>5</v>
      </c>
    </row>
    <row r="326" spans="1:2" x14ac:dyDescent="0.25">
      <c r="A326" s="30">
        <v>288</v>
      </c>
      <c r="B326" s="30">
        <f t="shared" ca="1" si="7"/>
        <v>5</v>
      </c>
    </row>
    <row r="327" spans="1:2" x14ac:dyDescent="0.25">
      <c r="A327" s="30">
        <v>289</v>
      </c>
      <c r="B327" s="30">
        <f t="shared" ca="1" si="7"/>
        <v>3</v>
      </c>
    </row>
    <row r="328" spans="1:2" x14ac:dyDescent="0.25">
      <c r="A328" s="30">
        <v>290</v>
      </c>
      <c r="B328" s="30">
        <f t="shared" ca="1" si="7"/>
        <v>5</v>
      </c>
    </row>
    <row r="329" spans="1:2" x14ac:dyDescent="0.25">
      <c r="A329" s="30">
        <v>291</v>
      </c>
      <c r="B329" s="30">
        <f t="shared" ca="1" si="7"/>
        <v>3</v>
      </c>
    </row>
    <row r="330" spans="1:2" x14ac:dyDescent="0.25">
      <c r="A330" s="30">
        <v>292</v>
      </c>
      <c r="B330" s="30">
        <f t="shared" ca="1" si="7"/>
        <v>2</v>
      </c>
    </row>
    <row r="331" spans="1:2" x14ac:dyDescent="0.25">
      <c r="A331" s="30">
        <v>293</v>
      </c>
      <c r="B331" s="30">
        <f t="shared" ca="1" si="7"/>
        <v>3</v>
      </c>
    </row>
    <row r="332" spans="1:2" x14ac:dyDescent="0.25">
      <c r="A332" s="30">
        <v>294</v>
      </c>
      <c r="B332" s="30">
        <f t="shared" ca="1" si="7"/>
        <v>3</v>
      </c>
    </row>
    <row r="333" spans="1:2" x14ac:dyDescent="0.25">
      <c r="A333" s="30">
        <v>295</v>
      </c>
      <c r="B333" s="30">
        <f t="shared" ca="1" si="7"/>
        <v>4</v>
      </c>
    </row>
    <row r="334" spans="1:2" x14ac:dyDescent="0.25">
      <c r="A334" s="30">
        <v>296</v>
      </c>
      <c r="B334" s="30">
        <f t="shared" ca="1" si="7"/>
        <v>4</v>
      </c>
    </row>
    <row r="335" spans="1:2" x14ac:dyDescent="0.25">
      <c r="A335" s="30">
        <v>297</v>
      </c>
      <c r="B335" s="30">
        <f t="shared" ca="1" si="7"/>
        <v>6</v>
      </c>
    </row>
    <row r="336" spans="1:2" x14ac:dyDescent="0.25">
      <c r="A336" s="30">
        <v>298</v>
      </c>
      <c r="B336" s="30">
        <f t="shared" ca="1" si="7"/>
        <v>3</v>
      </c>
    </row>
    <row r="337" spans="1:2" x14ac:dyDescent="0.25">
      <c r="A337" s="30">
        <v>299</v>
      </c>
      <c r="B337" s="30">
        <f t="shared" ca="1" si="7"/>
        <v>4</v>
      </c>
    </row>
    <row r="338" spans="1:2" x14ac:dyDescent="0.25">
      <c r="A338" s="30">
        <v>300</v>
      </c>
      <c r="B338" s="30">
        <f t="shared" ca="1" si="7"/>
        <v>7</v>
      </c>
    </row>
    <row r="339" spans="1:2" x14ac:dyDescent="0.25">
      <c r="A339" s="30">
        <v>301</v>
      </c>
      <c r="B339" s="30">
        <f t="shared" ca="1" si="7"/>
        <v>5</v>
      </c>
    </row>
    <row r="340" spans="1:2" x14ac:dyDescent="0.25">
      <c r="A340" s="30">
        <v>302</v>
      </c>
      <c r="B340" s="30">
        <f t="shared" ca="1" si="7"/>
        <v>5</v>
      </c>
    </row>
    <row r="341" spans="1:2" x14ac:dyDescent="0.25">
      <c r="A341" s="30">
        <v>303</v>
      </c>
      <c r="B341" s="30">
        <f t="shared" ca="1" si="7"/>
        <v>8</v>
      </c>
    </row>
    <row r="342" spans="1:2" x14ac:dyDescent="0.25">
      <c r="A342" s="30">
        <v>304</v>
      </c>
      <c r="B342" s="30">
        <f t="shared" ca="1" si="7"/>
        <v>4</v>
      </c>
    </row>
    <row r="343" spans="1:2" x14ac:dyDescent="0.25">
      <c r="A343" s="30">
        <v>305</v>
      </c>
      <c r="B343" s="30">
        <f t="shared" ca="1" si="7"/>
        <v>2</v>
      </c>
    </row>
    <row r="344" spans="1:2" x14ac:dyDescent="0.25">
      <c r="A344" s="30">
        <v>306</v>
      </c>
      <c r="B344" s="30">
        <f t="shared" ca="1" si="7"/>
        <v>6</v>
      </c>
    </row>
    <row r="345" spans="1:2" x14ac:dyDescent="0.25">
      <c r="A345" s="30">
        <v>307</v>
      </c>
      <c r="B345" s="30">
        <f t="shared" ca="1" si="7"/>
        <v>4</v>
      </c>
    </row>
    <row r="346" spans="1:2" x14ac:dyDescent="0.25">
      <c r="A346" s="30">
        <v>308</v>
      </c>
      <c r="B346" s="30">
        <f t="shared" ca="1" si="7"/>
        <v>5</v>
      </c>
    </row>
    <row r="347" spans="1:2" x14ac:dyDescent="0.25">
      <c r="A347" s="30">
        <v>309</v>
      </c>
      <c r="B347" s="30">
        <f t="shared" ca="1" si="7"/>
        <v>4</v>
      </c>
    </row>
    <row r="348" spans="1:2" x14ac:dyDescent="0.25">
      <c r="A348" s="30">
        <v>310</v>
      </c>
      <c r="B348" s="30">
        <f t="shared" ca="1" si="7"/>
        <v>4</v>
      </c>
    </row>
    <row r="349" spans="1:2" x14ac:dyDescent="0.25">
      <c r="A349" s="30">
        <v>311</v>
      </c>
      <c r="B349" s="30">
        <f t="shared" ca="1" si="7"/>
        <v>8</v>
      </c>
    </row>
    <row r="350" spans="1:2" x14ac:dyDescent="0.25">
      <c r="A350" s="30">
        <v>312</v>
      </c>
      <c r="B350" s="30">
        <f t="shared" ca="1" si="7"/>
        <v>5</v>
      </c>
    </row>
    <row r="351" spans="1:2" x14ac:dyDescent="0.25">
      <c r="A351" s="30">
        <v>313</v>
      </c>
      <c r="B351" s="30">
        <f t="shared" ca="1" si="7"/>
        <v>6</v>
      </c>
    </row>
    <row r="352" spans="1:2" x14ac:dyDescent="0.25">
      <c r="A352" s="30">
        <v>314</v>
      </c>
      <c r="B352" s="30">
        <f t="shared" ca="1" si="7"/>
        <v>3</v>
      </c>
    </row>
    <row r="353" spans="1:2" x14ac:dyDescent="0.25">
      <c r="A353" s="30">
        <v>315</v>
      </c>
      <c r="B353" s="30">
        <f t="shared" ca="1" si="7"/>
        <v>8</v>
      </c>
    </row>
    <row r="354" spans="1:2" x14ac:dyDescent="0.25">
      <c r="A354" s="30">
        <v>316</v>
      </c>
      <c r="B354" s="30">
        <f t="shared" ca="1" si="7"/>
        <v>5</v>
      </c>
    </row>
    <row r="355" spans="1:2" x14ac:dyDescent="0.25">
      <c r="A355" s="30">
        <v>317</v>
      </c>
      <c r="B355" s="30">
        <f t="shared" ca="1" si="7"/>
        <v>5</v>
      </c>
    </row>
    <row r="356" spans="1:2" x14ac:dyDescent="0.25">
      <c r="A356" s="30">
        <v>318</v>
      </c>
      <c r="B356" s="30">
        <f t="shared" ca="1" si="7"/>
        <v>6</v>
      </c>
    </row>
    <row r="357" spans="1:2" x14ac:dyDescent="0.25">
      <c r="A357" s="30">
        <v>319</v>
      </c>
      <c r="B357" s="30">
        <f t="shared" ca="1" si="7"/>
        <v>7</v>
      </c>
    </row>
    <row r="358" spans="1:2" x14ac:dyDescent="0.25">
      <c r="A358" s="30">
        <v>320</v>
      </c>
      <c r="B358" s="30">
        <f t="shared" ca="1" si="7"/>
        <v>7</v>
      </c>
    </row>
    <row r="359" spans="1:2" x14ac:dyDescent="0.25">
      <c r="A359" s="30">
        <v>321</v>
      </c>
      <c r="B359" s="30">
        <f t="shared" ca="1" si="7"/>
        <v>7</v>
      </c>
    </row>
    <row r="360" spans="1:2" x14ac:dyDescent="0.25">
      <c r="A360" s="30">
        <v>322</v>
      </c>
      <c r="B360" s="30">
        <f t="shared" ref="B360:B423" ca="1" si="8">+_xlfn.BINOM.INV($B$4,$B$5,RAND())</f>
        <v>7</v>
      </c>
    </row>
    <row r="361" spans="1:2" x14ac:dyDescent="0.25">
      <c r="A361" s="30">
        <v>323</v>
      </c>
      <c r="B361" s="30">
        <f t="shared" ca="1" si="8"/>
        <v>4</v>
      </c>
    </row>
    <row r="362" spans="1:2" x14ac:dyDescent="0.25">
      <c r="A362" s="30">
        <v>324</v>
      </c>
      <c r="B362" s="30">
        <f t="shared" ca="1" si="8"/>
        <v>3</v>
      </c>
    </row>
    <row r="363" spans="1:2" x14ac:dyDescent="0.25">
      <c r="A363" s="30">
        <v>325</v>
      </c>
      <c r="B363" s="30">
        <f t="shared" ca="1" si="8"/>
        <v>8</v>
      </c>
    </row>
    <row r="364" spans="1:2" x14ac:dyDescent="0.25">
      <c r="A364" s="30">
        <v>326</v>
      </c>
      <c r="B364" s="30">
        <f t="shared" ca="1" si="8"/>
        <v>5</v>
      </c>
    </row>
    <row r="365" spans="1:2" x14ac:dyDescent="0.25">
      <c r="A365" s="30">
        <v>327</v>
      </c>
      <c r="B365" s="30">
        <f t="shared" ca="1" si="8"/>
        <v>6</v>
      </c>
    </row>
    <row r="366" spans="1:2" x14ac:dyDescent="0.25">
      <c r="A366" s="30">
        <v>328</v>
      </c>
      <c r="B366" s="30">
        <f t="shared" ca="1" si="8"/>
        <v>4</v>
      </c>
    </row>
    <row r="367" spans="1:2" x14ac:dyDescent="0.25">
      <c r="A367" s="30">
        <v>329</v>
      </c>
      <c r="B367" s="30">
        <f t="shared" ca="1" si="8"/>
        <v>6</v>
      </c>
    </row>
    <row r="368" spans="1:2" x14ac:dyDescent="0.25">
      <c r="A368" s="30">
        <v>330</v>
      </c>
      <c r="B368" s="30">
        <f t="shared" ca="1" si="8"/>
        <v>6</v>
      </c>
    </row>
    <row r="369" spans="1:2" x14ac:dyDescent="0.25">
      <c r="A369" s="30">
        <v>331</v>
      </c>
      <c r="B369" s="30">
        <f t="shared" ca="1" si="8"/>
        <v>5</v>
      </c>
    </row>
    <row r="370" spans="1:2" x14ac:dyDescent="0.25">
      <c r="A370" s="30">
        <v>332</v>
      </c>
      <c r="B370" s="30">
        <f t="shared" ca="1" si="8"/>
        <v>5</v>
      </c>
    </row>
    <row r="371" spans="1:2" x14ac:dyDescent="0.25">
      <c r="A371" s="30">
        <v>333</v>
      </c>
      <c r="B371" s="30">
        <f t="shared" ca="1" si="8"/>
        <v>4</v>
      </c>
    </row>
    <row r="372" spans="1:2" x14ac:dyDescent="0.25">
      <c r="A372" s="30">
        <v>334</v>
      </c>
      <c r="B372" s="30">
        <f t="shared" ca="1" si="8"/>
        <v>7</v>
      </c>
    </row>
    <row r="373" spans="1:2" x14ac:dyDescent="0.25">
      <c r="A373" s="30">
        <v>335</v>
      </c>
      <c r="B373" s="30">
        <f t="shared" ca="1" si="8"/>
        <v>3</v>
      </c>
    </row>
    <row r="374" spans="1:2" x14ac:dyDescent="0.25">
      <c r="A374" s="30">
        <v>336</v>
      </c>
      <c r="B374" s="30">
        <f t="shared" ca="1" si="8"/>
        <v>3</v>
      </c>
    </row>
    <row r="375" spans="1:2" x14ac:dyDescent="0.25">
      <c r="A375" s="30">
        <v>337</v>
      </c>
      <c r="B375" s="30">
        <f t="shared" ca="1" si="8"/>
        <v>2</v>
      </c>
    </row>
    <row r="376" spans="1:2" x14ac:dyDescent="0.25">
      <c r="A376" s="30">
        <v>338</v>
      </c>
      <c r="B376" s="30">
        <f t="shared" ca="1" si="8"/>
        <v>2</v>
      </c>
    </row>
    <row r="377" spans="1:2" x14ac:dyDescent="0.25">
      <c r="A377" s="30">
        <v>339</v>
      </c>
      <c r="B377" s="30">
        <f t="shared" ca="1" si="8"/>
        <v>5</v>
      </c>
    </row>
    <row r="378" spans="1:2" x14ac:dyDescent="0.25">
      <c r="A378" s="30">
        <v>340</v>
      </c>
      <c r="B378" s="30">
        <f t="shared" ca="1" si="8"/>
        <v>4</v>
      </c>
    </row>
    <row r="379" spans="1:2" x14ac:dyDescent="0.25">
      <c r="A379" s="30">
        <v>341</v>
      </c>
      <c r="B379" s="30">
        <f t="shared" ca="1" si="8"/>
        <v>4</v>
      </c>
    </row>
    <row r="380" spans="1:2" x14ac:dyDescent="0.25">
      <c r="A380" s="30">
        <v>342</v>
      </c>
      <c r="B380" s="30">
        <f t="shared" ca="1" si="8"/>
        <v>9</v>
      </c>
    </row>
    <row r="381" spans="1:2" x14ac:dyDescent="0.25">
      <c r="A381" s="30">
        <v>343</v>
      </c>
      <c r="B381" s="30">
        <f t="shared" ca="1" si="8"/>
        <v>7</v>
      </c>
    </row>
    <row r="382" spans="1:2" x14ac:dyDescent="0.25">
      <c r="A382" s="30">
        <v>344</v>
      </c>
      <c r="B382" s="30">
        <f t="shared" ca="1" si="8"/>
        <v>4</v>
      </c>
    </row>
    <row r="383" spans="1:2" x14ac:dyDescent="0.25">
      <c r="A383" s="30">
        <v>345</v>
      </c>
      <c r="B383" s="30">
        <f t="shared" ca="1" si="8"/>
        <v>7</v>
      </c>
    </row>
    <row r="384" spans="1:2" x14ac:dyDescent="0.25">
      <c r="A384" s="30">
        <v>346</v>
      </c>
      <c r="B384" s="30">
        <f t="shared" ca="1" si="8"/>
        <v>5</v>
      </c>
    </row>
    <row r="385" spans="1:2" x14ac:dyDescent="0.25">
      <c r="A385" s="30">
        <v>347</v>
      </c>
      <c r="B385" s="30">
        <f t="shared" ca="1" si="8"/>
        <v>3</v>
      </c>
    </row>
    <row r="386" spans="1:2" x14ac:dyDescent="0.25">
      <c r="A386" s="30">
        <v>348</v>
      </c>
      <c r="B386" s="30">
        <f t="shared" ca="1" si="8"/>
        <v>3</v>
      </c>
    </row>
    <row r="387" spans="1:2" x14ac:dyDescent="0.25">
      <c r="A387" s="30">
        <v>349</v>
      </c>
      <c r="B387" s="30">
        <f t="shared" ca="1" si="8"/>
        <v>4</v>
      </c>
    </row>
    <row r="388" spans="1:2" x14ac:dyDescent="0.25">
      <c r="A388" s="30">
        <v>350</v>
      </c>
      <c r="B388" s="30">
        <f t="shared" ca="1" si="8"/>
        <v>5</v>
      </c>
    </row>
    <row r="389" spans="1:2" x14ac:dyDescent="0.25">
      <c r="A389" s="30">
        <v>351</v>
      </c>
      <c r="B389" s="30">
        <f t="shared" ca="1" si="8"/>
        <v>8</v>
      </c>
    </row>
    <row r="390" spans="1:2" x14ac:dyDescent="0.25">
      <c r="A390" s="30">
        <v>352</v>
      </c>
      <c r="B390" s="30">
        <f t="shared" ca="1" si="8"/>
        <v>3</v>
      </c>
    </row>
    <row r="391" spans="1:2" x14ac:dyDescent="0.25">
      <c r="A391" s="30">
        <v>353</v>
      </c>
      <c r="B391" s="30">
        <f t="shared" ca="1" si="8"/>
        <v>4</v>
      </c>
    </row>
    <row r="392" spans="1:2" x14ac:dyDescent="0.25">
      <c r="A392" s="30">
        <v>354</v>
      </c>
      <c r="B392" s="30">
        <f t="shared" ca="1" si="8"/>
        <v>5</v>
      </c>
    </row>
    <row r="393" spans="1:2" x14ac:dyDescent="0.25">
      <c r="A393" s="30">
        <v>355</v>
      </c>
      <c r="B393" s="30">
        <f t="shared" ca="1" si="8"/>
        <v>3</v>
      </c>
    </row>
    <row r="394" spans="1:2" x14ac:dyDescent="0.25">
      <c r="A394" s="30">
        <v>356</v>
      </c>
      <c r="B394" s="30">
        <f t="shared" ca="1" si="8"/>
        <v>7</v>
      </c>
    </row>
    <row r="395" spans="1:2" x14ac:dyDescent="0.25">
      <c r="A395" s="30">
        <v>357</v>
      </c>
      <c r="B395" s="30">
        <f t="shared" ca="1" si="8"/>
        <v>5</v>
      </c>
    </row>
    <row r="396" spans="1:2" x14ac:dyDescent="0.25">
      <c r="A396" s="30">
        <v>358</v>
      </c>
      <c r="B396" s="30">
        <f t="shared" ca="1" si="8"/>
        <v>5</v>
      </c>
    </row>
    <row r="397" spans="1:2" x14ac:dyDescent="0.25">
      <c r="A397" s="30">
        <v>359</v>
      </c>
      <c r="B397" s="30">
        <f t="shared" ca="1" si="8"/>
        <v>9</v>
      </c>
    </row>
    <row r="398" spans="1:2" x14ac:dyDescent="0.25">
      <c r="A398" s="30">
        <v>360</v>
      </c>
      <c r="B398" s="30">
        <f t="shared" ca="1" si="8"/>
        <v>7</v>
      </c>
    </row>
    <row r="399" spans="1:2" x14ac:dyDescent="0.25">
      <c r="A399" s="30">
        <v>361</v>
      </c>
      <c r="B399" s="30">
        <f t="shared" ca="1" si="8"/>
        <v>4</v>
      </c>
    </row>
    <row r="400" spans="1:2" x14ac:dyDescent="0.25">
      <c r="A400" s="30">
        <v>362</v>
      </c>
      <c r="B400" s="30">
        <f t="shared" ca="1" si="8"/>
        <v>2</v>
      </c>
    </row>
    <row r="401" spans="1:2" x14ac:dyDescent="0.25">
      <c r="A401" s="30">
        <v>363</v>
      </c>
      <c r="B401" s="30">
        <f t="shared" ca="1" si="8"/>
        <v>4</v>
      </c>
    </row>
    <row r="402" spans="1:2" x14ac:dyDescent="0.25">
      <c r="A402" s="30">
        <v>364</v>
      </c>
      <c r="B402" s="30">
        <f t="shared" ca="1" si="8"/>
        <v>7</v>
      </c>
    </row>
    <row r="403" spans="1:2" x14ac:dyDescent="0.25">
      <c r="A403" s="30">
        <v>365</v>
      </c>
      <c r="B403" s="30">
        <f t="shared" ca="1" si="8"/>
        <v>4</v>
      </c>
    </row>
    <row r="404" spans="1:2" x14ac:dyDescent="0.25">
      <c r="A404" s="30">
        <v>366</v>
      </c>
      <c r="B404" s="30">
        <f t="shared" ca="1" si="8"/>
        <v>7</v>
      </c>
    </row>
    <row r="405" spans="1:2" x14ac:dyDescent="0.25">
      <c r="A405" s="30">
        <v>367</v>
      </c>
      <c r="B405" s="30">
        <f t="shared" ca="1" si="8"/>
        <v>4</v>
      </c>
    </row>
    <row r="406" spans="1:2" x14ac:dyDescent="0.25">
      <c r="A406" s="30">
        <v>368</v>
      </c>
      <c r="B406" s="30">
        <f t="shared" ca="1" si="8"/>
        <v>9</v>
      </c>
    </row>
    <row r="407" spans="1:2" x14ac:dyDescent="0.25">
      <c r="A407" s="30">
        <v>369</v>
      </c>
      <c r="B407" s="30">
        <f t="shared" ca="1" si="8"/>
        <v>7</v>
      </c>
    </row>
    <row r="408" spans="1:2" x14ac:dyDescent="0.25">
      <c r="A408" s="30">
        <v>370</v>
      </c>
      <c r="B408" s="30">
        <f t="shared" ca="1" si="8"/>
        <v>3</v>
      </c>
    </row>
    <row r="409" spans="1:2" x14ac:dyDescent="0.25">
      <c r="A409" s="30">
        <v>371</v>
      </c>
      <c r="B409" s="30">
        <f t="shared" ca="1" si="8"/>
        <v>7</v>
      </c>
    </row>
    <row r="410" spans="1:2" x14ac:dyDescent="0.25">
      <c r="A410" s="30">
        <v>372</v>
      </c>
      <c r="B410" s="30">
        <f t="shared" ca="1" si="8"/>
        <v>6</v>
      </c>
    </row>
    <row r="411" spans="1:2" x14ac:dyDescent="0.25">
      <c r="A411" s="30">
        <v>373</v>
      </c>
      <c r="B411" s="30">
        <f t="shared" ca="1" si="8"/>
        <v>6</v>
      </c>
    </row>
    <row r="412" spans="1:2" x14ac:dyDescent="0.25">
      <c r="A412" s="30">
        <v>374</v>
      </c>
      <c r="B412" s="30">
        <f t="shared" ca="1" si="8"/>
        <v>5</v>
      </c>
    </row>
    <row r="413" spans="1:2" x14ac:dyDescent="0.25">
      <c r="A413" s="30">
        <v>375</v>
      </c>
      <c r="B413" s="30">
        <f t="shared" ca="1" si="8"/>
        <v>2</v>
      </c>
    </row>
    <row r="414" spans="1:2" x14ac:dyDescent="0.25">
      <c r="A414" s="30">
        <v>376</v>
      </c>
      <c r="B414" s="30">
        <f t="shared" ca="1" si="8"/>
        <v>3</v>
      </c>
    </row>
    <row r="415" spans="1:2" x14ac:dyDescent="0.25">
      <c r="A415" s="30">
        <v>377</v>
      </c>
      <c r="B415" s="30">
        <f t="shared" ca="1" si="8"/>
        <v>3</v>
      </c>
    </row>
    <row r="416" spans="1:2" x14ac:dyDescent="0.25">
      <c r="A416" s="30">
        <v>378</v>
      </c>
      <c r="B416" s="30">
        <f t="shared" ca="1" si="8"/>
        <v>4</v>
      </c>
    </row>
    <row r="417" spans="1:2" x14ac:dyDescent="0.25">
      <c r="A417" s="30">
        <v>379</v>
      </c>
      <c r="B417" s="30">
        <f t="shared" ca="1" si="8"/>
        <v>5</v>
      </c>
    </row>
    <row r="418" spans="1:2" x14ac:dyDescent="0.25">
      <c r="A418" s="30">
        <v>380</v>
      </c>
      <c r="B418" s="30">
        <f t="shared" ca="1" si="8"/>
        <v>7</v>
      </c>
    </row>
    <row r="419" spans="1:2" x14ac:dyDescent="0.25">
      <c r="A419" s="30">
        <v>381</v>
      </c>
      <c r="B419" s="30">
        <f t="shared" ca="1" si="8"/>
        <v>6</v>
      </c>
    </row>
    <row r="420" spans="1:2" x14ac:dyDescent="0.25">
      <c r="A420" s="30">
        <v>382</v>
      </c>
      <c r="B420" s="30">
        <f t="shared" ca="1" si="8"/>
        <v>2</v>
      </c>
    </row>
    <row r="421" spans="1:2" x14ac:dyDescent="0.25">
      <c r="A421" s="30">
        <v>383</v>
      </c>
      <c r="B421" s="30">
        <f t="shared" ca="1" si="8"/>
        <v>11</v>
      </c>
    </row>
    <row r="422" spans="1:2" x14ac:dyDescent="0.25">
      <c r="A422" s="30">
        <v>384</v>
      </c>
      <c r="B422" s="30">
        <f t="shared" ca="1" si="8"/>
        <v>2</v>
      </c>
    </row>
    <row r="423" spans="1:2" x14ac:dyDescent="0.25">
      <c r="A423" s="30">
        <v>385</v>
      </c>
      <c r="B423" s="30">
        <f t="shared" ca="1" si="8"/>
        <v>2</v>
      </c>
    </row>
    <row r="424" spans="1:2" x14ac:dyDescent="0.25">
      <c r="A424" s="30">
        <v>386</v>
      </c>
      <c r="B424" s="30">
        <f t="shared" ref="B424:B487" ca="1" si="9">+_xlfn.BINOM.INV($B$4,$B$5,RAND())</f>
        <v>4</v>
      </c>
    </row>
    <row r="425" spans="1:2" x14ac:dyDescent="0.25">
      <c r="A425" s="30">
        <v>387</v>
      </c>
      <c r="B425" s="30">
        <f t="shared" ca="1" si="9"/>
        <v>5</v>
      </c>
    </row>
    <row r="426" spans="1:2" x14ac:dyDescent="0.25">
      <c r="A426" s="30">
        <v>388</v>
      </c>
      <c r="B426" s="30">
        <f t="shared" ca="1" si="9"/>
        <v>5</v>
      </c>
    </row>
    <row r="427" spans="1:2" x14ac:dyDescent="0.25">
      <c r="A427" s="30">
        <v>389</v>
      </c>
      <c r="B427" s="30">
        <f t="shared" ca="1" si="9"/>
        <v>4</v>
      </c>
    </row>
    <row r="428" spans="1:2" x14ac:dyDescent="0.25">
      <c r="A428" s="30">
        <v>390</v>
      </c>
      <c r="B428" s="30">
        <f t="shared" ca="1" si="9"/>
        <v>3</v>
      </c>
    </row>
    <row r="429" spans="1:2" x14ac:dyDescent="0.25">
      <c r="A429" s="30">
        <v>391</v>
      </c>
      <c r="B429" s="30">
        <f t="shared" ca="1" si="9"/>
        <v>1</v>
      </c>
    </row>
    <row r="430" spans="1:2" x14ac:dyDescent="0.25">
      <c r="A430" s="30">
        <v>392</v>
      </c>
      <c r="B430" s="30">
        <f t="shared" ca="1" si="9"/>
        <v>8</v>
      </c>
    </row>
    <row r="431" spans="1:2" x14ac:dyDescent="0.25">
      <c r="A431" s="30">
        <v>393</v>
      </c>
      <c r="B431" s="30">
        <f t="shared" ca="1" si="9"/>
        <v>7</v>
      </c>
    </row>
    <row r="432" spans="1:2" x14ac:dyDescent="0.25">
      <c r="A432" s="30">
        <v>394</v>
      </c>
      <c r="B432" s="30">
        <f t="shared" ca="1" si="9"/>
        <v>5</v>
      </c>
    </row>
    <row r="433" spans="1:2" x14ac:dyDescent="0.25">
      <c r="A433" s="30">
        <v>395</v>
      </c>
      <c r="B433" s="30">
        <f t="shared" ca="1" si="9"/>
        <v>3</v>
      </c>
    </row>
    <row r="434" spans="1:2" x14ac:dyDescent="0.25">
      <c r="A434" s="30">
        <v>396</v>
      </c>
      <c r="B434" s="30">
        <f t="shared" ca="1" si="9"/>
        <v>8</v>
      </c>
    </row>
    <row r="435" spans="1:2" x14ac:dyDescent="0.25">
      <c r="A435" s="30">
        <v>397</v>
      </c>
      <c r="B435" s="30">
        <f t="shared" ca="1" si="9"/>
        <v>4</v>
      </c>
    </row>
    <row r="436" spans="1:2" x14ac:dyDescent="0.25">
      <c r="A436" s="30">
        <v>398</v>
      </c>
      <c r="B436" s="30">
        <f t="shared" ca="1" si="9"/>
        <v>4</v>
      </c>
    </row>
    <row r="437" spans="1:2" x14ac:dyDescent="0.25">
      <c r="A437" s="30">
        <v>399</v>
      </c>
      <c r="B437" s="30">
        <f t="shared" ca="1" si="9"/>
        <v>6</v>
      </c>
    </row>
    <row r="438" spans="1:2" x14ac:dyDescent="0.25">
      <c r="A438" s="30">
        <v>400</v>
      </c>
      <c r="B438" s="30">
        <f t="shared" ca="1" si="9"/>
        <v>6</v>
      </c>
    </row>
    <row r="439" spans="1:2" x14ac:dyDescent="0.25">
      <c r="A439" s="30">
        <v>401</v>
      </c>
      <c r="B439" s="30">
        <f t="shared" ca="1" si="9"/>
        <v>5</v>
      </c>
    </row>
    <row r="440" spans="1:2" x14ac:dyDescent="0.25">
      <c r="A440" s="30">
        <v>402</v>
      </c>
      <c r="B440" s="30">
        <f t="shared" ca="1" si="9"/>
        <v>10</v>
      </c>
    </row>
    <row r="441" spans="1:2" x14ac:dyDescent="0.25">
      <c r="A441" s="30">
        <v>403</v>
      </c>
      <c r="B441" s="30">
        <f t="shared" ca="1" si="9"/>
        <v>8</v>
      </c>
    </row>
    <row r="442" spans="1:2" x14ac:dyDescent="0.25">
      <c r="A442" s="30">
        <v>404</v>
      </c>
      <c r="B442" s="30">
        <f t="shared" ca="1" si="9"/>
        <v>4</v>
      </c>
    </row>
    <row r="443" spans="1:2" x14ac:dyDescent="0.25">
      <c r="A443" s="30">
        <v>405</v>
      </c>
      <c r="B443" s="30">
        <f t="shared" ca="1" si="9"/>
        <v>4</v>
      </c>
    </row>
    <row r="444" spans="1:2" x14ac:dyDescent="0.25">
      <c r="A444" s="30">
        <v>406</v>
      </c>
      <c r="B444" s="30">
        <f t="shared" ca="1" si="9"/>
        <v>5</v>
      </c>
    </row>
    <row r="445" spans="1:2" x14ac:dyDescent="0.25">
      <c r="A445" s="30">
        <v>407</v>
      </c>
      <c r="B445" s="30">
        <f t="shared" ca="1" si="9"/>
        <v>4</v>
      </c>
    </row>
    <row r="446" spans="1:2" x14ac:dyDescent="0.25">
      <c r="A446" s="30">
        <v>408</v>
      </c>
      <c r="B446" s="30">
        <f t="shared" ca="1" si="9"/>
        <v>5</v>
      </c>
    </row>
    <row r="447" spans="1:2" x14ac:dyDescent="0.25">
      <c r="A447" s="30">
        <v>409</v>
      </c>
      <c r="B447" s="30">
        <f t="shared" ca="1" si="9"/>
        <v>6</v>
      </c>
    </row>
    <row r="448" spans="1:2" x14ac:dyDescent="0.25">
      <c r="A448" s="30">
        <v>410</v>
      </c>
      <c r="B448" s="30">
        <f t="shared" ca="1" si="9"/>
        <v>7</v>
      </c>
    </row>
    <row r="449" spans="1:2" x14ac:dyDescent="0.25">
      <c r="A449" s="30">
        <v>411</v>
      </c>
      <c r="B449" s="30">
        <f t="shared" ca="1" si="9"/>
        <v>6</v>
      </c>
    </row>
    <row r="450" spans="1:2" x14ac:dyDescent="0.25">
      <c r="A450" s="30">
        <v>412</v>
      </c>
      <c r="B450" s="30">
        <f t="shared" ca="1" si="9"/>
        <v>5</v>
      </c>
    </row>
    <row r="451" spans="1:2" x14ac:dyDescent="0.25">
      <c r="A451" s="30">
        <v>413</v>
      </c>
      <c r="B451" s="30">
        <f t="shared" ca="1" si="9"/>
        <v>5</v>
      </c>
    </row>
    <row r="452" spans="1:2" x14ac:dyDescent="0.25">
      <c r="A452" s="30">
        <v>414</v>
      </c>
      <c r="B452" s="30">
        <f t="shared" ca="1" si="9"/>
        <v>5</v>
      </c>
    </row>
    <row r="453" spans="1:2" x14ac:dyDescent="0.25">
      <c r="A453" s="30">
        <v>415</v>
      </c>
      <c r="B453" s="30">
        <f t="shared" ca="1" si="9"/>
        <v>1</v>
      </c>
    </row>
    <row r="454" spans="1:2" x14ac:dyDescent="0.25">
      <c r="A454" s="30">
        <v>416</v>
      </c>
      <c r="B454" s="30">
        <f t="shared" ca="1" si="9"/>
        <v>2</v>
      </c>
    </row>
    <row r="455" spans="1:2" x14ac:dyDescent="0.25">
      <c r="A455" s="30">
        <v>417</v>
      </c>
      <c r="B455" s="30">
        <f t="shared" ca="1" si="9"/>
        <v>6</v>
      </c>
    </row>
    <row r="456" spans="1:2" x14ac:dyDescent="0.25">
      <c r="A456" s="30">
        <v>418</v>
      </c>
      <c r="B456" s="30">
        <f t="shared" ca="1" si="9"/>
        <v>2</v>
      </c>
    </row>
    <row r="457" spans="1:2" x14ac:dyDescent="0.25">
      <c r="A457" s="30">
        <v>419</v>
      </c>
      <c r="B457" s="30">
        <f t="shared" ca="1" si="9"/>
        <v>5</v>
      </c>
    </row>
    <row r="458" spans="1:2" x14ac:dyDescent="0.25">
      <c r="A458" s="30">
        <v>420</v>
      </c>
      <c r="B458" s="30">
        <f t="shared" ca="1" si="9"/>
        <v>5</v>
      </c>
    </row>
    <row r="459" spans="1:2" x14ac:dyDescent="0.25">
      <c r="A459" s="30">
        <v>421</v>
      </c>
      <c r="B459" s="30">
        <f t="shared" ca="1" si="9"/>
        <v>3</v>
      </c>
    </row>
    <row r="460" spans="1:2" x14ac:dyDescent="0.25">
      <c r="A460" s="30">
        <v>422</v>
      </c>
      <c r="B460" s="30">
        <f t="shared" ca="1" si="9"/>
        <v>8</v>
      </c>
    </row>
    <row r="461" spans="1:2" x14ac:dyDescent="0.25">
      <c r="A461" s="30">
        <v>423</v>
      </c>
      <c r="B461" s="30">
        <f t="shared" ca="1" si="9"/>
        <v>7</v>
      </c>
    </row>
    <row r="462" spans="1:2" x14ac:dyDescent="0.25">
      <c r="A462" s="30">
        <v>424</v>
      </c>
      <c r="B462" s="30">
        <f t="shared" ca="1" si="9"/>
        <v>6</v>
      </c>
    </row>
    <row r="463" spans="1:2" x14ac:dyDescent="0.25">
      <c r="A463" s="30">
        <v>425</v>
      </c>
      <c r="B463" s="30">
        <f t="shared" ca="1" si="9"/>
        <v>5</v>
      </c>
    </row>
    <row r="464" spans="1:2" x14ac:dyDescent="0.25">
      <c r="A464" s="30">
        <v>426</v>
      </c>
      <c r="B464" s="30">
        <f t="shared" ca="1" si="9"/>
        <v>3</v>
      </c>
    </row>
    <row r="465" spans="1:2" x14ac:dyDescent="0.25">
      <c r="A465" s="30">
        <v>427</v>
      </c>
      <c r="B465" s="30">
        <f t="shared" ca="1" si="9"/>
        <v>4</v>
      </c>
    </row>
    <row r="466" spans="1:2" x14ac:dyDescent="0.25">
      <c r="A466" s="30">
        <v>428</v>
      </c>
      <c r="B466" s="30">
        <f t="shared" ca="1" si="9"/>
        <v>5</v>
      </c>
    </row>
    <row r="467" spans="1:2" x14ac:dyDescent="0.25">
      <c r="A467" s="30">
        <v>429</v>
      </c>
      <c r="B467" s="30">
        <f t="shared" ca="1" si="9"/>
        <v>9</v>
      </c>
    </row>
    <row r="468" spans="1:2" x14ac:dyDescent="0.25">
      <c r="A468" s="30">
        <v>430</v>
      </c>
      <c r="B468" s="30">
        <f t="shared" ca="1" si="9"/>
        <v>6</v>
      </c>
    </row>
    <row r="469" spans="1:2" x14ac:dyDescent="0.25">
      <c r="A469" s="30">
        <v>431</v>
      </c>
      <c r="B469" s="30">
        <f t="shared" ca="1" si="9"/>
        <v>7</v>
      </c>
    </row>
    <row r="470" spans="1:2" x14ac:dyDescent="0.25">
      <c r="A470" s="30">
        <v>432</v>
      </c>
      <c r="B470" s="30">
        <f t="shared" ca="1" si="9"/>
        <v>2</v>
      </c>
    </row>
    <row r="471" spans="1:2" x14ac:dyDescent="0.25">
      <c r="A471" s="30">
        <v>433</v>
      </c>
      <c r="B471" s="30">
        <f t="shared" ca="1" si="9"/>
        <v>6</v>
      </c>
    </row>
    <row r="472" spans="1:2" x14ac:dyDescent="0.25">
      <c r="A472" s="30">
        <v>434</v>
      </c>
      <c r="B472" s="30">
        <f t="shared" ca="1" si="9"/>
        <v>8</v>
      </c>
    </row>
    <row r="473" spans="1:2" x14ac:dyDescent="0.25">
      <c r="A473" s="30">
        <v>435</v>
      </c>
      <c r="B473" s="30">
        <f t="shared" ca="1" si="9"/>
        <v>4</v>
      </c>
    </row>
    <row r="474" spans="1:2" x14ac:dyDescent="0.25">
      <c r="A474" s="30">
        <v>436</v>
      </c>
      <c r="B474" s="30">
        <f t="shared" ca="1" si="9"/>
        <v>8</v>
      </c>
    </row>
    <row r="475" spans="1:2" x14ac:dyDescent="0.25">
      <c r="A475" s="30">
        <v>437</v>
      </c>
      <c r="B475" s="30">
        <f t="shared" ca="1" si="9"/>
        <v>5</v>
      </c>
    </row>
    <row r="476" spans="1:2" x14ac:dyDescent="0.25">
      <c r="A476" s="30">
        <v>438</v>
      </c>
      <c r="B476" s="30">
        <f t="shared" ca="1" si="9"/>
        <v>4</v>
      </c>
    </row>
    <row r="477" spans="1:2" x14ac:dyDescent="0.25">
      <c r="A477" s="30">
        <v>439</v>
      </c>
      <c r="B477" s="30">
        <f t="shared" ca="1" si="9"/>
        <v>10</v>
      </c>
    </row>
    <row r="478" spans="1:2" x14ac:dyDescent="0.25">
      <c r="A478" s="30">
        <v>440</v>
      </c>
      <c r="B478" s="30">
        <f t="shared" ca="1" si="9"/>
        <v>4</v>
      </c>
    </row>
    <row r="479" spans="1:2" x14ac:dyDescent="0.25">
      <c r="A479" s="30">
        <v>441</v>
      </c>
      <c r="B479" s="30">
        <f t="shared" ca="1" si="9"/>
        <v>9</v>
      </c>
    </row>
    <row r="480" spans="1:2" x14ac:dyDescent="0.25">
      <c r="A480" s="30">
        <v>442</v>
      </c>
      <c r="B480" s="30">
        <f t="shared" ca="1" si="9"/>
        <v>8</v>
      </c>
    </row>
    <row r="481" spans="1:2" x14ac:dyDescent="0.25">
      <c r="A481" s="30">
        <v>443</v>
      </c>
      <c r="B481" s="30">
        <f t="shared" ca="1" si="9"/>
        <v>3</v>
      </c>
    </row>
    <row r="482" spans="1:2" x14ac:dyDescent="0.25">
      <c r="A482" s="30">
        <v>444</v>
      </c>
      <c r="B482" s="30">
        <f t="shared" ca="1" si="9"/>
        <v>5</v>
      </c>
    </row>
    <row r="483" spans="1:2" x14ac:dyDescent="0.25">
      <c r="A483" s="30">
        <v>445</v>
      </c>
      <c r="B483" s="30">
        <f t="shared" ca="1" si="9"/>
        <v>5</v>
      </c>
    </row>
    <row r="484" spans="1:2" x14ac:dyDescent="0.25">
      <c r="A484" s="30">
        <v>446</v>
      </c>
      <c r="B484" s="30">
        <f t="shared" ca="1" si="9"/>
        <v>10</v>
      </c>
    </row>
    <row r="485" spans="1:2" x14ac:dyDescent="0.25">
      <c r="A485" s="30">
        <v>447</v>
      </c>
      <c r="B485" s="30">
        <f t="shared" ca="1" si="9"/>
        <v>9</v>
      </c>
    </row>
    <row r="486" spans="1:2" x14ac:dyDescent="0.25">
      <c r="A486" s="30">
        <v>448</v>
      </c>
      <c r="B486" s="30">
        <f t="shared" ca="1" si="9"/>
        <v>5</v>
      </c>
    </row>
    <row r="487" spans="1:2" x14ac:dyDescent="0.25">
      <c r="A487" s="30">
        <v>449</v>
      </c>
      <c r="B487" s="30">
        <f t="shared" ca="1" si="9"/>
        <v>3</v>
      </c>
    </row>
    <row r="488" spans="1:2" x14ac:dyDescent="0.25">
      <c r="A488" s="30">
        <v>450</v>
      </c>
      <c r="B488" s="30">
        <f t="shared" ref="B488:B551" ca="1" si="10">+_xlfn.BINOM.INV($B$4,$B$5,RAND())</f>
        <v>2</v>
      </c>
    </row>
    <row r="489" spans="1:2" x14ac:dyDescent="0.25">
      <c r="A489" s="30">
        <v>451</v>
      </c>
      <c r="B489" s="30">
        <f t="shared" ca="1" si="10"/>
        <v>4</v>
      </c>
    </row>
    <row r="490" spans="1:2" x14ac:dyDescent="0.25">
      <c r="A490" s="30">
        <v>452</v>
      </c>
      <c r="B490" s="30">
        <f t="shared" ca="1" si="10"/>
        <v>2</v>
      </c>
    </row>
    <row r="491" spans="1:2" x14ac:dyDescent="0.25">
      <c r="A491" s="30">
        <v>453</v>
      </c>
      <c r="B491" s="30">
        <f t="shared" ca="1" si="10"/>
        <v>4</v>
      </c>
    </row>
    <row r="492" spans="1:2" x14ac:dyDescent="0.25">
      <c r="A492" s="30">
        <v>454</v>
      </c>
      <c r="B492" s="30">
        <f t="shared" ca="1" si="10"/>
        <v>6</v>
      </c>
    </row>
    <row r="493" spans="1:2" x14ac:dyDescent="0.25">
      <c r="A493" s="30">
        <v>455</v>
      </c>
      <c r="B493" s="30">
        <f t="shared" ca="1" si="10"/>
        <v>3</v>
      </c>
    </row>
    <row r="494" spans="1:2" x14ac:dyDescent="0.25">
      <c r="A494" s="30">
        <v>456</v>
      </c>
      <c r="B494" s="30">
        <f t="shared" ca="1" si="10"/>
        <v>6</v>
      </c>
    </row>
    <row r="495" spans="1:2" x14ac:dyDescent="0.25">
      <c r="A495" s="30">
        <v>457</v>
      </c>
      <c r="B495" s="30">
        <f t="shared" ca="1" si="10"/>
        <v>7</v>
      </c>
    </row>
    <row r="496" spans="1:2" x14ac:dyDescent="0.25">
      <c r="A496" s="30">
        <v>458</v>
      </c>
      <c r="B496" s="30">
        <f t="shared" ca="1" si="10"/>
        <v>4</v>
      </c>
    </row>
    <row r="497" spans="1:2" x14ac:dyDescent="0.25">
      <c r="A497" s="30">
        <v>459</v>
      </c>
      <c r="B497" s="30">
        <f t="shared" ca="1" si="10"/>
        <v>8</v>
      </c>
    </row>
    <row r="498" spans="1:2" x14ac:dyDescent="0.25">
      <c r="A498" s="30">
        <v>460</v>
      </c>
      <c r="B498" s="30">
        <f t="shared" ca="1" si="10"/>
        <v>5</v>
      </c>
    </row>
    <row r="499" spans="1:2" x14ac:dyDescent="0.25">
      <c r="A499" s="30">
        <v>461</v>
      </c>
      <c r="B499" s="30">
        <f t="shared" ca="1" si="10"/>
        <v>3</v>
      </c>
    </row>
    <row r="500" spans="1:2" x14ac:dyDescent="0.25">
      <c r="A500" s="30">
        <v>462</v>
      </c>
      <c r="B500" s="30">
        <f t="shared" ca="1" si="10"/>
        <v>5</v>
      </c>
    </row>
    <row r="501" spans="1:2" x14ac:dyDescent="0.25">
      <c r="A501" s="30">
        <v>463</v>
      </c>
      <c r="B501" s="30">
        <f t="shared" ca="1" si="10"/>
        <v>6</v>
      </c>
    </row>
    <row r="502" spans="1:2" x14ac:dyDescent="0.25">
      <c r="A502" s="30">
        <v>464</v>
      </c>
      <c r="B502" s="30">
        <f t="shared" ca="1" si="10"/>
        <v>4</v>
      </c>
    </row>
    <row r="503" spans="1:2" x14ac:dyDescent="0.25">
      <c r="A503" s="30">
        <v>465</v>
      </c>
      <c r="B503" s="30">
        <f t="shared" ca="1" si="10"/>
        <v>4</v>
      </c>
    </row>
    <row r="504" spans="1:2" x14ac:dyDescent="0.25">
      <c r="A504" s="30">
        <v>466</v>
      </c>
      <c r="B504" s="30">
        <f t="shared" ca="1" si="10"/>
        <v>9</v>
      </c>
    </row>
    <row r="505" spans="1:2" x14ac:dyDescent="0.25">
      <c r="A505" s="30">
        <v>467</v>
      </c>
      <c r="B505" s="30">
        <f t="shared" ca="1" si="10"/>
        <v>5</v>
      </c>
    </row>
    <row r="506" spans="1:2" x14ac:dyDescent="0.25">
      <c r="A506" s="30">
        <v>468</v>
      </c>
      <c r="B506" s="30">
        <f t="shared" ca="1" si="10"/>
        <v>5</v>
      </c>
    </row>
    <row r="507" spans="1:2" x14ac:dyDescent="0.25">
      <c r="A507" s="30">
        <v>469</v>
      </c>
      <c r="B507" s="30">
        <f t="shared" ca="1" si="10"/>
        <v>5</v>
      </c>
    </row>
    <row r="508" spans="1:2" x14ac:dyDescent="0.25">
      <c r="A508" s="30">
        <v>470</v>
      </c>
      <c r="B508" s="30">
        <f t="shared" ca="1" si="10"/>
        <v>4</v>
      </c>
    </row>
    <row r="509" spans="1:2" x14ac:dyDescent="0.25">
      <c r="A509" s="30">
        <v>471</v>
      </c>
      <c r="B509" s="30">
        <f t="shared" ca="1" si="10"/>
        <v>6</v>
      </c>
    </row>
    <row r="510" spans="1:2" x14ac:dyDescent="0.25">
      <c r="A510" s="30">
        <v>472</v>
      </c>
      <c r="B510" s="30">
        <f t="shared" ca="1" si="10"/>
        <v>5</v>
      </c>
    </row>
    <row r="511" spans="1:2" x14ac:dyDescent="0.25">
      <c r="A511" s="30">
        <v>473</v>
      </c>
      <c r="B511" s="30">
        <f t="shared" ca="1" si="10"/>
        <v>7</v>
      </c>
    </row>
    <row r="512" spans="1:2" x14ac:dyDescent="0.25">
      <c r="A512" s="30">
        <v>474</v>
      </c>
      <c r="B512" s="30">
        <f t="shared" ca="1" si="10"/>
        <v>7</v>
      </c>
    </row>
    <row r="513" spans="1:2" x14ac:dyDescent="0.25">
      <c r="A513" s="30">
        <v>475</v>
      </c>
      <c r="B513" s="30">
        <f t="shared" ca="1" si="10"/>
        <v>4</v>
      </c>
    </row>
    <row r="514" spans="1:2" x14ac:dyDescent="0.25">
      <c r="A514" s="30">
        <v>476</v>
      </c>
      <c r="B514" s="30">
        <f t="shared" ca="1" si="10"/>
        <v>5</v>
      </c>
    </row>
    <row r="515" spans="1:2" x14ac:dyDescent="0.25">
      <c r="A515" s="30">
        <v>477</v>
      </c>
      <c r="B515" s="30">
        <f t="shared" ca="1" si="10"/>
        <v>5</v>
      </c>
    </row>
    <row r="516" spans="1:2" x14ac:dyDescent="0.25">
      <c r="A516" s="30">
        <v>478</v>
      </c>
      <c r="B516" s="30">
        <f t="shared" ca="1" si="10"/>
        <v>2</v>
      </c>
    </row>
    <row r="517" spans="1:2" x14ac:dyDescent="0.25">
      <c r="A517" s="30">
        <v>479</v>
      </c>
      <c r="B517" s="30">
        <f t="shared" ca="1" si="10"/>
        <v>8</v>
      </c>
    </row>
    <row r="518" spans="1:2" x14ac:dyDescent="0.25">
      <c r="A518" s="30">
        <v>480</v>
      </c>
      <c r="B518" s="30">
        <f t="shared" ca="1" si="10"/>
        <v>4</v>
      </c>
    </row>
    <row r="519" spans="1:2" x14ac:dyDescent="0.25">
      <c r="A519" s="30">
        <v>481</v>
      </c>
      <c r="B519" s="30">
        <f t="shared" ca="1" si="10"/>
        <v>4</v>
      </c>
    </row>
    <row r="520" spans="1:2" x14ac:dyDescent="0.25">
      <c r="A520" s="30">
        <v>482</v>
      </c>
      <c r="B520" s="30">
        <f t="shared" ca="1" si="10"/>
        <v>5</v>
      </c>
    </row>
    <row r="521" spans="1:2" x14ac:dyDescent="0.25">
      <c r="A521" s="30">
        <v>483</v>
      </c>
      <c r="B521" s="30">
        <f t="shared" ca="1" si="10"/>
        <v>2</v>
      </c>
    </row>
    <row r="522" spans="1:2" x14ac:dyDescent="0.25">
      <c r="A522" s="30">
        <v>484</v>
      </c>
      <c r="B522" s="30">
        <f t="shared" ca="1" si="10"/>
        <v>5</v>
      </c>
    </row>
    <row r="523" spans="1:2" x14ac:dyDescent="0.25">
      <c r="A523" s="30">
        <v>485</v>
      </c>
      <c r="B523" s="30">
        <f t="shared" ca="1" si="10"/>
        <v>5</v>
      </c>
    </row>
    <row r="524" spans="1:2" x14ac:dyDescent="0.25">
      <c r="A524" s="30">
        <v>486</v>
      </c>
      <c r="B524" s="30">
        <f t="shared" ca="1" si="10"/>
        <v>4</v>
      </c>
    </row>
    <row r="525" spans="1:2" x14ac:dyDescent="0.25">
      <c r="A525" s="30">
        <v>487</v>
      </c>
      <c r="B525" s="30">
        <f t="shared" ca="1" si="10"/>
        <v>8</v>
      </c>
    </row>
    <row r="526" spans="1:2" x14ac:dyDescent="0.25">
      <c r="A526" s="30">
        <v>488</v>
      </c>
      <c r="B526" s="30">
        <f t="shared" ca="1" si="10"/>
        <v>6</v>
      </c>
    </row>
    <row r="527" spans="1:2" x14ac:dyDescent="0.25">
      <c r="A527" s="30">
        <v>489</v>
      </c>
      <c r="B527" s="30">
        <f t="shared" ca="1" si="10"/>
        <v>5</v>
      </c>
    </row>
    <row r="528" spans="1:2" x14ac:dyDescent="0.25">
      <c r="A528" s="30">
        <v>490</v>
      </c>
      <c r="B528" s="30">
        <f t="shared" ca="1" si="10"/>
        <v>5</v>
      </c>
    </row>
    <row r="529" spans="1:2" x14ac:dyDescent="0.25">
      <c r="A529" s="30">
        <v>491</v>
      </c>
      <c r="B529" s="30">
        <f t="shared" ca="1" si="10"/>
        <v>4</v>
      </c>
    </row>
    <row r="530" spans="1:2" x14ac:dyDescent="0.25">
      <c r="A530" s="30">
        <v>492</v>
      </c>
      <c r="B530" s="30">
        <f t="shared" ca="1" si="10"/>
        <v>5</v>
      </c>
    </row>
    <row r="531" spans="1:2" x14ac:dyDescent="0.25">
      <c r="A531" s="30">
        <v>493</v>
      </c>
      <c r="B531" s="30">
        <f t="shared" ca="1" si="10"/>
        <v>6</v>
      </c>
    </row>
    <row r="532" spans="1:2" x14ac:dyDescent="0.25">
      <c r="A532" s="30">
        <v>494</v>
      </c>
      <c r="B532" s="30">
        <f t="shared" ca="1" si="10"/>
        <v>2</v>
      </c>
    </row>
    <row r="533" spans="1:2" x14ac:dyDescent="0.25">
      <c r="A533" s="30">
        <v>495</v>
      </c>
      <c r="B533" s="30">
        <f t="shared" ca="1" si="10"/>
        <v>8</v>
      </c>
    </row>
    <row r="534" spans="1:2" x14ac:dyDescent="0.25">
      <c r="A534" s="30">
        <v>496</v>
      </c>
      <c r="B534" s="30">
        <f t="shared" ca="1" si="10"/>
        <v>4</v>
      </c>
    </row>
    <row r="535" spans="1:2" x14ac:dyDescent="0.25">
      <c r="A535" s="30">
        <v>497</v>
      </c>
      <c r="B535" s="30">
        <f t="shared" ca="1" si="10"/>
        <v>6</v>
      </c>
    </row>
    <row r="536" spans="1:2" x14ac:dyDescent="0.25">
      <c r="A536" s="30">
        <v>498</v>
      </c>
      <c r="B536" s="30">
        <f t="shared" ca="1" si="10"/>
        <v>6</v>
      </c>
    </row>
    <row r="537" spans="1:2" x14ac:dyDescent="0.25">
      <c r="A537" s="30">
        <v>499</v>
      </c>
      <c r="B537" s="30">
        <f t="shared" ca="1" si="10"/>
        <v>6</v>
      </c>
    </row>
    <row r="538" spans="1:2" x14ac:dyDescent="0.25">
      <c r="A538" s="30">
        <v>500</v>
      </c>
      <c r="B538" s="30">
        <f t="shared" ca="1" si="10"/>
        <v>6</v>
      </c>
    </row>
    <row r="539" spans="1:2" x14ac:dyDescent="0.25">
      <c r="A539" s="30">
        <v>501</v>
      </c>
      <c r="B539" s="30">
        <f t="shared" ca="1" si="10"/>
        <v>2</v>
      </c>
    </row>
    <row r="540" spans="1:2" x14ac:dyDescent="0.25">
      <c r="A540" s="30">
        <v>502</v>
      </c>
      <c r="B540" s="30">
        <f t="shared" ca="1" si="10"/>
        <v>8</v>
      </c>
    </row>
    <row r="541" spans="1:2" x14ac:dyDescent="0.25">
      <c r="A541" s="30">
        <v>503</v>
      </c>
      <c r="B541" s="30">
        <f t="shared" ca="1" si="10"/>
        <v>3</v>
      </c>
    </row>
    <row r="542" spans="1:2" x14ac:dyDescent="0.25">
      <c r="A542" s="30">
        <v>504</v>
      </c>
      <c r="B542" s="30">
        <f t="shared" ca="1" si="10"/>
        <v>8</v>
      </c>
    </row>
    <row r="543" spans="1:2" x14ac:dyDescent="0.25">
      <c r="A543" s="30">
        <v>505</v>
      </c>
      <c r="B543" s="30">
        <f t="shared" ca="1" si="10"/>
        <v>7</v>
      </c>
    </row>
    <row r="544" spans="1:2" x14ac:dyDescent="0.25">
      <c r="A544" s="30">
        <v>506</v>
      </c>
      <c r="B544" s="30">
        <f t="shared" ca="1" si="10"/>
        <v>7</v>
      </c>
    </row>
    <row r="545" spans="1:2" x14ac:dyDescent="0.25">
      <c r="A545" s="30">
        <v>507</v>
      </c>
      <c r="B545" s="30">
        <f t="shared" ca="1" si="10"/>
        <v>10</v>
      </c>
    </row>
    <row r="546" spans="1:2" x14ac:dyDescent="0.25">
      <c r="A546" s="30">
        <v>508</v>
      </c>
      <c r="B546" s="30">
        <f t="shared" ca="1" si="10"/>
        <v>3</v>
      </c>
    </row>
    <row r="547" spans="1:2" x14ac:dyDescent="0.25">
      <c r="A547" s="30">
        <v>509</v>
      </c>
      <c r="B547" s="30">
        <f t="shared" ca="1" si="10"/>
        <v>8</v>
      </c>
    </row>
    <row r="548" spans="1:2" x14ac:dyDescent="0.25">
      <c r="A548" s="30">
        <v>510</v>
      </c>
      <c r="B548" s="30">
        <f t="shared" ca="1" si="10"/>
        <v>8</v>
      </c>
    </row>
    <row r="549" spans="1:2" x14ac:dyDescent="0.25">
      <c r="A549" s="30">
        <v>511</v>
      </c>
      <c r="B549" s="30">
        <f t="shared" ca="1" si="10"/>
        <v>5</v>
      </c>
    </row>
    <row r="550" spans="1:2" x14ac:dyDescent="0.25">
      <c r="A550" s="30">
        <v>512</v>
      </c>
      <c r="B550" s="30">
        <f t="shared" ca="1" si="10"/>
        <v>4</v>
      </c>
    </row>
    <row r="551" spans="1:2" x14ac:dyDescent="0.25">
      <c r="A551" s="30">
        <v>513</v>
      </c>
      <c r="B551" s="30">
        <f t="shared" ca="1" si="10"/>
        <v>6</v>
      </c>
    </row>
    <row r="552" spans="1:2" x14ac:dyDescent="0.25">
      <c r="A552" s="30">
        <v>514</v>
      </c>
      <c r="B552" s="30">
        <f t="shared" ref="B552:B615" ca="1" si="11">+_xlfn.BINOM.INV($B$4,$B$5,RAND())</f>
        <v>2</v>
      </c>
    </row>
    <row r="553" spans="1:2" x14ac:dyDescent="0.25">
      <c r="A553" s="30">
        <v>515</v>
      </c>
      <c r="B553" s="30">
        <f t="shared" ca="1" si="11"/>
        <v>4</v>
      </c>
    </row>
    <row r="554" spans="1:2" x14ac:dyDescent="0.25">
      <c r="A554" s="30">
        <v>516</v>
      </c>
      <c r="B554" s="30">
        <f t="shared" ca="1" si="11"/>
        <v>3</v>
      </c>
    </row>
    <row r="555" spans="1:2" x14ac:dyDescent="0.25">
      <c r="A555" s="30">
        <v>517</v>
      </c>
      <c r="B555" s="30">
        <f t="shared" ca="1" si="11"/>
        <v>5</v>
      </c>
    </row>
    <row r="556" spans="1:2" x14ac:dyDescent="0.25">
      <c r="A556" s="30">
        <v>518</v>
      </c>
      <c r="B556" s="30">
        <f t="shared" ca="1" si="11"/>
        <v>3</v>
      </c>
    </row>
    <row r="557" spans="1:2" x14ac:dyDescent="0.25">
      <c r="A557" s="30">
        <v>519</v>
      </c>
      <c r="B557" s="30">
        <f t="shared" ca="1" si="11"/>
        <v>7</v>
      </c>
    </row>
    <row r="558" spans="1:2" x14ac:dyDescent="0.25">
      <c r="A558" s="30">
        <v>520</v>
      </c>
      <c r="B558" s="30">
        <f t="shared" ca="1" si="11"/>
        <v>3</v>
      </c>
    </row>
    <row r="559" spans="1:2" x14ac:dyDescent="0.25">
      <c r="A559" s="30">
        <v>521</v>
      </c>
      <c r="B559" s="30">
        <f t="shared" ca="1" si="11"/>
        <v>3</v>
      </c>
    </row>
    <row r="560" spans="1:2" x14ac:dyDescent="0.25">
      <c r="A560" s="30">
        <v>522</v>
      </c>
      <c r="B560" s="30">
        <f t="shared" ca="1" si="11"/>
        <v>5</v>
      </c>
    </row>
    <row r="561" spans="1:2" x14ac:dyDescent="0.25">
      <c r="A561" s="30">
        <v>523</v>
      </c>
      <c r="B561" s="30">
        <f t="shared" ca="1" si="11"/>
        <v>6</v>
      </c>
    </row>
    <row r="562" spans="1:2" x14ac:dyDescent="0.25">
      <c r="A562" s="30">
        <v>524</v>
      </c>
      <c r="B562" s="30">
        <f t="shared" ca="1" si="11"/>
        <v>6</v>
      </c>
    </row>
    <row r="563" spans="1:2" x14ac:dyDescent="0.25">
      <c r="A563" s="30">
        <v>525</v>
      </c>
      <c r="B563" s="30">
        <f t="shared" ca="1" si="11"/>
        <v>7</v>
      </c>
    </row>
    <row r="564" spans="1:2" x14ac:dyDescent="0.25">
      <c r="A564" s="30">
        <v>526</v>
      </c>
      <c r="B564" s="30">
        <f t="shared" ca="1" si="11"/>
        <v>10</v>
      </c>
    </row>
    <row r="565" spans="1:2" x14ac:dyDescent="0.25">
      <c r="A565" s="30">
        <v>527</v>
      </c>
      <c r="B565" s="30">
        <f t="shared" ca="1" si="11"/>
        <v>6</v>
      </c>
    </row>
    <row r="566" spans="1:2" x14ac:dyDescent="0.25">
      <c r="A566" s="30">
        <v>528</v>
      </c>
      <c r="B566" s="30">
        <f t="shared" ca="1" si="11"/>
        <v>6</v>
      </c>
    </row>
    <row r="567" spans="1:2" x14ac:dyDescent="0.25">
      <c r="A567" s="30">
        <v>529</v>
      </c>
      <c r="B567" s="30">
        <f t="shared" ca="1" si="11"/>
        <v>5</v>
      </c>
    </row>
    <row r="568" spans="1:2" x14ac:dyDescent="0.25">
      <c r="A568" s="30">
        <v>530</v>
      </c>
      <c r="B568" s="30">
        <f t="shared" ca="1" si="11"/>
        <v>5</v>
      </c>
    </row>
    <row r="569" spans="1:2" x14ac:dyDescent="0.25">
      <c r="A569" s="30">
        <v>531</v>
      </c>
      <c r="B569" s="30">
        <f t="shared" ca="1" si="11"/>
        <v>5</v>
      </c>
    </row>
    <row r="570" spans="1:2" x14ac:dyDescent="0.25">
      <c r="A570" s="30">
        <v>532</v>
      </c>
      <c r="B570" s="30">
        <f t="shared" ca="1" si="11"/>
        <v>6</v>
      </c>
    </row>
    <row r="571" spans="1:2" x14ac:dyDescent="0.25">
      <c r="A571" s="30">
        <v>533</v>
      </c>
      <c r="B571" s="30">
        <f t="shared" ca="1" si="11"/>
        <v>5</v>
      </c>
    </row>
    <row r="572" spans="1:2" x14ac:dyDescent="0.25">
      <c r="A572" s="30">
        <v>534</v>
      </c>
      <c r="B572" s="30">
        <f t="shared" ca="1" si="11"/>
        <v>2</v>
      </c>
    </row>
    <row r="573" spans="1:2" x14ac:dyDescent="0.25">
      <c r="A573" s="30">
        <v>535</v>
      </c>
      <c r="B573" s="30">
        <f t="shared" ca="1" si="11"/>
        <v>6</v>
      </c>
    </row>
    <row r="574" spans="1:2" x14ac:dyDescent="0.25">
      <c r="A574" s="30">
        <v>536</v>
      </c>
      <c r="B574" s="30">
        <f t="shared" ca="1" si="11"/>
        <v>3</v>
      </c>
    </row>
    <row r="575" spans="1:2" x14ac:dyDescent="0.25">
      <c r="A575" s="30">
        <v>537</v>
      </c>
      <c r="B575" s="30">
        <f t="shared" ca="1" si="11"/>
        <v>3</v>
      </c>
    </row>
    <row r="576" spans="1:2" x14ac:dyDescent="0.25">
      <c r="A576" s="30">
        <v>538</v>
      </c>
      <c r="B576" s="30">
        <f t="shared" ca="1" si="11"/>
        <v>4</v>
      </c>
    </row>
    <row r="577" spans="1:2" x14ac:dyDescent="0.25">
      <c r="A577" s="30">
        <v>539</v>
      </c>
      <c r="B577" s="30">
        <f t="shared" ca="1" si="11"/>
        <v>6</v>
      </c>
    </row>
    <row r="578" spans="1:2" x14ac:dyDescent="0.25">
      <c r="A578" s="30">
        <v>540</v>
      </c>
      <c r="B578" s="30">
        <f t="shared" ca="1" si="11"/>
        <v>4</v>
      </c>
    </row>
    <row r="579" spans="1:2" x14ac:dyDescent="0.25">
      <c r="A579" s="30">
        <v>541</v>
      </c>
      <c r="B579" s="30">
        <f t="shared" ca="1" si="11"/>
        <v>5</v>
      </c>
    </row>
    <row r="580" spans="1:2" x14ac:dyDescent="0.25">
      <c r="A580" s="30">
        <v>542</v>
      </c>
      <c r="B580" s="30">
        <f t="shared" ca="1" si="11"/>
        <v>4</v>
      </c>
    </row>
    <row r="581" spans="1:2" x14ac:dyDescent="0.25">
      <c r="A581" s="30">
        <v>543</v>
      </c>
      <c r="B581" s="30">
        <f t="shared" ca="1" si="11"/>
        <v>3</v>
      </c>
    </row>
    <row r="582" spans="1:2" x14ac:dyDescent="0.25">
      <c r="A582" s="30">
        <v>544</v>
      </c>
      <c r="B582" s="30">
        <f t="shared" ca="1" si="11"/>
        <v>5</v>
      </c>
    </row>
    <row r="583" spans="1:2" x14ac:dyDescent="0.25">
      <c r="A583" s="30">
        <v>545</v>
      </c>
      <c r="B583" s="30">
        <f t="shared" ca="1" si="11"/>
        <v>4</v>
      </c>
    </row>
    <row r="584" spans="1:2" x14ac:dyDescent="0.25">
      <c r="A584" s="30">
        <v>546</v>
      </c>
      <c r="B584" s="30">
        <f t="shared" ca="1" si="11"/>
        <v>5</v>
      </c>
    </row>
    <row r="585" spans="1:2" x14ac:dyDescent="0.25">
      <c r="A585" s="30">
        <v>547</v>
      </c>
      <c r="B585" s="30">
        <f t="shared" ca="1" si="11"/>
        <v>7</v>
      </c>
    </row>
    <row r="586" spans="1:2" x14ac:dyDescent="0.25">
      <c r="A586" s="30">
        <v>548</v>
      </c>
      <c r="B586" s="30">
        <f t="shared" ca="1" si="11"/>
        <v>2</v>
      </c>
    </row>
    <row r="587" spans="1:2" x14ac:dyDescent="0.25">
      <c r="A587" s="30">
        <v>549</v>
      </c>
      <c r="B587" s="30">
        <f t="shared" ca="1" si="11"/>
        <v>4</v>
      </c>
    </row>
    <row r="588" spans="1:2" x14ac:dyDescent="0.25">
      <c r="A588" s="30">
        <v>550</v>
      </c>
      <c r="B588" s="30">
        <f t="shared" ca="1" si="11"/>
        <v>1</v>
      </c>
    </row>
    <row r="589" spans="1:2" x14ac:dyDescent="0.25">
      <c r="A589" s="30">
        <v>551</v>
      </c>
      <c r="B589" s="30">
        <f t="shared" ca="1" si="11"/>
        <v>6</v>
      </c>
    </row>
    <row r="590" spans="1:2" x14ac:dyDescent="0.25">
      <c r="A590" s="30">
        <v>552</v>
      </c>
      <c r="B590" s="30">
        <f t="shared" ca="1" si="11"/>
        <v>6</v>
      </c>
    </row>
    <row r="591" spans="1:2" x14ac:dyDescent="0.25">
      <c r="A591" s="30">
        <v>553</v>
      </c>
      <c r="B591" s="30">
        <f t="shared" ca="1" si="11"/>
        <v>5</v>
      </c>
    </row>
    <row r="592" spans="1:2" x14ac:dyDescent="0.25">
      <c r="A592" s="30">
        <v>554</v>
      </c>
      <c r="B592" s="30">
        <f t="shared" ca="1" si="11"/>
        <v>5</v>
      </c>
    </row>
    <row r="593" spans="1:2" x14ac:dyDescent="0.25">
      <c r="A593" s="30">
        <v>555</v>
      </c>
      <c r="B593" s="30">
        <f t="shared" ca="1" si="11"/>
        <v>5</v>
      </c>
    </row>
    <row r="594" spans="1:2" x14ac:dyDescent="0.25">
      <c r="A594" s="30">
        <v>556</v>
      </c>
      <c r="B594" s="30">
        <f t="shared" ca="1" si="11"/>
        <v>3</v>
      </c>
    </row>
    <row r="595" spans="1:2" x14ac:dyDescent="0.25">
      <c r="A595" s="30">
        <v>557</v>
      </c>
      <c r="B595" s="30">
        <f t="shared" ca="1" si="11"/>
        <v>6</v>
      </c>
    </row>
    <row r="596" spans="1:2" x14ac:dyDescent="0.25">
      <c r="A596" s="30">
        <v>558</v>
      </c>
      <c r="B596" s="30">
        <f t="shared" ca="1" si="11"/>
        <v>6</v>
      </c>
    </row>
    <row r="597" spans="1:2" x14ac:dyDescent="0.25">
      <c r="A597" s="30">
        <v>559</v>
      </c>
      <c r="B597" s="30">
        <f t="shared" ca="1" si="11"/>
        <v>8</v>
      </c>
    </row>
    <row r="598" spans="1:2" x14ac:dyDescent="0.25">
      <c r="A598" s="30">
        <v>560</v>
      </c>
      <c r="B598" s="30">
        <f t="shared" ca="1" si="11"/>
        <v>4</v>
      </c>
    </row>
    <row r="599" spans="1:2" x14ac:dyDescent="0.25">
      <c r="A599" s="30">
        <v>561</v>
      </c>
      <c r="B599" s="30">
        <f t="shared" ca="1" si="11"/>
        <v>9</v>
      </c>
    </row>
    <row r="600" spans="1:2" x14ac:dyDescent="0.25">
      <c r="A600" s="30">
        <v>562</v>
      </c>
      <c r="B600" s="30">
        <f t="shared" ca="1" si="11"/>
        <v>4</v>
      </c>
    </row>
    <row r="601" spans="1:2" x14ac:dyDescent="0.25">
      <c r="A601" s="30">
        <v>563</v>
      </c>
      <c r="B601" s="30">
        <f t="shared" ca="1" si="11"/>
        <v>6</v>
      </c>
    </row>
    <row r="602" spans="1:2" x14ac:dyDescent="0.25">
      <c r="A602" s="30">
        <v>564</v>
      </c>
      <c r="B602" s="30">
        <f t="shared" ca="1" si="11"/>
        <v>5</v>
      </c>
    </row>
    <row r="603" spans="1:2" x14ac:dyDescent="0.25">
      <c r="A603" s="30">
        <v>565</v>
      </c>
      <c r="B603" s="30">
        <f t="shared" ca="1" si="11"/>
        <v>3</v>
      </c>
    </row>
    <row r="604" spans="1:2" x14ac:dyDescent="0.25">
      <c r="A604" s="30">
        <v>566</v>
      </c>
      <c r="B604" s="30">
        <f t="shared" ca="1" si="11"/>
        <v>2</v>
      </c>
    </row>
    <row r="605" spans="1:2" x14ac:dyDescent="0.25">
      <c r="A605" s="30">
        <v>567</v>
      </c>
      <c r="B605" s="30">
        <f t="shared" ca="1" si="11"/>
        <v>5</v>
      </c>
    </row>
    <row r="606" spans="1:2" x14ac:dyDescent="0.25">
      <c r="A606" s="30">
        <v>568</v>
      </c>
      <c r="B606" s="30">
        <f t="shared" ca="1" si="11"/>
        <v>6</v>
      </c>
    </row>
    <row r="607" spans="1:2" x14ac:dyDescent="0.25">
      <c r="A607" s="30">
        <v>569</v>
      </c>
      <c r="B607" s="30">
        <f t="shared" ca="1" si="11"/>
        <v>6</v>
      </c>
    </row>
    <row r="608" spans="1:2" x14ac:dyDescent="0.25">
      <c r="A608" s="30">
        <v>570</v>
      </c>
      <c r="B608" s="30">
        <f t="shared" ca="1" si="11"/>
        <v>2</v>
      </c>
    </row>
    <row r="609" spans="1:2" x14ac:dyDescent="0.25">
      <c r="A609" s="30">
        <v>571</v>
      </c>
      <c r="B609" s="30">
        <f t="shared" ca="1" si="11"/>
        <v>6</v>
      </c>
    </row>
    <row r="610" spans="1:2" x14ac:dyDescent="0.25">
      <c r="A610" s="30">
        <v>572</v>
      </c>
      <c r="B610" s="30">
        <f t="shared" ca="1" si="11"/>
        <v>7</v>
      </c>
    </row>
    <row r="611" spans="1:2" x14ac:dyDescent="0.25">
      <c r="A611" s="30">
        <v>573</v>
      </c>
      <c r="B611" s="30">
        <f t="shared" ca="1" si="11"/>
        <v>3</v>
      </c>
    </row>
    <row r="612" spans="1:2" x14ac:dyDescent="0.25">
      <c r="A612" s="30">
        <v>574</v>
      </c>
      <c r="B612" s="30">
        <f t="shared" ca="1" si="11"/>
        <v>0</v>
      </c>
    </row>
    <row r="613" spans="1:2" x14ac:dyDescent="0.25">
      <c r="A613" s="30">
        <v>575</v>
      </c>
      <c r="B613" s="30">
        <f t="shared" ca="1" si="11"/>
        <v>5</v>
      </c>
    </row>
    <row r="614" spans="1:2" x14ac:dyDescent="0.25">
      <c r="A614" s="30">
        <v>576</v>
      </c>
      <c r="B614" s="30">
        <f t="shared" ca="1" si="11"/>
        <v>3</v>
      </c>
    </row>
    <row r="615" spans="1:2" x14ac:dyDescent="0.25">
      <c r="A615" s="30">
        <v>577</v>
      </c>
      <c r="B615" s="30">
        <f t="shared" ca="1" si="11"/>
        <v>6</v>
      </c>
    </row>
    <row r="616" spans="1:2" x14ac:dyDescent="0.25">
      <c r="A616" s="30">
        <v>578</v>
      </c>
      <c r="B616" s="30">
        <f t="shared" ref="B616:B679" ca="1" si="12">+_xlfn.BINOM.INV($B$4,$B$5,RAND())</f>
        <v>4</v>
      </c>
    </row>
    <row r="617" spans="1:2" x14ac:dyDescent="0.25">
      <c r="A617" s="30">
        <v>579</v>
      </c>
      <c r="B617" s="30">
        <f t="shared" ca="1" si="12"/>
        <v>6</v>
      </c>
    </row>
    <row r="618" spans="1:2" x14ac:dyDescent="0.25">
      <c r="A618" s="30">
        <v>580</v>
      </c>
      <c r="B618" s="30">
        <f t="shared" ca="1" si="12"/>
        <v>5</v>
      </c>
    </row>
    <row r="619" spans="1:2" x14ac:dyDescent="0.25">
      <c r="A619" s="30">
        <v>581</v>
      </c>
      <c r="B619" s="30">
        <f t="shared" ca="1" si="12"/>
        <v>7</v>
      </c>
    </row>
    <row r="620" spans="1:2" x14ac:dyDescent="0.25">
      <c r="A620" s="30">
        <v>582</v>
      </c>
      <c r="B620" s="30">
        <f t="shared" ca="1" si="12"/>
        <v>3</v>
      </c>
    </row>
    <row r="621" spans="1:2" x14ac:dyDescent="0.25">
      <c r="A621" s="30">
        <v>583</v>
      </c>
      <c r="B621" s="30">
        <f t="shared" ca="1" si="12"/>
        <v>5</v>
      </c>
    </row>
    <row r="622" spans="1:2" x14ac:dyDescent="0.25">
      <c r="A622" s="30">
        <v>584</v>
      </c>
      <c r="B622" s="30">
        <f t="shared" ca="1" si="12"/>
        <v>6</v>
      </c>
    </row>
    <row r="623" spans="1:2" x14ac:dyDescent="0.25">
      <c r="A623" s="30">
        <v>585</v>
      </c>
      <c r="B623" s="30">
        <f t="shared" ca="1" si="12"/>
        <v>5</v>
      </c>
    </row>
    <row r="624" spans="1:2" x14ac:dyDescent="0.25">
      <c r="A624" s="30">
        <v>586</v>
      </c>
      <c r="B624" s="30">
        <f t="shared" ca="1" si="12"/>
        <v>4</v>
      </c>
    </row>
    <row r="625" spans="1:2" x14ac:dyDescent="0.25">
      <c r="A625" s="30">
        <v>587</v>
      </c>
      <c r="B625" s="30">
        <f t="shared" ca="1" si="12"/>
        <v>6</v>
      </c>
    </row>
    <row r="626" spans="1:2" x14ac:dyDescent="0.25">
      <c r="A626" s="30">
        <v>588</v>
      </c>
      <c r="B626" s="30">
        <f t="shared" ca="1" si="12"/>
        <v>9</v>
      </c>
    </row>
    <row r="627" spans="1:2" x14ac:dyDescent="0.25">
      <c r="A627" s="30">
        <v>589</v>
      </c>
      <c r="B627" s="30">
        <f t="shared" ca="1" si="12"/>
        <v>3</v>
      </c>
    </row>
    <row r="628" spans="1:2" x14ac:dyDescent="0.25">
      <c r="A628" s="30">
        <v>590</v>
      </c>
      <c r="B628" s="30">
        <f t="shared" ca="1" si="12"/>
        <v>3</v>
      </c>
    </row>
    <row r="629" spans="1:2" x14ac:dyDescent="0.25">
      <c r="A629" s="30">
        <v>591</v>
      </c>
      <c r="B629" s="30">
        <f t="shared" ca="1" si="12"/>
        <v>5</v>
      </c>
    </row>
    <row r="630" spans="1:2" x14ac:dyDescent="0.25">
      <c r="A630" s="30">
        <v>592</v>
      </c>
      <c r="B630" s="30">
        <f t="shared" ca="1" si="12"/>
        <v>1</v>
      </c>
    </row>
    <row r="631" spans="1:2" x14ac:dyDescent="0.25">
      <c r="A631" s="30">
        <v>593</v>
      </c>
      <c r="B631" s="30">
        <f t="shared" ca="1" si="12"/>
        <v>7</v>
      </c>
    </row>
    <row r="632" spans="1:2" x14ac:dyDescent="0.25">
      <c r="A632" s="30">
        <v>594</v>
      </c>
      <c r="B632" s="30">
        <f t="shared" ca="1" si="12"/>
        <v>4</v>
      </c>
    </row>
    <row r="633" spans="1:2" x14ac:dyDescent="0.25">
      <c r="A633" s="30">
        <v>595</v>
      </c>
      <c r="B633" s="30">
        <f t="shared" ca="1" si="12"/>
        <v>3</v>
      </c>
    </row>
    <row r="634" spans="1:2" x14ac:dyDescent="0.25">
      <c r="A634" s="30">
        <v>596</v>
      </c>
      <c r="B634" s="30">
        <f t="shared" ca="1" si="12"/>
        <v>4</v>
      </c>
    </row>
    <row r="635" spans="1:2" x14ac:dyDescent="0.25">
      <c r="A635" s="30">
        <v>597</v>
      </c>
      <c r="B635" s="30">
        <f t="shared" ca="1" si="12"/>
        <v>3</v>
      </c>
    </row>
    <row r="636" spans="1:2" x14ac:dyDescent="0.25">
      <c r="A636" s="30">
        <v>598</v>
      </c>
      <c r="B636" s="30">
        <f t="shared" ca="1" si="12"/>
        <v>4</v>
      </c>
    </row>
    <row r="637" spans="1:2" x14ac:dyDescent="0.25">
      <c r="A637" s="30">
        <v>599</v>
      </c>
      <c r="B637" s="30">
        <f t="shared" ca="1" si="12"/>
        <v>6</v>
      </c>
    </row>
    <row r="638" spans="1:2" x14ac:dyDescent="0.25">
      <c r="A638" s="30">
        <v>600</v>
      </c>
      <c r="B638" s="30">
        <f t="shared" ca="1" si="12"/>
        <v>3</v>
      </c>
    </row>
    <row r="639" spans="1:2" x14ac:dyDescent="0.25">
      <c r="A639" s="30">
        <v>601</v>
      </c>
      <c r="B639" s="30">
        <f t="shared" ca="1" si="12"/>
        <v>7</v>
      </c>
    </row>
    <row r="640" spans="1:2" x14ac:dyDescent="0.25">
      <c r="A640" s="30">
        <v>602</v>
      </c>
      <c r="B640" s="30">
        <f t="shared" ca="1" si="12"/>
        <v>5</v>
      </c>
    </row>
    <row r="641" spans="1:2" x14ac:dyDescent="0.25">
      <c r="A641" s="30">
        <v>603</v>
      </c>
      <c r="B641" s="30">
        <f t="shared" ca="1" si="12"/>
        <v>5</v>
      </c>
    </row>
    <row r="642" spans="1:2" x14ac:dyDescent="0.25">
      <c r="A642" s="30">
        <v>604</v>
      </c>
      <c r="B642" s="30">
        <f t="shared" ca="1" si="12"/>
        <v>5</v>
      </c>
    </row>
    <row r="643" spans="1:2" x14ac:dyDescent="0.25">
      <c r="A643" s="30">
        <v>605</v>
      </c>
      <c r="B643" s="30">
        <f t="shared" ca="1" si="12"/>
        <v>10</v>
      </c>
    </row>
    <row r="644" spans="1:2" x14ac:dyDescent="0.25">
      <c r="A644" s="30">
        <v>606</v>
      </c>
      <c r="B644" s="30">
        <f t="shared" ca="1" si="12"/>
        <v>5</v>
      </c>
    </row>
    <row r="645" spans="1:2" x14ac:dyDescent="0.25">
      <c r="A645" s="30">
        <v>607</v>
      </c>
      <c r="B645" s="30">
        <f t="shared" ca="1" si="12"/>
        <v>4</v>
      </c>
    </row>
    <row r="646" spans="1:2" x14ac:dyDescent="0.25">
      <c r="A646" s="30">
        <v>608</v>
      </c>
      <c r="B646" s="30">
        <f t="shared" ca="1" si="12"/>
        <v>4</v>
      </c>
    </row>
    <row r="647" spans="1:2" x14ac:dyDescent="0.25">
      <c r="A647" s="30">
        <v>609</v>
      </c>
      <c r="B647" s="30">
        <f t="shared" ca="1" si="12"/>
        <v>7</v>
      </c>
    </row>
    <row r="648" spans="1:2" x14ac:dyDescent="0.25">
      <c r="A648" s="30">
        <v>610</v>
      </c>
      <c r="B648" s="30">
        <f t="shared" ca="1" si="12"/>
        <v>7</v>
      </c>
    </row>
    <row r="649" spans="1:2" x14ac:dyDescent="0.25">
      <c r="A649" s="30">
        <v>611</v>
      </c>
      <c r="B649" s="30">
        <f t="shared" ca="1" si="12"/>
        <v>4</v>
      </c>
    </row>
    <row r="650" spans="1:2" x14ac:dyDescent="0.25">
      <c r="A650" s="30">
        <v>612</v>
      </c>
      <c r="B650" s="30">
        <f t="shared" ca="1" si="12"/>
        <v>5</v>
      </c>
    </row>
    <row r="651" spans="1:2" x14ac:dyDescent="0.25">
      <c r="A651" s="30">
        <v>613</v>
      </c>
      <c r="B651" s="30">
        <f t="shared" ca="1" si="12"/>
        <v>7</v>
      </c>
    </row>
    <row r="652" spans="1:2" x14ac:dyDescent="0.25">
      <c r="A652" s="30">
        <v>614</v>
      </c>
      <c r="B652" s="30">
        <f t="shared" ca="1" si="12"/>
        <v>3</v>
      </c>
    </row>
    <row r="653" spans="1:2" x14ac:dyDescent="0.25">
      <c r="A653" s="30">
        <v>615</v>
      </c>
      <c r="B653" s="30">
        <f t="shared" ca="1" si="12"/>
        <v>5</v>
      </c>
    </row>
    <row r="654" spans="1:2" x14ac:dyDescent="0.25">
      <c r="A654" s="30">
        <v>616</v>
      </c>
      <c r="B654" s="30">
        <f t="shared" ca="1" si="12"/>
        <v>4</v>
      </c>
    </row>
    <row r="655" spans="1:2" x14ac:dyDescent="0.25">
      <c r="A655" s="30">
        <v>617</v>
      </c>
      <c r="B655" s="30">
        <f t="shared" ca="1" si="12"/>
        <v>5</v>
      </c>
    </row>
    <row r="656" spans="1:2" x14ac:dyDescent="0.25">
      <c r="A656" s="30">
        <v>618</v>
      </c>
      <c r="B656" s="30">
        <f t="shared" ca="1" si="12"/>
        <v>4</v>
      </c>
    </row>
    <row r="657" spans="1:2" x14ac:dyDescent="0.25">
      <c r="A657" s="30">
        <v>619</v>
      </c>
      <c r="B657" s="30">
        <f t="shared" ca="1" si="12"/>
        <v>7</v>
      </c>
    </row>
    <row r="658" spans="1:2" x14ac:dyDescent="0.25">
      <c r="A658" s="30">
        <v>620</v>
      </c>
      <c r="B658" s="30">
        <f t="shared" ca="1" si="12"/>
        <v>7</v>
      </c>
    </row>
    <row r="659" spans="1:2" x14ac:dyDescent="0.25">
      <c r="A659" s="30">
        <v>621</v>
      </c>
      <c r="B659" s="30">
        <f t="shared" ca="1" si="12"/>
        <v>6</v>
      </c>
    </row>
    <row r="660" spans="1:2" x14ac:dyDescent="0.25">
      <c r="A660" s="30">
        <v>622</v>
      </c>
      <c r="B660" s="30">
        <f t="shared" ca="1" si="12"/>
        <v>3</v>
      </c>
    </row>
    <row r="661" spans="1:2" x14ac:dyDescent="0.25">
      <c r="A661" s="30">
        <v>623</v>
      </c>
      <c r="B661" s="30">
        <f t="shared" ca="1" si="12"/>
        <v>4</v>
      </c>
    </row>
    <row r="662" spans="1:2" x14ac:dyDescent="0.25">
      <c r="A662" s="30">
        <v>624</v>
      </c>
      <c r="B662" s="30">
        <f t="shared" ca="1" si="12"/>
        <v>4</v>
      </c>
    </row>
    <row r="663" spans="1:2" x14ac:dyDescent="0.25">
      <c r="A663" s="30">
        <v>625</v>
      </c>
      <c r="B663" s="30">
        <f t="shared" ca="1" si="12"/>
        <v>2</v>
      </c>
    </row>
    <row r="664" spans="1:2" x14ac:dyDescent="0.25">
      <c r="A664" s="30">
        <v>626</v>
      </c>
      <c r="B664" s="30">
        <f t="shared" ca="1" si="12"/>
        <v>7</v>
      </c>
    </row>
    <row r="665" spans="1:2" x14ac:dyDescent="0.25">
      <c r="A665" s="30">
        <v>627</v>
      </c>
      <c r="B665" s="30">
        <f t="shared" ca="1" si="12"/>
        <v>3</v>
      </c>
    </row>
    <row r="666" spans="1:2" x14ac:dyDescent="0.25">
      <c r="A666" s="30">
        <v>628</v>
      </c>
      <c r="B666" s="30">
        <f t="shared" ca="1" si="12"/>
        <v>3</v>
      </c>
    </row>
    <row r="667" spans="1:2" x14ac:dyDescent="0.25">
      <c r="A667" s="30">
        <v>629</v>
      </c>
      <c r="B667" s="30">
        <f t="shared" ca="1" si="12"/>
        <v>5</v>
      </c>
    </row>
    <row r="668" spans="1:2" x14ac:dyDescent="0.25">
      <c r="A668" s="30">
        <v>630</v>
      </c>
      <c r="B668" s="30">
        <f t="shared" ca="1" si="12"/>
        <v>11</v>
      </c>
    </row>
    <row r="669" spans="1:2" x14ac:dyDescent="0.25">
      <c r="A669" s="30">
        <v>631</v>
      </c>
      <c r="B669" s="30">
        <f t="shared" ca="1" si="12"/>
        <v>5</v>
      </c>
    </row>
    <row r="670" spans="1:2" x14ac:dyDescent="0.25">
      <c r="A670" s="30">
        <v>632</v>
      </c>
      <c r="B670" s="30">
        <f t="shared" ca="1" si="12"/>
        <v>2</v>
      </c>
    </row>
    <row r="671" spans="1:2" x14ac:dyDescent="0.25">
      <c r="A671" s="30">
        <v>633</v>
      </c>
      <c r="B671" s="30">
        <f t="shared" ca="1" si="12"/>
        <v>5</v>
      </c>
    </row>
    <row r="672" spans="1:2" x14ac:dyDescent="0.25">
      <c r="A672" s="30">
        <v>634</v>
      </c>
      <c r="B672" s="30">
        <f t="shared" ca="1" si="12"/>
        <v>8</v>
      </c>
    </row>
    <row r="673" spans="1:2" x14ac:dyDescent="0.25">
      <c r="A673" s="30">
        <v>635</v>
      </c>
      <c r="B673" s="30">
        <f t="shared" ca="1" si="12"/>
        <v>6</v>
      </c>
    </row>
    <row r="674" spans="1:2" x14ac:dyDescent="0.25">
      <c r="A674" s="30">
        <v>636</v>
      </c>
      <c r="B674" s="30">
        <f t="shared" ca="1" si="12"/>
        <v>6</v>
      </c>
    </row>
    <row r="675" spans="1:2" x14ac:dyDescent="0.25">
      <c r="A675" s="30">
        <v>637</v>
      </c>
      <c r="B675" s="30">
        <f t="shared" ca="1" si="12"/>
        <v>5</v>
      </c>
    </row>
    <row r="676" spans="1:2" x14ac:dyDescent="0.25">
      <c r="A676" s="30">
        <v>638</v>
      </c>
      <c r="B676" s="30">
        <f t="shared" ca="1" si="12"/>
        <v>4</v>
      </c>
    </row>
    <row r="677" spans="1:2" x14ac:dyDescent="0.25">
      <c r="A677" s="30">
        <v>639</v>
      </c>
      <c r="B677" s="30">
        <f t="shared" ca="1" si="12"/>
        <v>5</v>
      </c>
    </row>
    <row r="678" spans="1:2" x14ac:dyDescent="0.25">
      <c r="A678" s="30">
        <v>640</v>
      </c>
      <c r="B678" s="30">
        <f t="shared" ca="1" si="12"/>
        <v>5</v>
      </c>
    </row>
    <row r="679" spans="1:2" x14ac:dyDescent="0.25">
      <c r="A679" s="30">
        <v>641</v>
      </c>
      <c r="B679" s="30">
        <f t="shared" ca="1" si="12"/>
        <v>4</v>
      </c>
    </row>
    <row r="680" spans="1:2" x14ac:dyDescent="0.25">
      <c r="A680" s="30">
        <v>642</v>
      </c>
      <c r="B680" s="30">
        <f t="shared" ref="B680:B743" ca="1" si="13">+_xlfn.BINOM.INV($B$4,$B$5,RAND())</f>
        <v>4</v>
      </c>
    </row>
    <row r="681" spans="1:2" x14ac:dyDescent="0.25">
      <c r="A681" s="30">
        <v>643</v>
      </c>
      <c r="B681" s="30">
        <f t="shared" ca="1" si="13"/>
        <v>7</v>
      </c>
    </row>
    <row r="682" spans="1:2" x14ac:dyDescent="0.25">
      <c r="A682" s="30">
        <v>644</v>
      </c>
      <c r="B682" s="30">
        <f t="shared" ca="1" si="13"/>
        <v>5</v>
      </c>
    </row>
    <row r="683" spans="1:2" x14ac:dyDescent="0.25">
      <c r="A683" s="30">
        <v>645</v>
      </c>
      <c r="B683" s="30">
        <f t="shared" ca="1" si="13"/>
        <v>5</v>
      </c>
    </row>
    <row r="684" spans="1:2" x14ac:dyDescent="0.25">
      <c r="A684" s="30">
        <v>646</v>
      </c>
      <c r="B684" s="30">
        <f t="shared" ca="1" si="13"/>
        <v>3</v>
      </c>
    </row>
    <row r="685" spans="1:2" x14ac:dyDescent="0.25">
      <c r="A685" s="30">
        <v>647</v>
      </c>
      <c r="B685" s="30">
        <f t="shared" ca="1" si="13"/>
        <v>3</v>
      </c>
    </row>
    <row r="686" spans="1:2" x14ac:dyDescent="0.25">
      <c r="A686" s="30">
        <v>648</v>
      </c>
      <c r="B686" s="30">
        <f t="shared" ca="1" si="13"/>
        <v>7</v>
      </c>
    </row>
    <row r="687" spans="1:2" x14ac:dyDescent="0.25">
      <c r="A687" s="30">
        <v>649</v>
      </c>
      <c r="B687" s="30">
        <f t="shared" ca="1" si="13"/>
        <v>5</v>
      </c>
    </row>
    <row r="688" spans="1:2" x14ac:dyDescent="0.25">
      <c r="A688" s="30">
        <v>650</v>
      </c>
      <c r="B688" s="30">
        <f t="shared" ca="1" si="13"/>
        <v>3</v>
      </c>
    </row>
    <row r="689" spans="1:2" x14ac:dyDescent="0.25">
      <c r="A689" s="30">
        <v>651</v>
      </c>
      <c r="B689" s="30">
        <f t="shared" ca="1" si="13"/>
        <v>8</v>
      </c>
    </row>
    <row r="690" spans="1:2" x14ac:dyDescent="0.25">
      <c r="A690" s="30">
        <v>652</v>
      </c>
      <c r="B690" s="30">
        <f t="shared" ca="1" si="13"/>
        <v>4</v>
      </c>
    </row>
    <row r="691" spans="1:2" x14ac:dyDescent="0.25">
      <c r="A691" s="30">
        <v>653</v>
      </c>
      <c r="B691" s="30">
        <f t="shared" ca="1" si="13"/>
        <v>9</v>
      </c>
    </row>
    <row r="692" spans="1:2" x14ac:dyDescent="0.25">
      <c r="A692" s="30">
        <v>654</v>
      </c>
      <c r="B692" s="30">
        <f t="shared" ca="1" si="13"/>
        <v>6</v>
      </c>
    </row>
    <row r="693" spans="1:2" x14ac:dyDescent="0.25">
      <c r="A693" s="30">
        <v>655</v>
      </c>
      <c r="B693" s="30">
        <f t="shared" ca="1" si="13"/>
        <v>5</v>
      </c>
    </row>
    <row r="694" spans="1:2" x14ac:dyDescent="0.25">
      <c r="A694" s="30">
        <v>656</v>
      </c>
      <c r="B694" s="30">
        <f t="shared" ca="1" si="13"/>
        <v>6</v>
      </c>
    </row>
    <row r="695" spans="1:2" x14ac:dyDescent="0.25">
      <c r="A695" s="30">
        <v>657</v>
      </c>
      <c r="B695" s="30">
        <f t="shared" ca="1" si="13"/>
        <v>7</v>
      </c>
    </row>
    <row r="696" spans="1:2" x14ac:dyDescent="0.25">
      <c r="A696" s="30">
        <v>658</v>
      </c>
      <c r="B696" s="30">
        <f t="shared" ca="1" si="13"/>
        <v>4</v>
      </c>
    </row>
    <row r="697" spans="1:2" x14ac:dyDescent="0.25">
      <c r="A697" s="30">
        <v>659</v>
      </c>
      <c r="B697" s="30">
        <f t="shared" ca="1" si="13"/>
        <v>6</v>
      </c>
    </row>
    <row r="698" spans="1:2" x14ac:dyDescent="0.25">
      <c r="A698" s="30">
        <v>660</v>
      </c>
      <c r="B698" s="30">
        <f t="shared" ca="1" si="13"/>
        <v>5</v>
      </c>
    </row>
    <row r="699" spans="1:2" x14ac:dyDescent="0.25">
      <c r="A699" s="30">
        <v>661</v>
      </c>
      <c r="B699" s="30">
        <f t="shared" ca="1" si="13"/>
        <v>7</v>
      </c>
    </row>
    <row r="700" spans="1:2" x14ac:dyDescent="0.25">
      <c r="A700" s="30">
        <v>662</v>
      </c>
      <c r="B700" s="30">
        <f t="shared" ca="1" si="13"/>
        <v>3</v>
      </c>
    </row>
    <row r="701" spans="1:2" x14ac:dyDescent="0.25">
      <c r="A701" s="30">
        <v>663</v>
      </c>
      <c r="B701" s="30">
        <f t="shared" ca="1" si="13"/>
        <v>1</v>
      </c>
    </row>
    <row r="702" spans="1:2" x14ac:dyDescent="0.25">
      <c r="A702" s="30">
        <v>664</v>
      </c>
      <c r="B702" s="30">
        <f t="shared" ca="1" si="13"/>
        <v>6</v>
      </c>
    </row>
    <row r="703" spans="1:2" x14ac:dyDescent="0.25">
      <c r="A703" s="30">
        <v>665</v>
      </c>
      <c r="B703" s="30">
        <f t="shared" ca="1" si="13"/>
        <v>6</v>
      </c>
    </row>
    <row r="704" spans="1:2" x14ac:dyDescent="0.25">
      <c r="A704" s="30">
        <v>666</v>
      </c>
      <c r="B704" s="30">
        <f t="shared" ca="1" si="13"/>
        <v>3</v>
      </c>
    </row>
    <row r="705" spans="1:2" x14ac:dyDescent="0.25">
      <c r="A705" s="30">
        <v>667</v>
      </c>
      <c r="B705" s="30">
        <f t="shared" ca="1" si="13"/>
        <v>6</v>
      </c>
    </row>
    <row r="706" spans="1:2" x14ac:dyDescent="0.25">
      <c r="A706" s="30">
        <v>668</v>
      </c>
      <c r="B706" s="30">
        <f t="shared" ca="1" si="13"/>
        <v>4</v>
      </c>
    </row>
    <row r="707" spans="1:2" x14ac:dyDescent="0.25">
      <c r="A707" s="30">
        <v>669</v>
      </c>
      <c r="B707" s="30">
        <f t="shared" ca="1" si="13"/>
        <v>6</v>
      </c>
    </row>
    <row r="708" spans="1:2" x14ac:dyDescent="0.25">
      <c r="A708" s="30">
        <v>670</v>
      </c>
      <c r="B708" s="30">
        <f t="shared" ca="1" si="13"/>
        <v>4</v>
      </c>
    </row>
    <row r="709" spans="1:2" x14ac:dyDescent="0.25">
      <c r="A709" s="30">
        <v>671</v>
      </c>
      <c r="B709" s="30">
        <f t="shared" ca="1" si="13"/>
        <v>6</v>
      </c>
    </row>
    <row r="710" spans="1:2" x14ac:dyDescent="0.25">
      <c r="A710" s="30">
        <v>672</v>
      </c>
      <c r="B710" s="30">
        <f t="shared" ca="1" si="13"/>
        <v>5</v>
      </c>
    </row>
    <row r="711" spans="1:2" x14ac:dyDescent="0.25">
      <c r="A711" s="30">
        <v>673</v>
      </c>
      <c r="B711" s="30">
        <f t="shared" ca="1" si="13"/>
        <v>4</v>
      </c>
    </row>
    <row r="712" spans="1:2" x14ac:dyDescent="0.25">
      <c r="A712" s="30">
        <v>674</v>
      </c>
      <c r="B712" s="30">
        <f t="shared" ca="1" si="13"/>
        <v>4</v>
      </c>
    </row>
    <row r="713" spans="1:2" x14ac:dyDescent="0.25">
      <c r="A713" s="30">
        <v>675</v>
      </c>
      <c r="B713" s="30">
        <f t="shared" ca="1" si="13"/>
        <v>8</v>
      </c>
    </row>
    <row r="714" spans="1:2" x14ac:dyDescent="0.25">
      <c r="A714" s="30">
        <v>676</v>
      </c>
      <c r="B714" s="30">
        <f t="shared" ca="1" si="13"/>
        <v>7</v>
      </c>
    </row>
    <row r="715" spans="1:2" x14ac:dyDescent="0.25">
      <c r="A715" s="30">
        <v>677</v>
      </c>
      <c r="B715" s="30">
        <f t="shared" ca="1" si="13"/>
        <v>3</v>
      </c>
    </row>
    <row r="716" spans="1:2" x14ac:dyDescent="0.25">
      <c r="A716" s="30">
        <v>678</v>
      </c>
      <c r="B716" s="30">
        <f t="shared" ca="1" si="13"/>
        <v>7</v>
      </c>
    </row>
    <row r="717" spans="1:2" x14ac:dyDescent="0.25">
      <c r="A717" s="30">
        <v>679</v>
      </c>
      <c r="B717" s="30">
        <f t="shared" ca="1" si="13"/>
        <v>5</v>
      </c>
    </row>
    <row r="718" spans="1:2" x14ac:dyDescent="0.25">
      <c r="A718" s="30">
        <v>680</v>
      </c>
      <c r="B718" s="30">
        <f t="shared" ca="1" si="13"/>
        <v>3</v>
      </c>
    </row>
    <row r="719" spans="1:2" x14ac:dyDescent="0.25">
      <c r="A719" s="30">
        <v>681</v>
      </c>
      <c r="B719" s="30">
        <f t="shared" ca="1" si="13"/>
        <v>6</v>
      </c>
    </row>
    <row r="720" spans="1:2" x14ac:dyDescent="0.25">
      <c r="A720" s="30">
        <v>682</v>
      </c>
      <c r="B720" s="30">
        <f t="shared" ca="1" si="13"/>
        <v>8</v>
      </c>
    </row>
    <row r="721" spans="1:2" x14ac:dyDescent="0.25">
      <c r="A721" s="30">
        <v>683</v>
      </c>
      <c r="B721" s="30">
        <f t="shared" ca="1" si="13"/>
        <v>6</v>
      </c>
    </row>
    <row r="722" spans="1:2" x14ac:dyDescent="0.25">
      <c r="A722" s="30">
        <v>684</v>
      </c>
      <c r="B722" s="30">
        <f t="shared" ca="1" si="13"/>
        <v>3</v>
      </c>
    </row>
    <row r="723" spans="1:2" x14ac:dyDescent="0.25">
      <c r="A723" s="30">
        <v>685</v>
      </c>
      <c r="B723" s="30">
        <f t="shared" ca="1" si="13"/>
        <v>4</v>
      </c>
    </row>
    <row r="724" spans="1:2" x14ac:dyDescent="0.25">
      <c r="A724" s="30">
        <v>686</v>
      </c>
      <c r="B724" s="30">
        <f t="shared" ca="1" si="13"/>
        <v>3</v>
      </c>
    </row>
    <row r="725" spans="1:2" x14ac:dyDescent="0.25">
      <c r="A725" s="30">
        <v>687</v>
      </c>
      <c r="B725" s="30">
        <f t="shared" ca="1" si="13"/>
        <v>7</v>
      </c>
    </row>
    <row r="726" spans="1:2" x14ac:dyDescent="0.25">
      <c r="A726" s="30">
        <v>688</v>
      </c>
      <c r="B726" s="30">
        <f t="shared" ca="1" si="13"/>
        <v>6</v>
      </c>
    </row>
    <row r="727" spans="1:2" x14ac:dyDescent="0.25">
      <c r="A727" s="30">
        <v>689</v>
      </c>
      <c r="B727" s="30">
        <f t="shared" ca="1" si="13"/>
        <v>7</v>
      </c>
    </row>
    <row r="728" spans="1:2" x14ac:dyDescent="0.25">
      <c r="A728" s="30">
        <v>690</v>
      </c>
      <c r="B728" s="30">
        <f t="shared" ca="1" si="13"/>
        <v>1</v>
      </c>
    </row>
    <row r="729" spans="1:2" x14ac:dyDescent="0.25">
      <c r="A729" s="30">
        <v>691</v>
      </c>
      <c r="B729" s="30">
        <f t="shared" ca="1" si="13"/>
        <v>6</v>
      </c>
    </row>
    <row r="730" spans="1:2" x14ac:dyDescent="0.25">
      <c r="A730" s="30">
        <v>692</v>
      </c>
      <c r="B730" s="30">
        <f t="shared" ca="1" si="13"/>
        <v>3</v>
      </c>
    </row>
    <row r="731" spans="1:2" x14ac:dyDescent="0.25">
      <c r="A731" s="30">
        <v>693</v>
      </c>
      <c r="B731" s="30">
        <f t="shared" ca="1" si="13"/>
        <v>7</v>
      </c>
    </row>
    <row r="732" spans="1:2" x14ac:dyDescent="0.25">
      <c r="A732" s="30">
        <v>694</v>
      </c>
      <c r="B732" s="30">
        <f t="shared" ca="1" si="13"/>
        <v>4</v>
      </c>
    </row>
    <row r="733" spans="1:2" x14ac:dyDescent="0.25">
      <c r="A733" s="30">
        <v>695</v>
      </c>
      <c r="B733" s="30">
        <f t="shared" ca="1" si="13"/>
        <v>5</v>
      </c>
    </row>
    <row r="734" spans="1:2" x14ac:dyDescent="0.25">
      <c r="A734" s="30">
        <v>696</v>
      </c>
      <c r="B734" s="30">
        <f t="shared" ca="1" si="13"/>
        <v>6</v>
      </c>
    </row>
    <row r="735" spans="1:2" x14ac:dyDescent="0.25">
      <c r="A735" s="30">
        <v>697</v>
      </c>
      <c r="B735" s="30">
        <f t="shared" ca="1" si="13"/>
        <v>5</v>
      </c>
    </row>
    <row r="736" spans="1:2" x14ac:dyDescent="0.25">
      <c r="A736" s="30">
        <v>698</v>
      </c>
      <c r="B736" s="30">
        <f t="shared" ca="1" si="13"/>
        <v>8</v>
      </c>
    </row>
    <row r="737" spans="1:2" x14ac:dyDescent="0.25">
      <c r="A737" s="30">
        <v>699</v>
      </c>
      <c r="B737" s="30">
        <f t="shared" ca="1" si="13"/>
        <v>3</v>
      </c>
    </row>
    <row r="738" spans="1:2" x14ac:dyDescent="0.25">
      <c r="A738" s="30">
        <v>700</v>
      </c>
      <c r="B738" s="30">
        <f t="shared" ca="1" si="13"/>
        <v>6</v>
      </c>
    </row>
    <row r="739" spans="1:2" x14ac:dyDescent="0.25">
      <c r="A739" s="30">
        <v>701</v>
      </c>
      <c r="B739" s="30">
        <f t="shared" ca="1" si="13"/>
        <v>2</v>
      </c>
    </row>
    <row r="740" spans="1:2" x14ac:dyDescent="0.25">
      <c r="A740" s="30">
        <v>702</v>
      </c>
      <c r="B740" s="30">
        <f t="shared" ca="1" si="13"/>
        <v>7</v>
      </c>
    </row>
    <row r="741" spans="1:2" x14ac:dyDescent="0.25">
      <c r="A741" s="30">
        <v>703</v>
      </c>
      <c r="B741" s="30">
        <f t="shared" ca="1" si="13"/>
        <v>3</v>
      </c>
    </row>
    <row r="742" spans="1:2" x14ac:dyDescent="0.25">
      <c r="A742" s="30">
        <v>704</v>
      </c>
      <c r="B742" s="30">
        <f t="shared" ca="1" si="13"/>
        <v>8</v>
      </c>
    </row>
    <row r="743" spans="1:2" x14ac:dyDescent="0.25">
      <c r="A743" s="30">
        <v>705</v>
      </c>
      <c r="B743" s="30">
        <f t="shared" ca="1" si="13"/>
        <v>5</v>
      </c>
    </row>
    <row r="744" spans="1:2" x14ac:dyDescent="0.25">
      <c r="A744" s="30">
        <v>706</v>
      </c>
      <c r="B744" s="30">
        <f t="shared" ref="B744:B807" ca="1" si="14">+_xlfn.BINOM.INV($B$4,$B$5,RAND())</f>
        <v>7</v>
      </c>
    </row>
    <row r="745" spans="1:2" x14ac:dyDescent="0.25">
      <c r="A745" s="30">
        <v>707</v>
      </c>
      <c r="B745" s="30">
        <f t="shared" ca="1" si="14"/>
        <v>7</v>
      </c>
    </row>
    <row r="746" spans="1:2" x14ac:dyDescent="0.25">
      <c r="A746" s="30">
        <v>708</v>
      </c>
      <c r="B746" s="30">
        <f t="shared" ca="1" si="14"/>
        <v>5</v>
      </c>
    </row>
    <row r="747" spans="1:2" x14ac:dyDescent="0.25">
      <c r="A747" s="30">
        <v>709</v>
      </c>
      <c r="B747" s="30">
        <f t="shared" ca="1" si="14"/>
        <v>5</v>
      </c>
    </row>
    <row r="748" spans="1:2" x14ac:dyDescent="0.25">
      <c r="A748" s="30">
        <v>710</v>
      </c>
      <c r="B748" s="30">
        <f t="shared" ca="1" si="14"/>
        <v>5</v>
      </c>
    </row>
    <row r="749" spans="1:2" x14ac:dyDescent="0.25">
      <c r="A749" s="30">
        <v>711</v>
      </c>
      <c r="B749" s="30">
        <f t="shared" ca="1" si="14"/>
        <v>5</v>
      </c>
    </row>
    <row r="750" spans="1:2" x14ac:dyDescent="0.25">
      <c r="A750" s="30">
        <v>712</v>
      </c>
      <c r="B750" s="30">
        <f t="shared" ca="1" si="14"/>
        <v>5</v>
      </c>
    </row>
    <row r="751" spans="1:2" x14ac:dyDescent="0.25">
      <c r="A751" s="30">
        <v>713</v>
      </c>
      <c r="B751" s="30">
        <f t="shared" ca="1" si="14"/>
        <v>7</v>
      </c>
    </row>
    <row r="752" spans="1:2" x14ac:dyDescent="0.25">
      <c r="A752" s="30">
        <v>714</v>
      </c>
      <c r="B752" s="30">
        <f t="shared" ca="1" si="14"/>
        <v>3</v>
      </c>
    </row>
    <row r="753" spans="1:2" x14ac:dyDescent="0.25">
      <c r="A753" s="30">
        <v>715</v>
      </c>
      <c r="B753" s="30">
        <f t="shared" ca="1" si="14"/>
        <v>7</v>
      </c>
    </row>
    <row r="754" spans="1:2" x14ac:dyDescent="0.25">
      <c r="A754" s="30">
        <v>716</v>
      </c>
      <c r="B754" s="30">
        <f t="shared" ca="1" si="14"/>
        <v>3</v>
      </c>
    </row>
    <row r="755" spans="1:2" x14ac:dyDescent="0.25">
      <c r="A755" s="30">
        <v>717</v>
      </c>
      <c r="B755" s="30">
        <f t="shared" ca="1" si="14"/>
        <v>2</v>
      </c>
    </row>
    <row r="756" spans="1:2" x14ac:dyDescent="0.25">
      <c r="A756" s="30">
        <v>718</v>
      </c>
      <c r="B756" s="30">
        <f t="shared" ca="1" si="14"/>
        <v>5</v>
      </c>
    </row>
    <row r="757" spans="1:2" x14ac:dyDescent="0.25">
      <c r="A757" s="30">
        <v>719</v>
      </c>
      <c r="B757" s="30">
        <f t="shared" ca="1" si="14"/>
        <v>7</v>
      </c>
    </row>
    <row r="758" spans="1:2" x14ac:dyDescent="0.25">
      <c r="A758" s="30">
        <v>720</v>
      </c>
      <c r="B758" s="30">
        <f t="shared" ca="1" si="14"/>
        <v>2</v>
      </c>
    </row>
    <row r="759" spans="1:2" x14ac:dyDescent="0.25">
      <c r="A759" s="30">
        <v>721</v>
      </c>
      <c r="B759" s="30">
        <f t="shared" ca="1" si="14"/>
        <v>5</v>
      </c>
    </row>
    <row r="760" spans="1:2" x14ac:dyDescent="0.25">
      <c r="A760" s="30">
        <v>722</v>
      </c>
      <c r="B760" s="30">
        <f t="shared" ca="1" si="14"/>
        <v>7</v>
      </c>
    </row>
    <row r="761" spans="1:2" x14ac:dyDescent="0.25">
      <c r="A761" s="30">
        <v>723</v>
      </c>
      <c r="B761" s="30">
        <f t="shared" ca="1" si="14"/>
        <v>7</v>
      </c>
    </row>
    <row r="762" spans="1:2" x14ac:dyDescent="0.25">
      <c r="A762" s="30">
        <v>724</v>
      </c>
      <c r="B762" s="30">
        <f t="shared" ca="1" si="14"/>
        <v>6</v>
      </c>
    </row>
    <row r="763" spans="1:2" x14ac:dyDescent="0.25">
      <c r="A763" s="30">
        <v>725</v>
      </c>
      <c r="B763" s="30">
        <f t="shared" ca="1" si="14"/>
        <v>3</v>
      </c>
    </row>
    <row r="764" spans="1:2" x14ac:dyDescent="0.25">
      <c r="A764" s="30">
        <v>726</v>
      </c>
      <c r="B764" s="30">
        <f t="shared" ca="1" si="14"/>
        <v>4</v>
      </c>
    </row>
    <row r="765" spans="1:2" x14ac:dyDescent="0.25">
      <c r="A765" s="30">
        <v>727</v>
      </c>
      <c r="B765" s="30">
        <f t="shared" ca="1" si="14"/>
        <v>5</v>
      </c>
    </row>
    <row r="766" spans="1:2" x14ac:dyDescent="0.25">
      <c r="A766" s="30">
        <v>728</v>
      </c>
      <c r="B766" s="30">
        <f t="shared" ca="1" si="14"/>
        <v>6</v>
      </c>
    </row>
    <row r="767" spans="1:2" x14ac:dyDescent="0.25">
      <c r="A767" s="30">
        <v>729</v>
      </c>
      <c r="B767" s="30">
        <f t="shared" ca="1" si="14"/>
        <v>2</v>
      </c>
    </row>
    <row r="768" spans="1:2" x14ac:dyDescent="0.25">
      <c r="A768" s="30">
        <v>730</v>
      </c>
      <c r="B768" s="30">
        <f t="shared" ca="1" si="14"/>
        <v>6</v>
      </c>
    </row>
    <row r="769" spans="1:2" x14ac:dyDescent="0.25">
      <c r="A769" s="30">
        <v>731</v>
      </c>
      <c r="B769" s="30">
        <f t="shared" ca="1" si="14"/>
        <v>6</v>
      </c>
    </row>
    <row r="770" spans="1:2" x14ac:dyDescent="0.25">
      <c r="A770" s="30">
        <v>732</v>
      </c>
      <c r="B770" s="30">
        <f t="shared" ca="1" si="14"/>
        <v>4</v>
      </c>
    </row>
    <row r="771" spans="1:2" x14ac:dyDescent="0.25">
      <c r="A771" s="30">
        <v>733</v>
      </c>
      <c r="B771" s="30">
        <f t="shared" ca="1" si="14"/>
        <v>9</v>
      </c>
    </row>
    <row r="772" spans="1:2" x14ac:dyDescent="0.25">
      <c r="A772" s="30">
        <v>734</v>
      </c>
      <c r="B772" s="30">
        <f t="shared" ca="1" si="14"/>
        <v>4</v>
      </c>
    </row>
    <row r="773" spans="1:2" x14ac:dyDescent="0.25">
      <c r="A773" s="30">
        <v>735</v>
      </c>
      <c r="B773" s="30">
        <f t="shared" ca="1" si="14"/>
        <v>7</v>
      </c>
    </row>
    <row r="774" spans="1:2" x14ac:dyDescent="0.25">
      <c r="A774" s="30">
        <v>736</v>
      </c>
      <c r="B774" s="30">
        <f t="shared" ca="1" si="14"/>
        <v>5</v>
      </c>
    </row>
    <row r="775" spans="1:2" x14ac:dyDescent="0.25">
      <c r="A775" s="30">
        <v>737</v>
      </c>
      <c r="B775" s="30">
        <f t="shared" ca="1" si="14"/>
        <v>1</v>
      </c>
    </row>
    <row r="776" spans="1:2" x14ac:dyDescent="0.25">
      <c r="A776" s="30">
        <v>738</v>
      </c>
      <c r="B776" s="30">
        <f t="shared" ca="1" si="14"/>
        <v>7</v>
      </c>
    </row>
    <row r="777" spans="1:2" x14ac:dyDescent="0.25">
      <c r="A777" s="30">
        <v>739</v>
      </c>
      <c r="B777" s="30">
        <f t="shared" ca="1" si="14"/>
        <v>4</v>
      </c>
    </row>
    <row r="778" spans="1:2" x14ac:dyDescent="0.25">
      <c r="A778" s="30">
        <v>740</v>
      </c>
      <c r="B778" s="30">
        <f t="shared" ca="1" si="14"/>
        <v>7</v>
      </c>
    </row>
    <row r="779" spans="1:2" x14ac:dyDescent="0.25">
      <c r="A779" s="30">
        <v>741</v>
      </c>
      <c r="B779" s="30">
        <f t="shared" ca="1" si="14"/>
        <v>4</v>
      </c>
    </row>
    <row r="780" spans="1:2" x14ac:dyDescent="0.25">
      <c r="A780" s="30">
        <v>742</v>
      </c>
      <c r="B780" s="30">
        <f t="shared" ca="1" si="14"/>
        <v>5</v>
      </c>
    </row>
    <row r="781" spans="1:2" x14ac:dyDescent="0.25">
      <c r="A781" s="30">
        <v>743</v>
      </c>
      <c r="B781" s="30">
        <f t="shared" ca="1" si="14"/>
        <v>8</v>
      </c>
    </row>
    <row r="782" spans="1:2" x14ac:dyDescent="0.25">
      <c r="A782" s="30">
        <v>744</v>
      </c>
      <c r="B782" s="30">
        <f t="shared" ca="1" si="14"/>
        <v>3</v>
      </c>
    </row>
    <row r="783" spans="1:2" x14ac:dyDescent="0.25">
      <c r="A783" s="30">
        <v>745</v>
      </c>
      <c r="B783" s="30">
        <f t="shared" ca="1" si="14"/>
        <v>5</v>
      </c>
    </row>
    <row r="784" spans="1:2" x14ac:dyDescent="0.25">
      <c r="A784" s="30">
        <v>746</v>
      </c>
      <c r="B784" s="30">
        <f t="shared" ca="1" si="14"/>
        <v>5</v>
      </c>
    </row>
    <row r="785" spans="1:2" x14ac:dyDescent="0.25">
      <c r="A785" s="30">
        <v>747</v>
      </c>
      <c r="B785" s="30">
        <f t="shared" ca="1" si="14"/>
        <v>8</v>
      </c>
    </row>
    <row r="786" spans="1:2" x14ac:dyDescent="0.25">
      <c r="A786" s="30">
        <v>748</v>
      </c>
      <c r="B786" s="30">
        <f t="shared" ca="1" si="14"/>
        <v>2</v>
      </c>
    </row>
    <row r="787" spans="1:2" x14ac:dyDescent="0.25">
      <c r="A787" s="30">
        <v>749</v>
      </c>
      <c r="B787" s="30">
        <f t="shared" ca="1" si="14"/>
        <v>3</v>
      </c>
    </row>
    <row r="788" spans="1:2" x14ac:dyDescent="0.25">
      <c r="A788" s="30">
        <v>750</v>
      </c>
      <c r="B788" s="30">
        <f t="shared" ca="1" si="14"/>
        <v>6</v>
      </c>
    </row>
    <row r="789" spans="1:2" x14ac:dyDescent="0.25">
      <c r="A789" s="30">
        <v>751</v>
      </c>
      <c r="B789" s="30">
        <f t="shared" ca="1" si="14"/>
        <v>8</v>
      </c>
    </row>
    <row r="790" spans="1:2" x14ac:dyDescent="0.25">
      <c r="A790" s="30">
        <v>752</v>
      </c>
      <c r="B790" s="30">
        <f t="shared" ca="1" si="14"/>
        <v>8</v>
      </c>
    </row>
    <row r="791" spans="1:2" x14ac:dyDescent="0.25">
      <c r="A791" s="30">
        <v>753</v>
      </c>
      <c r="B791" s="30">
        <f t="shared" ca="1" si="14"/>
        <v>4</v>
      </c>
    </row>
    <row r="792" spans="1:2" x14ac:dyDescent="0.25">
      <c r="A792" s="30">
        <v>754</v>
      </c>
      <c r="B792" s="30">
        <f t="shared" ca="1" si="14"/>
        <v>6</v>
      </c>
    </row>
    <row r="793" spans="1:2" x14ac:dyDescent="0.25">
      <c r="A793" s="30">
        <v>755</v>
      </c>
      <c r="B793" s="30">
        <f t="shared" ca="1" si="14"/>
        <v>4</v>
      </c>
    </row>
    <row r="794" spans="1:2" x14ac:dyDescent="0.25">
      <c r="A794" s="30">
        <v>756</v>
      </c>
      <c r="B794" s="30">
        <f t="shared" ca="1" si="14"/>
        <v>4</v>
      </c>
    </row>
    <row r="795" spans="1:2" x14ac:dyDescent="0.25">
      <c r="A795" s="30">
        <v>757</v>
      </c>
      <c r="B795" s="30">
        <f t="shared" ca="1" si="14"/>
        <v>5</v>
      </c>
    </row>
    <row r="796" spans="1:2" x14ac:dyDescent="0.25">
      <c r="A796" s="30">
        <v>758</v>
      </c>
      <c r="B796" s="30">
        <f t="shared" ca="1" si="14"/>
        <v>3</v>
      </c>
    </row>
    <row r="797" spans="1:2" x14ac:dyDescent="0.25">
      <c r="A797" s="30">
        <v>759</v>
      </c>
      <c r="B797" s="30">
        <f t="shared" ca="1" si="14"/>
        <v>5</v>
      </c>
    </row>
    <row r="798" spans="1:2" x14ac:dyDescent="0.25">
      <c r="A798" s="30">
        <v>760</v>
      </c>
      <c r="B798" s="30">
        <f t="shared" ca="1" si="14"/>
        <v>8</v>
      </c>
    </row>
    <row r="799" spans="1:2" x14ac:dyDescent="0.25">
      <c r="A799" s="30">
        <v>761</v>
      </c>
      <c r="B799" s="30">
        <f t="shared" ca="1" si="14"/>
        <v>7</v>
      </c>
    </row>
    <row r="800" spans="1:2" x14ac:dyDescent="0.25">
      <c r="A800" s="30">
        <v>762</v>
      </c>
      <c r="B800" s="30">
        <f t="shared" ca="1" si="14"/>
        <v>5</v>
      </c>
    </row>
    <row r="801" spans="1:2" x14ac:dyDescent="0.25">
      <c r="A801" s="30">
        <v>763</v>
      </c>
      <c r="B801" s="30">
        <f t="shared" ca="1" si="14"/>
        <v>5</v>
      </c>
    </row>
    <row r="802" spans="1:2" x14ac:dyDescent="0.25">
      <c r="A802" s="30">
        <v>764</v>
      </c>
      <c r="B802" s="30">
        <f t="shared" ca="1" si="14"/>
        <v>1</v>
      </c>
    </row>
    <row r="803" spans="1:2" x14ac:dyDescent="0.25">
      <c r="A803" s="30">
        <v>765</v>
      </c>
      <c r="B803" s="30">
        <f t="shared" ca="1" si="14"/>
        <v>2</v>
      </c>
    </row>
    <row r="804" spans="1:2" x14ac:dyDescent="0.25">
      <c r="A804" s="30">
        <v>766</v>
      </c>
      <c r="B804" s="30">
        <f t="shared" ca="1" si="14"/>
        <v>6</v>
      </c>
    </row>
    <row r="805" spans="1:2" x14ac:dyDescent="0.25">
      <c r="A805" s="30">
        <v>767</v>
      </c>
      <c r="B805" s="30">
        <f t="shared" ca="1" si="14"/>
        <v>4</v>
      </c>
    </row>
    <row r="806" spans="1:2" x14ac:dyDescent="0.25">
      <c r="A806" s="30">
        <v>768</v>
      </c>
      <c r="B806" s="30">
        <f t="shared" ca="1" si="14"/>
        <v>2</v>
      </c>
    </row>
    <row r="807" spans="1:2" x14ac:dyDescent="0.25">
      <c r="A807" s="30">
        <v>769</v>
      </c>
      <c r="B807" s="30">
        <f t="shared" ca="1" si="14"/>
        <v>8</v>
      </c>
    </row>
    <row r="808" spans="1:2" x14ac:dyDescent="0.25">
      <c r="A808" s="30">
        <v>770</v>
      </c>
      <c r="B808" s="30">
        <f t="shared" ref="B808:B871" ca="1" si="15">+_xlfn.BINOM.INV($B$4,$B$5,RAND())</f>
        <v>6</v>
      </c>
    </row>
    <row r="809" spans="1:2" x14ac:dyDescent="0.25">
      <c r="A809" s="30">
        <v>771</v>
      </c>
      <c r="B809" s="30">
        <f t="shared" ca="1" si="15"/>
        <v>4</v>
      </c>
    </row>
    <row r="810" spans="1:2" x14ac:dyDescent="0.25">
      <c r="A810" s="30">
        <v>772</v>
      </c>
      <c r="B810" s="30">
        <f t="shared" ca="1" si="15"/>
        <v>5</v>
      </c>
    </row>
    <row r="811" spans="1:2" x14ac:dyDescent="0.25">
      <c r="A811" s="30">
        <v>773</v>
      </c>
      <c r="B811" s="30">
        <f t="shared" ca="1" si="15"/>
        <v>8</v>
      </c>
    </row>
    <row r="812" spans="1:2" x14ac:dyDescent="0.25">
      <c r="A812" s="30">
        <v>774</v>
      </c>
      <c r="B812" s="30">
        <f t="shared" ca="1" si="15"/>
        <v>7</v>
      </c>
    </row>
    <row r="813" spans="1:2" x14ac:dyDescent="0.25">
      <c r="A813" s="30">
        <v>775</v>
      </c>
      <c r="B813" s="30">
        <f t="shared" ca="1" si="15"/>
        <v>4</v>
      </c>
    </row>
    <row r="814" spans="1:2" x14ac:dyDescent="0.25">
      <c r="A814" s="30">
        <v>776</v>
      </c>
      <c r="B814" s="30">
        <f t="shared" ca="1" si="15"/>
        <v>3</v>
      </c>
    </row>
    <row r="815" spans="1:2" x14ac:dyDescent="0.25">
      <c r="A815" s="30">
        <v>777</v>
      </c>
      <c r="B815" s="30">
        <f t="shared" ca="1" si="15"/>
        <v>6</v>
      </c>
    </row>
    <row r="816" spans="1:2" x14ac:dyDescent="0.25">
      <c r="A816" s="30">
        <v>778</v>
      </c>
      <c r="B816" s="30">
        <f t="shared" ca="1" si="15"/>
        <v>5</v>
      </c>
    </row>
    <row r="817" spans="1:2" x14ac:dyDescent="0.25">
      <c r="A817" s="30">
        <v>779</v>
      </c>
      <c r="B817" s="30">
        <f t="shared" ca="1" si="15"/>
        <v>2</v>
      </c>
    </row>
    <row r="818" spans="1:2" x14ac:dyDescent="0.25">
      <c r="A818" s="30">
        <v>780</v>
      </c>
      <c r="B818" s="30">
        <f t="shared" ca="1" si="15"/>
        <v>7</v>
      </c>
    </row>
    <row r="819" spans="1:2" x14ac:dyDescent="0.25">
      <c r="A819" s="30">
        <v>781</v>
      </c>
      <c r="B819" s="30">
        <f t="shared" ca="1" si="15"/>
        <v>6</v>
      </c>
    </row>
    <row r="820" spans="1:2" x14ac:dyDescent="0.25">
      <c r="A820" s="30">
        <v>782</v>
      </c>
      <c r="B820" s="30">
        <f t="shared" ca="1" si="15"/>
        <v>7</v>
      </c>
    </row>
    <row r="821" spans="1:2" x14ac:dyDescent="0.25">
      <c r="A821" s="30">
        <v>783</v>
      </c>
      <c r="B821" s="30">
        <f t="shared" ca="1" si="15"/>
        <v>5</v>
      </c>
    </row>
    <row r="822" spans="1:2" x14ac:dyDescent="0.25">
      <c r="A822" s="30">
        <v>784</v>
      </c>
      <c r="B822" s="30">
        <f t="shared" ca="1" si="15"/>
        <v>6</v>
      </c>
    </row>
    <row r="823" spans="1:2" x14ac:dyDescent="0.25">
      <c r="A823" s="30">
        <v>785</v>
      </c>
      <c r="B823" s="30">
        <f t="shared" ca="1" si="15"/>
        <v>4</v>
      </c>
    </row>
    <row r="824" spans="1:2" x14ac:dyDescent="0.25">
      <c r="A824" s="30">
        <v>786</v>
      </c>
      <c r="B824" s="30">
        <f t="shared" ca="1" si="15"/>
        <v>8</v>
      </c>
    </row>
    <row r="825" spans="1:2" x14ac:dyDescent="0.25">
      <c r="A825" s="30">
        <v>787</v>
      </c>
      <c r="B825" s="30">
        <f t="shared" ca="1" si="15"/>
        <v>6</v>
      </c>
    </row>
    <row r="826" spans="1:2" x14ac:dyDescent="0.25">
      <c r="A826" s="30">
        <v>788</v>
      </c>
      <c r="B826" s="30">
        <f t="shared" ca="1" si="15"/>
        <v>7</v>
      </c>
    </row>
    <row r="827" spans="1:2" x14ac:dyDescent="0.25">
      <c r="A827" s="30">
        <v>789</v>
      </c>
      <c r="B827" s="30">
        <f t="shared" ca="1" si="15"/>
        <v>4</v>
      </c>
    </row>
    <row r="828" spans="1:2" x14ac:dyDescent="0.25">
      <c r="A828" s="30">
        <v>790</v>
      </c>
      <c r="B828" s="30">
        <f t="shared" ca="1" si="15"/>
        <v>4</v>
      </c>
    </row>
    <row r="829" spans="1:2" x14ac:dyDescent="0.25">
      <c r="A829" s="30">
        <v>791</v>
      </c>
      <c r="B829" s="30">
        <f t="shared" ca="1" si="15"/>
        <v>7</v>
      </c>
    </row>
    <row r="830" spans="1:2" x14ac:dyDescent="0.25">
      <c r="A830" s="30">
        <v>792</v>
      </c>
      <c r="B830" s="30">
        <f t="shared" ca="1" si="15"/>
        <v>4</v>
      </c>
    </row>
    <row r="831" spans="1:2" x14ac:dyDescent="0.25">
      <c r="A831" s="30">
        <v>793</v>
      </c>
      <c r="B831" s="30">
        <f t="shared" ca="1" si="15"/>
        <v>4</v>
      </c>
    </row>
    <row r="832" spans="1:2" x14ac:dyDescent="0.25">
      <c r="A832" s="30">
        <v>794</v>
      </c>
      <c r="B832" s="30">
        <f t="shared" ca="1" si="15"/>
        <v>3</v>
      </c>
    </row>
    <row r="833" spans="1:2" x14ac:dyDescent="0.25">
      <c r="A833" s="30">
        <v>795</v>
      </c>
      <c r="B833" s="30">
        <f t="shared" ca="1" si="15"/>
        <v>6</v>
      </c>
    </row>
    <row r="834" spans="1:2" x14ac:dyDescent="0.25">
      <c r="A834" s="30">
        <v>796</v>
      </c>
      <c r="B834" s="30">
        <f t="shared" ca="1" si="15"/>
        <v>4</v>
      </c>
    </row>
    <row r="835" spans="1:2" x14ac:dyDescent="0.25">
      <c r="A835" s="30">
        <v>797</v>
      </c>
      <c r="B835" s="30">
        <f t="shared" ca="1" si="15"/>
        <v>3</v>
      </c>
    </row>
    <row r="836" spans="1:2" x14ac:dyDescent="0.25">
      <c r="A836" s="30">
        <v>798</v>
      </c>
      <c r="B836" s="30">
        <f t="shared" ca="1" si="15"/>
        <v>7</v>
      </c>
    </row>
    <row r="837" spans="1:2" x14ac:dyDescent="0.25">
      <c r="A837" s="30">
        <v>799</v>
      </c>
      <c r="B837" s="30">
        <f t="shared" ca="1" si="15"/>
        <v>3</v>
      </c>
    </row>
    <row r="838" spans="1:2" x14ac:dyDescent="0.25">
      <c r="A838" s="30">
        <v>800</v>
      </c>
      <c r="B838" s="30">
        <f t="shared" ca="1" si="15"/>
        <v>8</v>
      </c>
    </row>
    <row r="839" spans="1:2" x14ac:dyDescent="0.25">
      <c r="A839" s="30">
        <v>801</v>
      </c>
      <c r="B839" s="30">
        <f t="shared" ca="1" si="15"/>
        <v>5</v>
      </c>
    </row>
    <row r="840" spans="1:2" x14ac:dyDescent="0.25">
      <c r="A840" s="30">
        <v>802</v>
      </c>
      <c r="B840" s="30">
        <f t="shared" ca="1" si="15"/>
        <v>2</v>
      </c>
    </row>
    <row r="841" spans="1:2" x14ac:dyDescent="0.25">
      <c r="A841" s="30">
        <v>803</v>
      </c>
      <c r="B841" s="30">
        <f t="shared" ca="1" si="15"/>
        <v>6</v>
      </c>
    </row>
    <row r="842" spans="1:2" x14ac:dyDescent="0.25">
      <c r="A842" s="30">
        <v>804</v>
      </c>
      <c r="B842" s="30">
        <f t="shared" ca="1" si="15"/>
        <v>4</v>
      </c>
    </row>
    <row r="843" spans="1:2" x14ac:dyDescent="0.25">
      <c r="A843" s="30">
        <v>805</v>
      </c>
      <c r="B843" s="30">
        <f t="shared" ca="1" si="15"/>
        <v>4</v>
      </c>
    </row>
    <row r="844" spans="1:2" x14ac:dyDescent="0.25">
      <c r="A844" s="30">
        <v>806</v>
      </c>
      <c r="B844" s="30">
        <f t="shared" ca="1" si="15"/>
        <v>7</v>
      </c>
    </row>
    <row r="845" spans="1:2" x14ac:dyDescent="0.25">
      <c r="A845" s="30">
        <v>807</v>
      </c>
      <c r="B845" s="30">
        <f t="shared" ca="1" si="15"/>
        <v>6</v>
      </c>
    </row>
    <row r="846" spans="1:2" x14ac:dyDescent="0.25">
      <c r="A846" s="30">
        <v>808</v>
      </c>
      <c r="B846" s="30">
        <f t="shared" ca="1" si="15"/>
        <v>5</v>
      </c>
    </row>
    <row r="847" spans="1:2" x14ac:dyDescent="0.25">
      <c r="A847" s="30">
        <v>809</v>
      </c>
      <c r="B847" s="30">
        <f t="shared" ca="1" si="15"/>
        <v>8</v>
      </c>
    </row>
    <row r="848" spans="1:2" x14ac:dyDescent="0.25">
      <c r="A848" s="30">
        <v>810</v>
      </c>
      <c r="B848" s="30">
        <f t="shared" ca="1" si="15"/>
        <v>3</v>
      </c>
    </row>
    <row r="849" spans="1:2" x14ac:dyDescent="0.25">
      <c r="A849" s="30">
        <v>811</v>
      </c>
      <c r="B849" s="30">
        <f t="shared" ca="1" si="15"/>
        <v>5</v>
      </c>
    </row>
    <row r="850" spans="1:2" x14ac:dyDescent="0.25">
      <c r="A850" s="30">
        <v>812</v>
      </c>
      <c r="B850" s="30">
        <f t="shared" ca="1" si="15"/>
        <v>9</v>
      </c>
    </row>
    <row r="851" spans="1:2" x14ac:dyDescent="0.25">
      <c r="A851" s="30">
        <v>813</v>
      </c>
      <c r="B851" s="30">
        <f t="shared" ca="1" si="15"/>
        <v>6</v>
      </c>
    </row>
    <row r="852" spans="1:2" x14ac:dyDescent="0.25">
      <c r="A852" s="30">
        <v>814</v>
      </c>
      <c r="B852" s="30">
        <f t="shared" ca="1" si="15"/>
        <v>6</v>
      </c>
    </row>
    <row r="853" spans="1:2" x14ac:dyDescent="0.25">
      <c r="A853" s="30">
        <v>815</v>
      </c>
      <c r="B853" s="30">
        <f t="shared" ca="1" si="15"/>
        <v>5</v>
      </c>
    </row>
    <row r="854" spans="1:2" x14ac:dyDescent="0.25">
      <c r="A854" s="30">
        <v>816</v>
      </c>
      <c r="B854" s="30">
        <f t="shared" ca="1" si="15"/>
        <v>7</v>
      </c>
    </row>
    <row r="855" spans="1:2" x14ac:dyDescent="0.25">
      <c r="A855" s="30">
        <v>817</v>
      </c>
      <c r="B855" s="30">
        <f t="shared" ca="1" si="15"/>
        <v>7</v>
      </c>
    </row>
    <row r="856" spans="1:2" x14ac:dyDescent="0.25">
      <c r="A856" s="30">
        <v>818</v>
      </c>
      <c r="B856" s="30">
        <f t="shared" ca="1" si="15"/>
        <v>4</v>
      </c>
    </row>
    <row r="857" spans="1:2" x14ac:dyDescent="0.25">
      <c r="A857" s="30">
        <v>819</v>
      </c>
      <c r="B857" s="30">
        <f t="shared" ca="1" si="15"/>
        <v>3</v>
      </c>
    </row>
    <row r="858" spans="1:2" x14ac:dyDescent="0.25">
      <c r="A858" s="30">
        <v>820</v>
      </c>
      <c r="B858" s="30">
        <f t="shared" ca="1" si="15"/>
        <v>3</v>
      </c>
    </row>
    <row r="859" spans="1:2" x14ac:dyDescent="0.25">
      <c r="A859" s="30">
        <v>821</v>
      </c>
      <c r="B859" s="30">
        <f t="shared" ca="1" si="15"/>
        <v>7</v>
      </c>
    </row>
    <row r="860" spans="1:2" x14ac:dyDescent="0.25">
      <c r="A860" s="30">
        <v>822</v>
      </c>
      <c r="B860" s="30">
        <f t="shared" ca="1" si="15"/>
        <v>3</v>
      </c>
    </row>
    <row r="861" spans="1:2" x14ac:dyDescent="0.25">
      <c r="A861" s="30">
        <v>823</v>
      </c>
      <c r="B861" s="30">
        <f t="shared" ca="1" si="15"/>
        <v>5</v>
      </c>
    </row>
    <row r="862" spans="1:2" x14ac:dyDescent="0.25">
      <c r="A862" s="30">
        <v>824</v>
      </c>
      <c r="B862" s="30">
        <f t="shared" ca="1" si="15"/>
        <v>5</v>
      </c>
    </row>
    <row r="863" spans="1:2" x14ac:dyDescent="0.25">
      <c r="A863" s="30">
        <v>825</v>
      </c>
      <c r="B863" s="30">
        <f t="shared" ca="1" si="15"/>
        <v>6</v>
      </c>
    </row>
    <row r="864" spans="1:2" x14ac:dyDescent="0.25">
      <c r="A864" s="30">
        <v>826</v>
      </c>
      <c r="B864" s="30">
        <f t="shared" ca="1" si="15"/>
        <v>1</v>
      </c>
    </row>
    <row r="865" spans="1:2" x14ac:dyDescent="0.25">
      <c r="A865" s="30">
        <v>827</v>
      </c>
      <c r="B865" s="30">
        <f t="shared" ca="1" si="15"/>
        <v>4</v>
      </c>
    </row>
    <row r="866" spans="1:2" x14ac:dyDescent="0.25">
      <c r="A866" s="30">
        <v>828</v>
      </c>
      <c r="B866" s="30">
        <f t="shared" ca="1" si="15"/>
        <v>5</v>
      </c>
    </row>
    <row r="867" spans="1:2" x14ac:dyDescent="0.25">
      <c r="A867" s="30">
        <v>829</v>
      </c>
      <c r="B867" s="30">
        <f t="shared" ca="1" si="15"/>
        <v>2</v>
      </c>
    </row>
    <row r="868" spans="1:2" x14ac:dyDescent="0.25">
      <c r="A868" s="30">
        <v>830</v>
      </c>
      <c r="B868" s="30">
        <f t="shared" ca="1" si="15"/>
        <v>5</v>
      </c>
    </row>
    <row r="869" spans="1:2" x14ac:dyDescent="0.25">
      <c r="A869" s="30">
        <v>831</v>
      </c>
      <c r="B869" s="30">
        <f t="shared" ca="1" si="15"/>
        <v>9</v>
      </c>
    </row>
    <row r="870" spans="1:2" x14ac:dyDescent="0.25">
      <c r="A870" s="30">
        <v>832</v>
      </c>
      <c r="B870" s="30">
        <f t="shared" ca="1" si="15"/>
        <v>2</v>
      </c>
    </row>
    <row r="871" spans="1:2" x14ac:dyDescent="0.25">
      <c r="A871" s="30">
        <v>833</v>
      </c>
      <c r="B871" s="30">
        <f t="shared" ca="1" si="15"/>
        <v>5</v>
      </c>
    </row>
    <row r="872" spans="1:2" x14ac:dyDescent="0.25">
      <c r="A872" s="30">
        <v>834</v>
      </c>
      <c r="B872" s="30">
        <f t="shared" ref="B872:B935" ca="1" si="16">+_xlfn.BINOM.INV($B$4,$B$5,RAND())</f>
        <v>4</v>
      </c>
    </row>
    <row r="873" spans="1:2" x14ac:dyDescent="0.25">
      <c r="A873" s="30">
        <v>835</v>
      </c>
      <c r="B873" s="30">
        <f t="shared" ca="1" si="16"/>
        <v>7</v>
      </c>
    </row>
    <row r="874" spans="1:2" x14ac:dyDescent="0.25">
      <c r="A874" s="30">
        <v>836</v>
      </c>
      <c r="B874" s="30">
        <f t="shared" ca="1" si="16"/>
        <v>4</v>
      </c>
    </row>
    <row r="875" spans="1:2" x14ac:dyDescent="0.25">
      <c r="A875" s="30">
        <v>837</v>
      </c>
      <c r="B875" s="30">
        <f t="shared" ca="1" si="16"/>
        <v>1</v>
      </c>
    </row>
    <row r="876" spans="1:2" x14ac:dyDescent="0.25">
      <c r="A876" s="30">
        <v>838</v>
      </c>
      <c r="B876" s="30">
        <f t="shared" ca="1" si="16"/>
        <v>4</v>
      </c>
    </row>
    <row r="877" spans="1:2" x14ac:dyDescent="0.25">
      <c r="A877" s="30">
        <v>839</v>
      </c>
      <c r="B877" s="30">
        <f t="shared" ca="1" si="16"/>
        <v>5</v>
      </c>
    </row>
    <row r="878" spans="1:2" x14ac:dyDescent="0.25">
      <c r="A878" s="30">
        <v>840</v>
      </c>
      <c r="B878" s="30">
        <f t="shared" ca="1" si="16"/>
        <v>7</v>
      </c>
    </row>
    <row r="879" spans="1:2" x14ac:dyDescent="0.25">
      <c r="A879" s="30">
        <v>841</v>
      </c>
      <c r="B879" s="30">
        <f t="shared" ca="1" si="16"/>
        <v>8</v>
      </c>
    </row>
    <row r="880" spans="1:2" x14ac:dyDescent="0.25">
      <c r="A880" s="30">
        <v>842</v>
      </c>
      <c r="B880" s="30">
        <f t="shared" ca="1" si="16"/>
        <v>3</v>
      </c>
    </row>
    <row r="881" spans="1:2" x14ac:dyDescent="0.25">
      <c r="A881" s="30">
        <v>843</v>
      </c>
      <c r="B881" s="30">
        <f t="shared" ca="1" si="16"/>
        <v>8</v>
      </c>
    </row>
    <row r="882" spans="1:2" x14ac:dyDescent="0.25">
      <c r="A882" s="30">
        <v>844</v>
      </c>
      <c r="B882" s="30">
        <f t="shared" ca="1" si="16"/>
        <v>7</v>
      </c>
    </row>
    <row r="883" spans="1:2" x14ac:dyDescent="0.25">
      <c r="A883" s="30">
        <v>845</v>
      </c>
      <c r="B883" s="30">
        <f t="shared" ca="1" si="16"/>
        <v>4</v>
      </c>
    </row>
    <row r="884" spans="1:2" x14ac:dyDescent="0.25">
      <c r="A884" s="30">
        <v>846</v>
      </c>
      <c r="B884" s="30">
        <f t="shared" ca="1" si="16"/>
        <v>4</v>
      </c>
    </row>
    <row r="885" spans="1:2" x14ac:dyDescent="0.25">
      <c r="A885" s="30">
        <v>847</v>
      </c>
      <c r="B885" s="30">
        <f t="shared" ca="1" si="16"/>
        <v>5</v>
      </c>
    </row>
    <row r="886" spans="1:2" x14ac:dyDescent="0.25">
      <c r="A886" s="30">
        <v>848</v>
      </c>
      <c r="B886" s="30">
        <f t="shared" ca="1" si="16"/>
        <v>3</v>
      </c>
    </row>
    <row r="887" spans="1:2" x14ac:dyDescent="0.25">
      <c r="A887" s="30">
        <v>849</v>
      </c>
      <c r="B887" s="30">
        <f t="shared" ca="1" si="16"/>
        <v>4</v>
      </c>
    </row>
    <row r="888" spans="1:2" x14ac:dyDescent="0.25">
      <c r="A888" s="30">
        <v>850</v>
      </c>
      <c r="B888" s="30">
        <f t="shared" ca="1" si="16"/>
        <v>3</v>
      </c>
    </row>
    <row r="889" spans="1:2" x14ac:dyDescent="0.25">
      <c r="A889" s="30">
        <v>851</v>
      </c>
      <c r="B889" s="30">
        <f t="shared" ca="1" si="16"/>
        <v>4</v>
      </c>
    </row>
    <row r="890" spans="1:2" x14ac:dyDescent="0.25">
      <c r="A890" s="30">
        <v>852</v>
      </c>
      <c r="B890" s="30">
        <f t="shared" ca="1" si="16"/>
        <v>5</v>
      </c>
    </row>
    <row r="891" spans="1:2" x14ac:dyDescent="0.25">
      <c r="A891" s="30">
        <v>853</v>
      </c>
      <c r="B891" s="30">
        <f t="shared" ca="1" si="16"/>
        <v>4</v>
      </c>
    </row>
    <row r="892" spans="1:2" x14ac:dyDescent="0.25">
      <c r="A892" s="30">
        <v>854</v>
      </c>
      <c r="B892" s="30">
        <f t="shared" ca="1" si="16"/>
        <v>5</v>
      </c>
    </row>
    <row r="893" spans="1:2" x14ac:dyDescent="0.25">
      <c r="A893" s="30">
        <v>855</v>
      </c>
      <c r="B893" s="30">
        <f t="shared" ca="1" si="16"/>
        <v>6</v>
      </c>
    </row>
    <row r="894" spans="1:2" x14ac:dyDescent="0.25">
      <c r="A894" s="30">
        <v>856</v>
      </c>
      <c r="B894" s="30">
        <f t="shared" ca="1" si="16"/>
        <v>8</v>
      </c>
    </row>
    <row r="895" spans="1:2" x14ac:dyDescent="0.25">
      <c r="A895" s="30">
        <v>857</v>
      </c>
      <c r="B895" s="30">
        <f t="shared" ca="1" si="16"/>
        <v>6</v>
      </c>
    </row>
    <row r="896" spans="1:2" x14ac:dyDescent="0.25">
      <c r="A896" s="30">
        <v>858</v>
      </c>
      <c r="B896" s="30">
        <f t="shared" ca="1" si="16"/>
        <v>7</v>
      </c>
    </row>
    <row r="897" spans="1:2" x14ac:dyDescent="0.25">
      <c r="A897" s="30">
        <v>859</v>
      </c>
      <c r="B897" s="30">
        <f t="shared" ca="1" si="16"/>
        <v>6</v>
      </c>
    </row>
    <row r="898" spans="1:2" x14ac:dyDescent="0.25">
      <c r="A898" s="30">
        <v>860</v>
      </c>
      <c r="B898" s="30">
        <f t="shared" ca="1" si="16"/>
        <v>5</v>
      </c>
    </row>
    <row r="899" spans="1:2" x14ac:dyDescent="0.25">
      <c r="A899" s="30">
        <v>861</v>
      </c>
      <c r="B899" s="30">
        <f t="shared" ca="1" si="16"/>
        <v>4</v>
      </c>
    </row>
    <row r="900" spans="1:2" x14ac:dyDescent="0.25">
      <c r="A900" s="30">
        <v>862</v>
      </c>
      <c r="B900" s="30">
        <f t="shared" ca="1" si="16"/>
        <v>3</v>
      </c>
    </row>
    <row r="901" spans="1:2" x14ac:dyDescent="0.25">
      <c r="A901" s="30">
        <v>863</v>
      </c>
      <c r="B901" s="30">
        <f t="shared" ca="1" si="16"/>
        <v>4</v>
      </c>
    </row>
    <row r="902" spans="1:2" x14ac:dyDescent="0.25">
      <c r="A902" s="30">
        <v>864</v>
      </c>
      <c r="B902" s="30">
        <f t="shared" ca="1" si="16"/>
        <v>4</v>
      </c>
    </row>
    <row r="903" spans="1:2" x14ac:dyDescent="0.25">
      <c r="A903" s="30">
        <v>865</v>
      </c>
      <c r="B903" s="30">
        <f t="shared" ca="1" si="16"/>
        <v>5</v>
      </c>
    </row>
    <row r="904" spans="1:2" x14ac:dyDescent="0.25">
      <c r="A904" s="30">
        <v>866</v>
      </c>
      <c r="B904" s="30">
        <f t="shared" ca="1" si="16"/>
        <v>4</v>
      </c>
    </row>
    <row r="905" spans="1:2" x14ac:dyDescent="0.25">
      <c r="A905" s="30">
        <v>867</v>
      </c>
      <c r="B905" s="30">
        <f t="shared" ca="1" si="16"/>
        <v>9</v>
      </c>
    </row>
    <row r="906" spans="1:2" x14ac:dyDescent="0.25">
      <c r="A906" s="30">
        <v>868</v>
      </c>
      <c r="B906" s="30">
        <f t="shared" ca="1" si="16"/>
        <v>9</v>
      </c>
    </row>
    <row r="907" spans="1:2" x14ac:dyDescent="0.25">
      <c r="A907" s="30">
        <v>869</v>
      </c>
      <c r="B907" s="30">
        <f t="shared" ca="1" si="16"/>
        <v>7</v>
      </c>
    </row>
    <row r="908" spans="1:2" x14ac:dyDescent="0.25">
      <c r="A908" s="30">
        <v>870</v>
      </c>
      <c r="B908" s="30">
        <f t="shared" ca="1" si="16"/>
        <v>2</v>
      </c>
    </row>
    <row r="909" spans="1:2" x14ac:dyDescent="0.25">
      <c r="A909" s="30">
        <v>871</v>
      </c>
      <c r="B909" s="30">
        <f t="shared" ca="1" si="16"/>
        <v>9</v>
      </c>
    </row>
    <row r="910" spans="1:2" x14ac:dyDescent="0.25">
      <c r="A910" s="30">
        <v>872</v>
      </c>
      <c r="B910" s="30">
        <f t="shared" ca="1" si="16"/>
        <v>4</v>
      </c>
    </row>
    <row r="911" spans="1:2" x14ac:dyDescent="0.25">
      <c r="A911" s="30">
        <v>873</v>
      </c>
      <c r="B911" s="30">
        <f t="shared" ca="1" si="16"/>
        <v>5</v>
      </c>
    </row>
    <row r="912" spans="1:2" x14ac:dyDescent="0.25">
      <c r="A912" s="30">
        <v>874</v>
      </c>
      <c r="B912" s="30">
        <f t="shared" ca="1" si="16"/>
        <v>4</v>
      </c>
    </row>
    <row r="913" spans="1:2" x14ac:dyDescent="0.25">
      <c r="A913" s="30">
        <v>875</v>
      </c>
      <c r="B913" s="30">
        <f t="shared" ca="1" si="16"/>
        <v>6</v>
      </c>
    </row>
    <row r="914" spans="1:2" x14ac:dyDescent="0.25">
      <c r="A914" s="30">
        <v>876</v>
      </c>
      <c r="B914" s="30">
        <f t="shared" ca="1" si="16"/>
        <v>5</v>
      </c>
    </row>
    <row r="915" spans="1:2" x14ac:dyDescent="0.25">
      <c r="A915" s="30">
        <v>877</v>
      </c>
      <c r="B915" s="30">
        <f t="shared" ca="1" si="16"/>
        <v>4</v>
      </c>
    </row>
    <row r="916" spans="1:2" x14ac:dyDescent="0.25">
      <c r="A916" s="30">
        <v>878</v>
      </c>
      <c r="B916" s="30">
        <f t="shared" ca="1" si="16"/>
        <v>6</v>
      </c>
    </row>
    <row r="917" spans="1:2" x14ac:dyDescent="0.25">
      <c r="A917" s="30">
        <v>879</v>
      </c>
      <c r="B917" s="30">
        <f t="shared" ca="1" si="16"/>
        <v>4</v>
      </c>
    </row>
    <row r="918" spans="1:2" x14ac:dyDescent="0.25">
      <c r="A918" s="30">
        <v>880</v>
      </c>
      <c r="B918" s="30">
        <f t="shared" ca="1" si="16"/>
        <v>6</v>
      </c>
    </row>
    <row r="919" spans="1:2" x14ac:dyDescent="0.25">
      <c r="A919" s="30">
        <v>881</v>
      </c>
      <c r="B919" s="30">
        <f t="shared" ca="1" si="16"/>
        <v>7</v>
      </c>
    </row>
    <row r="920" spans="1:2" x14ac:dyDescent="0.25">
      <c r="A920" s="30">
        <v>882</v>
      </c>
      <c r="B920" s="30">
        <f t="shared" ca="1" si="16"/>
        <v>0</v>
      </c>
    </row>
    <row r="921" spans="1:2" x14ac:dyDescent="0.25">
      <c r="A921" s="30">
        <v>883</v>
      </c>
      <c r="B921" s="30">
        <f t="shared" ca="1" si="16"/>
        <v>7</v>
      </c>
    </row>
    <row r="922" spans="1:2" x14ac:dyDescent="0.25">
      <c r="A922" s="30">
        <v>884</v>
      </c>
      <c r="B922" s="30">
        <f t="shared" ca="1" si="16"/>
        <v>2</v>
      </c>
    </row>
    <row r="923" spans="1:2" x14ac:dyDescent="0.25">
      <c r="A923" s="30">
        <v>885</v>
      </c>
      <c r="B923" s="30">
        <f t="shared" ca="1" si="16"/>
        <v>5</v>
      </c>
    </row>
    <row r="924" spans="1:2" x14ac:dyDescent="0.25">
      <c r="A924" s="30">
        <v>886</v>
      </c>
      <c r="B924" s="30">
        <f t="shared" ca="1" si="16"/>
        <v>5</v>
      </c>
    </row>
    <row r="925" spans="1:2" x14ac:dyDescent="0.25">
      <c r="A925" s="30">
        <v>887</v>
      </c>
      <c r="B925" s="30">
        <f t="shared" ca="1" si="16"/>
        <v>8</v>
      </c>
    </row>
    <row r="926" spans="1:2" x14ac:dyDescent="0.25">
      <c r="A926" s="30">
        <v>888</v>
      </c>
      <c r="B926" s="30">
        <f t="shared" ca="1" si="16"/>
        <v>3</v>
      </c>
    </row>
    <row r="927" spans="1:2" x14ac:dyDescent="0.25">
      <c r="A927" s="30">
        <v>889</v>
      </c>
      <c r="B927" s="30">
        <f t="shared" ca="1" si="16"/>
        <v>2</v>
      </c>
    </row>
    <row r="928" spans="1:2" x14ac:dyDescent="0.25">
      <c r="A928" s="30">
        <v>890</v>
      </c>
      <c r="B928" s="30">
        <f t="shared" ca="1" si="16"/>
        <v>5</v>
      </c>
    </row>
    <row r="929" spans="1:2" x14ac:dyDescent="0.25">
      <c r="A929" s="30">
        <v>891</v>
      </c>
      <c r="B929" s="30">
        <f t="shared" ca="1" si="16"/>
        <v>4</v>
      </c>
    </row>
    <row r="930" spans="1:2" x14ac:dyDescent="0.25">
      <c r="A930" s="30">
        <v>892</v>
      </c>
      <c r="B930" s="30">
        <f t="shared" ca="1" si="16"/>
        <v>5</v>
      </c>
    </row>
    <row r="931" spans="1:2" x14ac:dyDescent="0.25">
      <c r="A931" s="30">
        <v>893</v>
      </c>
      <c r="B931" s="30">
        <f t="shared" ca="1" si="16"/>
        <v>4</v>
      </c>
    </row>
    <row r="932" spans="1:2" x14ac:dyDescent="0.25">
      <c r="A932" s="30">
        <v>894</v>
      </c>
      <c r="B932" s="30">
        <f t="shared" ca="1" si="16"/>
        <v>8</v>
      </c>
    </row>
    <row r="933" spans="1:2" x14ac:dyDescent="0.25">
      <c r="A933" s="30">
        <v>895</v>
      </c>
      <c r="B933" s="30">
        <f t="shared" ca="1" si="16"/>
        <v>8</v>
      </c>
    </row>
    <row r="934" spans="1:2" x14ac:dyDescent="0.25">
      <c r="A934" s="30">
        <v>896</v>
      </c>
      <c r="B934" s="30">
        <f t="shared" ca="1" si="16"/>
        <v>6</v>
      </c>
    </row>
    <row r="935" spans="1:2" x14ac:dyDescent="0.25">
      <c r="A935" s="30">
        <v>897</v>
      </c>
      <c r="B935" s="30">
        <f t="shared" ca="1" si="16"/>
        <v>6</v>
      </c>
    </row>
    <row r="936" spans="1:2" x14ac:dyDescent="0.25">
      <c r="A936" s="30">
        <v>898</v>
      </c>
      <c r="B936" s="30">
        <f t="shared" ref="B936:B999" ca="1" si="17">+_xlfn.BINOM.INV($B$4,$B$5,RAND())</f>
        <v>7</v>
      </c>
    </row>
    <row r="937" spans="1:2" x14ac:dyDescent="0.25">
      <c r="A937" s="30">
        <v>899</v>
      </c>
      <c r="B937" s="30">
        <f t="shared" ca="1" si="17"/>
        <v>4</v>
      </c>
    </row>
    <row r="938" spans="1:2" x14ac:dyDescent="0.25">
      <c r="A938" s="30">
        <v>900</v>
      </c>
      <c r="B938" s="30">
        <f t="shared" ca="1" si="17"/>
        <v>7</v>
      </c>
    </row>
    <row r="939" spans="1:2" x14ac:dyDescent="0.25">
      <c r="A939" s="30">
        <v>901</v>
      </c>
      <c r="B939" s="30">
        <f t="shared" ca="1" si="17"/>
        <v>2</v>
      </c>
    </row>
    <row r="940" spans="1:2" x14ac:dyDescent="0.25">
      <c r="A940" s="30">
        <v>902</v>
      </c>
      <c r="B940" s="30">
        <f t="shared" ca="1" si="17"/>
        <v>4</v>
      </c>
    </row>
    <row r="941" spans="1:2" x14ac:dyDescent="0.25">
      <c r="A941" s="30">
        <v>903</v>
      </c>
      <c r="B941" s="30">
        <f t="shared" ca="1" si="17"/>
        <v>6</v>
      </c>
    </row>
    <row r="942" spans="1:2" x14ac:dyDescent="0.25">
      <c r="A942" s="30">
        <v>904</v>
      </c>
      <c r="B942" s="30">
        <f t="shared" ca="1" si="17"/>
        <v>6</v>
      </c>
    </row>
    <row r="943" spans="1:2" x14ac:dyDescent="0.25">
      <c r="A943" s="30">
        <v>905</v>
      </c>
      <c r="B943" s="30">
        <f t="shared" ca="1" si="17"/>
        <v>4</v>
      </c>
    </row>
    <row r="944" spans="1:2" x14ac:dyDescent="0.25">
      <c r="A944" s="30">
        <v>906</v>
      </c>
      <c r="B944" s="30">
        <f t="shared" ca="1" si="17"/>
        <v>6</v>
      </c>
    </row>
    <row r="945" spans="1:2" x14ac:dyDescent="0.25">
      <c r="A945" s="30">
        <v>907</v>
      </c>
      <c r="B945" s="30">
        <f t="shared" ca="1" si="17"/>
        <v>11</v>
      </c>
    </row>
    <row r="946" spans="1:2" x14ac:dyDescent="0.25">
      <c r="A946" s="30">
        <v>908</v>
      </c>
      <c r="B946" s="30">
        <f t="shared" ca="1" si="17"/>
        <v>1</v>
      </c>
    </row>
    <row r="947" spans="1:2" x14ac:dyDescent="0.25">
      <c r="A947" s="30">
        <v>909</v>
      </c>
      <c r="B947" s="30">
        <f t="shared" ca="1" si="17"/>
        <v>6</v>
      </c>
    </row>
    <row r="948" spans="1:2" x14ac:dyDescent="0.25">
      <c r="A948" s="30">
        <v>910</v>
      </c>
      <c r="B948" s="30">
        <f t="shared" ca="1" si="17"/>
        <v>7</v>
      </c>
    </row>
    <row r="949" spans="1:2" x14ac:dyDescent="0.25">
      <c r="A949" s="30">
        <v>911</v>
      </c>
      <c r="B949" s="30">
        <f t="shared" ca="1" si="17"/>
        <v>7</v>
      </c>
    </row>
    <row r="950" spans="1:2" x14ac:dyDescent="0.25">
      <c r="A950" s="30">
        <v>912</v>
      </c>
      <c r="B950" s="30">
        <f t="shared" ca="1" si="17"/>
        <v>4</v>
      </c>
    </row>
    <row r="951" spans="1:2" x14ac:dyDescent="0.25">
      <c r="A951" s="30">
        <v>913</v>
      </c>
      <c r="B951" s="30">
        <f t="shared" ca="1" si="17"/>
        <v>6</v>
      </c>
    </row>
    <row r="952" spans="1:2" x14ac:dyDescent="0.25">
      <c r="A952" s="30">
        <v>914</v>
      </c>
      <c r="B952" s="30">
        <f t="shared" ca="1" si="17"/>
        <v>4</v>
      </c>
    </row>
    <row r="953" spans="1:2" x14ac:dyDescent="0.25">
      <c r="A953" s="30">
        <v>915</v>
      </c>
      <c r="B953" s="30">
        <f t="shared" ca="1" si="17"/>
        <v>3</v>
      </c>
    </row>
    <row r="954" spans="1:2" x14ac:dyDescent="0.25">
      <c r="A954" s="30">
        <v>916</v>
      </c>
      <c r="B954" s="30">
        <f t="shared" ca="1" si="17"/>
        <v>8</v>
      </c>
    </row>
    <row r="955" spans="1:2" x14ac:dyDescent="0.25">
      <c r="A955" s="30">
        <v>917</v>
      </c>
      <c r="B955" s="30">
        <f t="shared" ca="1" si="17"/>
        <v>7</v>
      </c>
    </row>
    <row r="956" spans="1:2" x14ac:dyDescent="0.25">
      <c r="A956" s="30">
        <v>918</v>
      </c>
      <c r="B956" s="30">
        <f t="shared" ca="1" si="17"/>
        <v>5</v>
      </c>
    </row>
    <row r="957" spans="1:2" x14ac:dyDescent="0.25">
      <c r="A957" s="30">
        <v>919</v>
      </c>
      <c r="B957" s="30">
        <f t="shared" ca="1" si="17"/>
        <v>5</v>
      </c>
    </row>
    <row r="958" spans="1:2" x14ac:dyDescent="0.25">
      <c r="A958" s="30">
        <v>920</v>
      </c>
      <c r="B958" s="30">
        <f t="shared" ca="1" si="17"/>
        <v>4</v>
      </c>
    </row>
    <row r="959" spans="1:2" x14ac:dyDescent="0.25">
      <c r="A959" s="30">
        <v>921</v>
      </c>
      <c r="B959" s="30">
        <f t="shared" ca="1" si="17"/>
        <v>3</v>
      </c>
    </row>
    <row r="960" spans="1:2" x14ac:dyDescent="0.25">
      <c r="A960" s="30">
        <v>922</v>
      </c>
      <c r="B960" s="30">
        <f t="shared" ca="1" si="17"/>
        <v>7</v>
      </c>
    </row>
    <row r="961" spans="1:2" x14ac:dyDescent="0.25">
      <c r="A961" s="30">
        <v>923</v>
      </c>
      <c r="B961" s="30">
        <f t="shared" ca="1" si="17"/>
        <v>5</v>
      </c>
    </row>
    <row r="962" spans="1:2" x14ac:dyDescent="0.25">
      <c r="A962" s="30">
        <v>924</v>
      </c>
      <c r="B962" s="30">
        <f t="shared" ca="1" si="17"/>
        <v>7</v>
      </c>
    </row>
    <row r="963" spans="1:2" x14ac:dyDescent="0.25">
      <c r="A963" s="30">
        <v>925</v>
      </c>
      <c r="B963" s="30">
        <f t="shared" ca="1" si="17"/>
        <v>1</v>
      </c>
    </row>
    <row r="964" spans="1:2" x14ac:dyDescent="0.25">
      <c r="A964" s="30">
        <v>926</v>
      </c>
      <c r="B964" s="30">
        <f t="shared" ca="1" si="17"/>
        <v>4</v>
      </c>
    </row>
    <row r="965" spans="1:2" x14ac:dyDescent="0.25">
      <c r="A965" s="30">
        <v>927</v>
      </c>
      <c r="B965" s="30">
        <f t="shared" ca="1" si="17"/>
        <v>4</v>
      </c>
    </row>
    <row r="966" spans="1:2" x14ac:dyDescent="0.25">
      <c r="A966" s="30">
        <v>928</v>
      </c>
      <c r="B966" s="30">
        <f t="shared" ca="1" si="17"/>
        <v>4</v>
      </c>
    </row>
    <row r="967" spans="1:2" x14ac:dyDescent="0.25">
      <c r="A967" s="30">
        <v>929</v>
      </c>
      <c r="B967" s="30">
        <f t="shared" ca="1" si="17"/>
        <v>9</v>
      </c>
    </row>
    <row r="968" spans="1:2" x14ac:dyDescent="0.25">
      <c r="A968" s="30">
        <v>930</v>
      </c>
      <c r="B968" s="30">
        <f t="shared" ca="1" si="17"/>
        <v>6</v>
      </c>
    </row>
    <row r="969" spans="1:2" x14ac:dyDescent="0.25">
      <c r="A969" s="30">
        <v>931</v>
      </c>
      <c r="B969" s="30">
        <f t="shared" ca="1" si="17"/>
        <v>4</v>
      </c>
    </row>
    <row r="970" spans="1:2" x14ac:dyDescent="0.25">
      <c r="A970" s="30">
        <v>932</v>
      </c>
      <c r="B970" s="30">
        <f t="shared" ca="1" si="17"/>
        <v>5</v>
      </c>
    </row>
    <row r="971" spans="1:2" x14ac:dyDescent="0.25">
      <c r="A971" s="30">
        <v>933</v>
      </c>
      <c r="B971" s="30">
        <f t="shared" ca="1" si="17"/>
        <v>6</v>
      </c>
    </row>
    <row r="972" spans="1:2" x14ac:dyDescent="0.25">
      <c r="A972" s="30">
        <v>934</v>
      </c>
      <c r="B972" s="30">
        <f t="shared" ca="1" si="17"/>
        <v>3</v>
      </c>
    </row>
    <row r="973" spans="1:2" x14ac:dyDescent="0.25">
      <c r="A973" s="30">
        <v>935</v>
      </c>
      <c r="B973" s="30">
        <f t="shared" ca="1" si="17"/>
        <v>3</v>
      </c>
    </row>
    <row r="974" spans="1:2" x14ac:dyDescent="0.25">
      <c r="A974" s="30">
        <v>936</v>
      </c>
      <c r="B974" s="30">
        <f t="shared" ca="1" si="17"/>
        <v>6</v>
      </c>
    </row>
    <row r="975" spans="1:2" x14ac:dyDescent="0.25">
      <c r="A975" s="30">
        <v>937</v>
      </c>
      <c r="B975" s="30">
        <f t="shared" ca="1" si="17"/>
        <v>4</v>
      </c>
    </row>
    <row r="976" spans="1:2" x14ac:dyDescent="0.25">
      <c r="A976" s="30">
        <v>938</v>
      </c>
      <c r="B976" s="30">
        <f t="shared" ca="1" si="17"/>
        <v>2</v>
      </c>
    </row>
    <row r="977" spans="1:2" x14ac:dyDescent="0.25">
      <c r="A977" s="30">
        <v>939</v>
      </c>
      <c r="B977" s="30">
        <f t="shared" ca="1" si="17"/>
        <v>2</v>
      </c>
    </row>
    <row r="978" spans="1:2" x14ac:dyDescent="0.25">
      <c r="A978" s="30">
        <v>940</v>
      </c>
      <c r="B978" s="30">
        <f t="shared" ca="1" si="17"/>
        <v>7</v>
      </c>
    </row>
    <row r="979" spans="1:2" x14ac:dyDescent="0.25">
      <c r="A979" s="30">
        <v>941</v>
      </c>
      <c r="B979" s="30">
        <f t="shared" ca="1" si="17"/>
        <v>3</v>
      </c>
    </row>
    <row r="980" spans="1:2" x14ac:dyDescent="0.25">
      <c r="A980" s="30">
        <v>942</v>
      </c>
      <c r="B980" s="30">
        <f t="shared" ca="1" si="17"/>
        <v>6</v>
      </c>
    </row>
    <row r="981" spans="1:2" x14ac:dyDescent="0.25">
      <c r="A981" s="30">
        <v>943</v>
      </c>
      <c r="B981" s="30">
        <f t="shared" ca="1" si="17"/>
        <v>9</v>
      </c>
    </row>
    <row r="982" spans="1:2" x14ac:dyDescent="0.25">
      <c r="A982" s="30">
        <v>944</v>
      </c>
      <c r="B982" s="30">
        <f t="shared" ca="1" si="17"/>
        <v>7</v>
      </c>
    </row>
    <row r="983" spans="1:2" x14ac:dyDescent="0.25">
      <c r="A983" s="30">
        <v>945</v>
      </c>
      <c r="B983" s="30">
        <f t="shared" ca="1" si="17"/>
        <v>4</v>
      </c>
    </row>
    <row r="984" spans="1:2" x14ac:dyDescent="0.25">
      <c r="A984" s="30">
        <v>946</v>
      </c>
      <c r="B984" s="30">
        <f t="shared" ca="1" si="17"/>
        <v>3</v>
      </c>
    </row>
    <row r="985" spans="1:2" x14ac:dyDescent="0.25">
      <c r="A985" s="30">
        <v>947</v>
      </c>
      <c r="B985" s="30">
        <f t="shared" ca="1" si="17"/>
        <v>5</v>
      </c>
    </row>
    <row r="986" spans="1:2" x14ac:dyDescent="0.25">
      <c r="A986" s="30">
        <v>948</v>
      </c>
      <c r="B986" s="30">
        <f t="shared" ca="1" si="17"/>
        <v>7</v>
      </c>
    </row>
    <row r="987" spans="1:2" x14ac:dyDescent="0.25">
      <c r="A987" s="30">
        <v>949</v>
      </c>
      <c r="B987" s="30">
        <f t="shared" ca="1" si="17"/>
        <v>7</v>
      </c>
    </row>
    <row r="988" spans="1:2" x14ac:dyDescent="0.25">
      <c r="A988" s="30">
        <v>950</v>
      </c>
      <c r="B988" s="30">
        <f t="shared" ca="1" si="17"/>
        <v>6</v>
      </c>
    </row>
    <row r="989" spans="1:2" x14ac:dyDescent="0.25">
      <c r="A989" s="30">
        <v>951</v>
      </c>
      <c r="B989" s="30">
        <f t="shared" ca="1" si="17"/>
        <v>6</v>
      </c>
    </row>
    <row r="990" spans="1:2" x14ac:dyDescent="0.25">
      <c r="A990" s="30">
        <v>952</v>
      </c>
      <c r="B990" s="30">
        <f t="shared" ca="1" si="17"/>
        <v>0</v>
      </c>
    </row>
    <row r="991" spans="1:2" x14ac:dyDescent="0.25">
      <c r="A991" s="30">
        <v>953</v>
      </c>
      <c r="B991" s="30">
        <f t="shared" ca="1" si="17"/>
        <v>6</v>
      </c>
    </row>
    <row r="992" spans="1:2" x14ac:dyDescent="0.25">
      <c r="A992" s="30">
        <v>954</v>
      </c>
      <c r="B992" s="30">
        <f t="shared" ca="1" si="17"/>
        <v>9</v>
      </c>
    </row>
    <row r="993" spans="1:2" x14ac:dyDescent="0.25">
      <c r="A993" s="30">
        <v>955</v>
      </c>
      <c r="B993" s="30">
        <f t="shared" ca="1" si="17"/>
        <v>8</v>
      </c>
    </row>
    <row r="994" spans="1:2" x14ac:dyDescent="0.25">
      <c r="A994" s="30">
        <v>956</v>
      </c>
      <c r="B994" s="30">
        <f t="shared" ca="1" si="17"/>
        <v>2</v>
      </c>
    </row>
    <row r="995" spans="1:2" x14ac:dyDescent="0.25">
      <c r="A995" s="30">
        <v>957</v>
      </c>
      <c r="B995" s="30">
        <f t="shared" ca="1" si="17"/>
        <v>7</v>
      </c>
    </row>
    <row r="996" spans="1:2" x14ac:dyDescent="0.25">
      <c r="A996" s="30">
        <v>958</v>
      </c>
      <c r="B996" s="30">
        <f t="shared" ca="1" si="17"/>
        <v>6</v>
      </c>
    </row>
    <row r="997" spans="1:2" x14ac:dyDescent="0.25">
      <c r="A997" s="30">
        <v>959</v>
      </c>
      <c r="B997" s="30">
        <f t="shared" ca="1" si="17"/>
        <v>7</v>
      </c>
    </row>
    <row r="998" spans="1:2" x14ac:dyDescent="0.25">
      <c r="A998" s="30">
        <v>960</v>
      </c>
      <c r="B998" s="30">
        <f t="shared" ca="1" si="17"/>
        <v>5</v>
      </c>
    </row>
    <row r="999" spans="1:2" x14ac:dyDescent="0.25">
      <c r="A999" s="30">
        <v>961</v>
      </c>
      <c r="B999" s="30">
        <f t="shared" ca="1" si="17"/>
        <v>5</v>
      </c>
    </row>
    <row r="1000" spans="1:2" x14ac:dyDescent="0.25">
      <c r="A1000" s="30">
        <v>962</v>
      </c>
      <c r="B1000" s="30">
        <f t="shared" ref="B1000:B1038" ca="1" si="18">+_xlfn.BINOM.INV($B$4,$B$5,RAND())</f>
        <v>3</v>
      </c>
    </row>
    <row r="1001" spans="1:2" x14ac:dyDescent="0.25">
      <c r="A1001" s="30">
        <v>963</v>
      </c>
      <c r="B1001" s="30">
        <f t="shared" ca="1" si="18"/>
        <v>5</v>
      </c>
    </row>
    <row r="1002" spans="1:2" x14ac:dyDescent="0.25">
      <c r="A1002" s="30">
        <v>964</v>
      </c>
      <c r="B1002" s="30">
        <f t="shared" ca="1" si="18"/>
        <v>3</v>
      </c>
    </row>
    <row r="1003" spans="1:2" x14ac:dyDescent="0.25">
      <c r="A1003" s="30">
        <v>965</v>
      </c>
      <c r="B1003" s="30">
        <f t="shared" ca="1" si="18"/>
        <v>6</v>
      </c>
    </row>
    <row r="1004" spans="1:2" x14ac:dyDescent="0.25">
      <c r="A1004" s="30">
        <v>966</v>
      </c>
      <c r="B1004" s="30">
        <f t="shared" ca="1" si="18"/>
        <v>6</v>
      </c>
    </row>
    <row r="1005" spans="1:2" x14ac:dyDescent="0.25">
      <c r="A1005" s="30">
        <v>967</v>
      </c>
      <c r="B1005" s="30">
        <f t="shared" ca="1" si="18"/>
        <v>5</v>
      </c>
    </row>
    <row r="1006" spans="1:2" x14ac:dyDescent="0.25">
      <c r="A1006" s="30">
        <v>968</v>
      </c>
      <c r="B1006" s="30">
        <f t="shared" ca="1" si="18"/>
        <v>7</v>
      </c>
    </row>
    <row r="1007" spans="1:2" x14ac:dyDescent="0.25">
      <c r="A1007" s="30">
        <v>969</v>
      </c>
      <c r="B1007" s="30">
        <f t="shared" ca="1" si="18"/>
        <v>4</v>
      </c>
    </row>
    <row r="1008" spans="1:2" x14ac:dyDescent="0.25">
      <c r="A1008" s="30">
        <v>970</v>
      </c>
      <c r="B1008" s="30">
        <f t="shared" ca="1" si="18"/>
        <v>3</v>
      </c>
    </row>
    <row r="1009" spans="1:2" x14ac:dyDescent="0.25">
      <c r="A1009" s="30">
        <v>971</v>
      </c>
      <c r="B1009" s="30">
        <f t="shared" ca="1" si="18"/>
        <v>3</v>
      </c>
    </row>
    <row r="1010" spans="1:2" x14ac:dyDescent="0.25">
      <c r="A1010" s="30">
        <v>972</v>
      </c>
      <c r="B1010" s="30">
        <f t="shared" ca="1" si="18"/>
        <v>7</v>
      </c>
    </row>
    <row r="1011" spans="1:2" x14ac:dyDescent="0.25">
      <c r="A1011" s="30">
        <v>973</v>
      </c>
      <c r="B1011" s="30">
        <f t="shared" ca="1" si="18"/>
        <v>1</v>
      </c>
    </row>
    <row r="1012" spans="1:2" x14ac:dyDescent="0.25">
      <c r="A1012" s="30">
        <v>974</v>
      </c>
      <c r="B1012" s="30">
        <f t="shared" ca="1" si="18"/>
        <v>4</v>
      </c>
    </row>
    <row r="1013" spans="1:2" x14ac:dyDescent="0.25">
      <c r="A1013" s="30">
        <v>975</v>
      </c>
      <c r="B1013" s="30">
        <f t="shared" ca="1" si="18"/>
        <v>3</v>
      </c>
    </row>
    <row r="1014" spans="1:2" x14ac:dyDescent="0.25">
      <c r="A1014" s="30">
        <v>976</v>
      </c>
      <c r="B1014" s="30">
        <f t="shared" ca="1" si="18"/>
        <v>6</v>
      </c>
    </row>
    <row r="1015" spans="1:2" x14ac:dyDescent="0.25">
      <c r="A1015" s="30">
        <v>977</v>
      </c>
      <c r="B1015" s="30">
        <f t="shared" ca="1" si="18"/>
        <v>6</v>
      </c>
    </row>
    <row r="1016" spans="1:2" x14ac:dyDescent="0.25">
      <c r="A1016" s="30">
        <v>978</v>
      </c>
      <c r="B1016" s="30">
        <f t="shared" ca="1" si="18"/>
        <v>6</v>
      </c>
    </row>
    <row r="1017" spans="1:2" x14ac:dyDescent="0.25">
      <c r="A1017" s="30">
        <v>979</v>
      </c>
      <c r="B1017" s="30">
        <f t="shared" ca="1" si="18"/>
        <v>7</v>
      </c>
    </row>
    <row r="1018" spans="1:2" x14ac:dyDescent="0.25">
      <c r="A1018" s="30">
        <v>980</v>
      </c>
      <c r="B1018" s="30">
        <f t="shared" ca="1" si="18"/>
        <v>8</v>
      </c>
    </row>
    <row r="1019" spans="1:2" x14ac:dyDescent="0.25">
      <c r="A1019" s="30">
        <v>981</v>
      </c>
      <c r="B1019" s="30">
        <f t="shared" ca="1" si="18"/>
        <v>5</v>
      </c>
    </row>
    <row r="1020" spans="1:2" x14ac:dyDescent="0.25">
      <c r="A1020" s="30">
        <v>982</v>
      </c>
      <c r="B1020" s="30">
        <f t="shared" ca="1" si="18"/>
        <v>2</v>
      </c>
    </row>
    <row r="1021" spans="1:2" x14ac:dyDescent="0.25">
      <c r="A1021" s="30">
        <v>983</v>
      </c>
      <c r="B1021" s="30">
        <f t="shared" ca="1" si="18"/>
        <v>1</v>
      </c>
    </row>
    <row r="1022" spans="1:2" x14ac:dyDescent="0.25">
      <c r="A1022" s="30">
        <v>984</v>
      </c>
      <c r="B1022" s="30">
        <f t="shared" ca="1" si="18"/>
        <v>4</v>
      </c>
    </row>
    <row r="1023" spans="1:2" x14ac:dyDescent="0.25">
      <c r="A1023" s="30">
        <v>985</v>
      </c>
      <c r="B1023" s="30">
        <f t="shared" ca="1" si="18"/>
        <v>2</v>
      </c>
    </row>
    <row r="1024" spans="1:2" x14ac:dyDescent="0.25">
      <c r="A1024" s="30">
        <v>986</v>
      </c>
      <c r="B1024" s="30">
        <f t="shared" ca="1" si="18"/>
        <v>7</v>
      </c>
    </row>
    <row r="1025" spans="1:2" x14ac:dyDescent="0.25">
      <c r="A1025" s="30">
        <v>987</v>
      </c>
      <c r="B1025" s="30">
        <f t="shared" ca="1" si="18"/>
        <v>5</v>
      </c>
    </row>
    <row r="1026" spans="1:2" x14ac:dyDescent="0.25">
      <c r="A1026" s="30">
        <v>988</v>
      </c>
      <c r="B1026" s="30">
        <f t="shared" ca="1" si="18"/>
        <v>7</v>
      </c>
    </row>
    <row r="1027" spans="1:2" x14ac:dyDescent="0.25">
      <c r="A1027" s="30">
        <v>989</v>
      </c>
      <c r="B1027" s="30">
        <f t="shared" ca="1" si="18"/>
        <v>6</v>
      </c>
    </row>
    <row r="1028" spans="1:2" x14ac:dyDescent="0.25">
      <c r="A1028" s="30">
        <v>990</v>
      </c>
      <c r="B1028" s="30">
        <f t="shared" ca="1" si="18"/>
        <v>6</v>
      </c>
    </row>
    <row r="1029" spans="1:2" x14ac:dyDescent="0.25">
      <c r="A1029" s="30">
        <v>991</v>
      </c>
      <c r="B1029" s="30">
        <f t="shared" ca="1" si="18"/>
        <v>9</v>
      </c>
    </row>
    <row r="1030" spans="1:2" x14ac:dyDescent="0.25">
      <c r="A1030" s="30">
        <v>992</v>
      </c>
      <c r="B1030" s="30">
        <f t="shared" ca="1" si="18"/>
        <v>8</v>
      </c>
    </row>
    <row r="1031" spans="1:2" x14ac:dyDescent="0.25">
      <c r="A1031" s="30">
        <v>993</v>
      </c>
      <c r="B1031" s="30">
        <f t="shared" ca="1" si="18"/>
        <v>5</v>
      </c>
    </row>
    <row r="1032" spans="1:2" x14ac:dyDescent="0.25">
      <c r="A1032" s="30">
        <v>994</v>
      </c>
      <c r="B1032" s="30">
        <f t="shared" ca="1" si="18"/>
        <v>8</v>
      </c>
    </row>
    <row r="1033" spans="1:2" x14ac:dyDescent="0.25">
      <c r="A1033" s="30">
        <v>995</v>
      </c>
      <c r="B1033" s="30">
        <f t="shared" ca="1" si="18"/>
        <v>2</v>
      </c>
    </row>
    <row r="1034" spans="1:2" x14ac:dyDescent="0.25">
      <c r="A1034" s="30">
        <v>996</v>
      </c>
      <c r="B1034" s="30">
        <f t="shared" ca="1" si="18"/>
        <v>2</v>
      </c>
    </row>
    <row r="1035" spans="1:2" x14ac:dyDescent="0.25">
      <c r="A1035" s="30">
        <v>997</v>
      </c>
      <c r="B1035" s="30">
        <f t="shared" ca="1" si="18"/>
        <v>4</v>
      </c>
    </row>
    <row r="1036" spans="1:2" x14ac:dyDescent="0.25">
      <c r="A1036" s="30">
        <v>998</v>
      </c>
      <c r="B1036" s="30">
        <f t="shared" ca="1" si="18"/>
        <v>7</v>
      </c>
    </row>
    <row r="1037" spans="1:2" x14ac:dyDescent="0.25">
      <c r="A1037" s="30">
        <v>999</v>
      </c>
      <c r="B1037" s="30">
        <f t="shared" ca="1" si="18"/>
        <v>4</v>
      </c>
    </row>
    <row r="1038" spans="1:2" x14ac:dyDescent="0.25">
      <c r="A1038" s="30">
        <v>1000</v>
      </c>
      <c r="B1038" s="30">
        <f t="shared" ca="1" si="18"/>
        <v>3</v>
      </c>
    </row>
  </sheetData>
  <mergeCells count="2">
    <mergeCell ref="A1:C1"/>
    <mergeCell ref="A2:B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232E-D664-41C6-B9BE-B8CB6636007B}">
  <dimension ref="A1:D6"/>
  <sheetViews>
    <sheetView zoomScale="175" zoomScaleNormal="175" workbookViewId="0">
      <selection activeCell="D3" sqref="D3:D6"/>
    </sheetView>
  </sheetViews>
  <sheetFormatPr baseColWidth="10" defaultRowHeight="14.25" x14ac:dyDescent="0.2"/>
  <cols>
    <col min="1" max="1" width="11.5703125" style="1" bestFit="1" customWidth="1"/>
    <col min="2" max="2" width="11.85546875" style="1" bestFit="1" customWidth="1"/>
    <col min="3" max="3" width="15.140625" style="1" customWidth="1"/>
    <col min="4" max="4" width="22" style="1" customWidth="1"/>
    <col min="5" max="16384" width="11.42578125" style="1"/>
  </cols>
  <sheetData>
    <row r="1" spans="1:4" ht="28.5" x14ac:dyDescent="0.2">
      <c r="A1" s="32" t="s">
        <v>48</v>
      </c>
      <c r="B1" s="32" t="s">
        <v>49</v>
      </c>
      <c r="C1" s="32" t="s">
        <v>50</v>
      </c>
      <c r="D1" s="32" t="s">
        <v>51</v>
      </c>
    </row>
    <row r="2" spans="1:4" x14ac:dyDescent="0.2">
      <c r="A2" s="20">
        <v>1</v>
      </c>
      <c r="B2" s="31">
        <v>20000</v>
      </c>
      <c r="C2" s="17">
        <v>0.2</v>
      </c>
      <c r="D2" s="17">
        <f>+C2</f>
        <v>0.2</v>
      </c>
    </row>
    <row r="3" spans="1:4" x14ac:dyDescent="0.2">
      <c r="A3" s="20">
        <v>2</v>
      </c>
      <c r="B3" s="31">
        <v>35000</v>
      </c>
      <c r="C3" s="17">
        <v>0.3</v>
      </c>
      <c r="D3" s="17">
        <f>+D2+C3</f>
        <v>0.5</v>
      </c>
    </row>
    <row r="4" spans="1:4" x14ac:dyDescent="0.2">
      <c r="A4" s="20">
        <v>3</v>
      </c>
      <c r="B4" s="31">
        <v>50000</v>
      </c>
      <c r="C4" s="17">
        <v>0.25</v>
      </c>
      <c r="D4" s="17">
        <f t="shared" ref="D4:D6" si="0">+D3+C4</f>
        <v>0.75</v>
      </c>
    </row>
    <row r="5" spans="1:4" x14ac:dyDescent="0.2">
      <c r="A5" s="20">
        <v>4</v>
      </c>
      <c r="B5" s="31">
        <v>65000</v>
      </c>
      <c r="C5" s="17">
        <v>0.15</v>
      </c>
      <c r="D5" s="17">
        <f t="shared" si="0"/>
        <v>0.9</v>
      </c>
    </row>
    <row r="6" spans="1:4" x14ac:dyDescent="0.2">
      <c r="A6" s="20">
        <v>5</v>
      </c>
      <c r="B6" s="31">
        <v>80000</v>
      </c>
      <c r="C6" s="17">
        <v>0.1</v>
      </c>
      <c r="D6" s="17">
        <f t="shared" si="0"/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1926-42A8-47B1-BE45-D5EF57C6071C}">
  <dimension ref="A1:D5"/>
  <sheetViews>
    <sheetView zoomScale="130" zoomScaleNormal="130" workbookViewId="0"/>
  </sheetViews>
  <sheetFormatPr baseColWidth="10" defaultRowHeight="15" x14ac:dyDescent="0.25"/>
  <cols>
    <col min="3" max="3" width="18.28515625" customWidth="1"/>
    <col min="4" max="4" width="19.5703125" customWidth="1"/>
  </cols>
  <sheetData>
    <row r="1" spans="1:4" ht="42.75" x14ac:dyDescent="0.25">
      <c r="A1" s="32" t="s">
        <v>48</v>
      </c>
      <c r="B1" s="32" t="s">
        <v>52</v>
      </c>
      <c r="C1" s="32" t="s">
        <v>50</v>
      </c>
      <c r="D1" s="32" t="s">
        <v>51</v>
      </c>
    </row>
    <row r="2" spans="1:4" x14ac:dyDescent="0.25">
      <c r="A2" s="20">
        <v>1</v>
      </c>
      <c r="B2" s="33">
        <v>4000</v>
      </c>
      <c r="C2" s="17">
        <v>0.25</v>
      </c>
      <c r="D2" s="17">
        <f>+C2</f>
        <v>0.25</v>
      </c>
    </row>
    <row r="3" spans="1:4" x14ac:dyDescent="0.25">
      <c r="A3" s="20">
        <v>2</v>
      </c>
      <c r="B3" s="33">
        <v>5000</v>
      </c>
      <c r="C3" s="17">
        <v>0.25</v>
      </c>
      <c r="D3" s="17">
        <f>+D2+C3</f>
        <v>0.5</v>
      </c>
    </row>
    <row r="4" spans="1:4" x14ac:dyDescent="0.25">
      <c r="A4" s="20">
        <v>3</v>
      </c>
      <c r="B4" s="33">
        <v>6000</v>
      </c>
      <c r="C4" s="17">
        <v>0.25</v>
      </c>
      <c r="D4" s="17">
        <f t="shared" ref="D4:D5" si="0">+D3+C4</f>
        <v>0.75</v>
      </c>
    </row>
    <row r="5" spans="1:4" x14ac:dyDescent="0.25">
      <c r="A5" s="20">
        <v>4</v>
      </c>
      <c r="B5" s="33">
        <v>7000</v>
      </c>
      <c r="C5" s="17">
        <v>0.25</v>
      </c>
      <c r="D5" s="17">
        <f t="shared" si="0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Normal</vt:lpstr>
      <vt:lpstr>Normal (2)</vt:lpstr>
      <vt:lpstr>Triangular</vt:lpstr>
      <vt:lpstr>Uniforme continua</vt:lpstr>
      <vt:lpstr>Lognormal</vt:lpstr>
      <vt:lpstr>Números aleatorios</vt:lpstr>
      <vt:lpstr>Bernoulli</vt:lpstr>
      <vt:lpstr>Binomial</vt:lpstr>
      <vt:lpstr>Discreta</vt:lpstr>
      <vt:lpstr>Uniforme discreta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2021-10-10T23:09:22Z</dcterms:created>
  <dcterms:modified xsi:type="dcterms:W3CDTF">2021-10-14T21:27:30Z</dcterms:modified>
</cp:coreProperties>
</file>