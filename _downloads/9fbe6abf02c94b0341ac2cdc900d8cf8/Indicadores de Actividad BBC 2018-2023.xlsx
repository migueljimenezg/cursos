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ropbox\UNAL\ADMINISTRACIÓN FINANCIERA\Excel\"/>
    </mc:Choice>
  </mc:AlternateContent>
  <xr:revisionPtr revIDLastSave="0" documentId="13_ncr:1_{AA59A900-B9D2-4E58-A29C-21347BFF2AB4}" xr6:coauthVersionLast="47" xr6:coauthVersionMax="47" xr10:uidLastSave="{00000000-0000-0000-0000-000000000000}"/>
  <bookViews>
    <workbookView xWindow="-120" yWindow="-120" windowWidth="29040" windowHeight="15840" xr2:uid="{F6B87143-0053-4B51-AA02-56DCFE8D58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1" l="1"/>
  <c r="D67" i="1"/>
  <c r="E67" i="1"/>
  <c r="F67" i="1"/>
  <c r="G67" i="1"/>
  <c r="B67" i="1"/>
  <c r="C65" i="1"/>
  <c r="D65" i="1"/>
  <c r="E65" i="1"/>
  <c r="F65" i="1"/>
  <c r="G65" i="1"/>
  <c r="B65" i="1"/>
  <c r="C62" i="1"/>
  <c r="C64" i="1" s="1"/>
  <c r="D62" i="1"/>
  <c r="E62" i="1"/>
  <c r="F62" i="1"/>
  <c r="G62" i="1"/>
  <c r="C63" i="1"/>
  <c r="D63" i="1"/>
  <c r="E63" i="1"/>
  <c r="F63" i="1"/>
  <c r="F64" i="1" s="1"/>
  <c r="G63" i="1"/>
  <c r="B63" i="1"/>
  <c r="B62" i="1"/>
  <c r="G64" i="1"/>
  <c r="B59" i="1"/>
  <c r="J30" i="1"/>
  <c r="K31" i="1" s="1"/>
  <c r="K32" i="1" s="1"/>
  <c r="K24" i="1"/>
  <c r="O23" i="1"/>
  <c r="L21" i="1"/>
  <c r="M21" i="1"/>
  <c r="N21" i="1"/>
  <c r="O21" i="1"/>
  <c r="L22" i="1"/>
  <c r="L23" i="1" s="1"/>
  <c r="M22" i="1"/>
  <c r="M23" i="1" s="1"/>
  <c r="N22" i="1"/>
  <c r="N23" i="1" s="1"/>
  <c r="O22" i="1"/>
  <c r="K22" i="1"/>
  <c r="K23" i="1" s="1"/>
  <c r="K25" i="1" s="1"/>
  <c r="K26" i="1" s="1"/>
  <c r="K21" i="1"/>
  <c r="L17" i="1"/>
  <c r="L18" i="1" s="1"/>
  <c r="L19" i="1" s="1"/>
  <c r="M17" i="1"/>
  <c r="M18" i="1" s="1"/>
  <c r="M19" i="1" s="1"/>
  <c r="N17" i="1"/>
  <c r="N18" i="1" s="1"/>
  <c r="N19" i="1" s="1"/>
  <c r="O17" i="1"/>
  <c r="O18" i="1" s="1"/>
  <c r="O19" i="1" s="1"/>
  <c r="L14" i="1"/>
  <c r="L15" i="1" s="1"/>
  <c r="M14" i="1"/>
  <c r="M15" i="1" s="1"/>
  <c r="N14" i="1"/>
  <c r="N15" i="1" s="1"/>
  <c r="K17" i="1"/>
  <c r="K18" i="1" s="1"/>
  <c r="K19" i="1" s="1"/>
  <c r="L13" i="1"/>
  <c r="M13" i="1"/>
  <c r="N13" i="1"/>
  <c r="O13" i="1"/>
  <c r="O14" i="1" s="1"/>
  <c r="O15" i="1" s="1"/>
  <c r="K13" i="1"/>
  <c r="K14" i="1" s="1"/>
  <c r="K15" i="1" s="1"/>
  <c r="O30" i="1"/>
  <c r="N30" i="1"/>
  <c r="O31" i="1" s="1"/>
  <c r="O32" i="1" s="1"/>
  <c r="M30" i="1"/>
  <c r="L30" i="1"/>
  <c r="M31" i="1" s="1"/>
  <c r="M32" i="1" s="1"/>
  <c r="K30" i="1"/>
  <c r="L31" i="1" s="1"/>
  <c r="L32" i="1" s="1"/>
  <c r="O24" i="1"/>
  <c r="N24" i="1"/>
  <c r="M24" i="1"/>
  <c r="L24" i="1"/>
  <c r="O9" i="1"/>
  <c r="N9" i="1"/>
  <c r="O10" i="1" s="1"/>
  <c r="O11" i="1" s="1"/>
  <c r="M9" i="1"/>
  <c r="N10" i="1" s="1"/>
  <c r="N11" i="1" s="1"/>
  <c r="L9" i="1"/>
  <c r="K9" i="1"/>
  <c r="J9" i="1"/>
  <c r="K10" i="1" l="1"/>
  <c r="K11" i="1" s="1"/>
  <c r="M10" i="1"/>
  <c r="M11" i="1" s="1"/>
  <c r="E64" i="1"/>
  <c r="D64" i="1"/>
  <c r="O25" i="1"/>
  <c r="O26" i="1" s="1"/>
  <c r="B64" i="1"/>
  <c r="N25" i="1"/>
  <c r="N26" i="1" s="1"/>
  <c r="N28" i="1" s="1"/>
  <c r="M25" i="1"/>
  <c r="M26" i="1" s="1"/>
  <c r="M28" i="1" s="1"/>
  <c r="L25" i="1"/>
  <c r="L26" i="1" s="1"/>
  <c r="L28" i="1" s="1"/>
  <c r="O28" i="1"/>
  <c r="K28" i="1"/>
  <c r="N31" i="1"/>
  <c r="N32" i="1" s="1"/>
  <c r="L10" i="1"/>
  <c r="L11" i="1" s="1"/>
  <c r="C33" i="1" l="1"/>
  <c r="D33" i="1"/>
  <c r="E33" i="1"/>
  <c r="F33" i="1"/>
  <c r="G33" i="1"/>
  <c r="B33" i="1"/>
  <c r="C27" i="1"/>
  <c r="D27" i="1"/>
  <c r="E27" i="1"/>
  <c r="F27" i="1"/>
  <c r="G27" i="1"/>
  <c r="B27" i="1"/>
  <c r="C23" i="1"/>
  <c r="C28" i="1" s="1"/>
  <c r="D23" i="1"/>
  <c r="E23" i="1"/>
  <c r="F23" i="1"/>
  <c r="G23" i="1"/>
  <c r="B23" i="1"/>
  <c r="C16" i="1"/>
  <c r="D16" i="1"/>
  <c r="E16" i="1"/>
  <c r="F16" i="1"/>
  <c r="G16" i="1"/>
  <c r="B16" i="1"/>
  <c r="C10" i="1"/>
  <c r="C17" i="1" s="1"/>
  <c r="D10" i="1"/>
  <c r="E10" i="1"/>
  <c r="F10" i="1"/>
  <c r="G10" i="1"/>
  <c r="B10" i="1"/>
  <c r="F40" i="1"/>
  <c r="E40" i="1"/>
  <c r="D40" i="1"/>
  <c r="C40" i="1"/>
  <c r="B40" i="1"/>
  <c r="G40" i="1"/>
  <c r="L6" i="1" l="1"/>
  <c r="L7" i="1" s="1"/>
  <c r="D46" i="1"/>
  <c r="D57" i="1"/>
  <c r="E46" i="1"/>
  <c r="E54" i="1" s="1"/>
  <c r="E59" i="1" s="1"/>
  <c r="E57" i="1"/>
  <c r="B28" i="1"/>
  <c r="G28" i="1"/>
  <c r="F46" i="1"/>
  <c r="F57" i="1"/>
  <c r="F28" i="1"/>
  <c r="G46" i="1"/>
  <c r="G57" i="1"/>
  <c r="B46" i="1"/>
  <c r="B57" i="1"/>
  <c r="C46" i="1"/>
  <c r="C57" i="1"/>
  <c r="G17" i="1"/>
  <c r="F17" i="1"/>
  <c r="O6" i="1" s="1"/>
  <c r="O7" i="1" s="1"/>
  <c r="E17" i="1"/>
  <c r="N6" i="1" s="1"/>
  <c r="N7" i="1" s="1"/>
  <c r="E28" i="1"/>
  <c r="B17" i="1"/>
  <c r="K6" i="1" s="1"/>
  <c r="K7" i="1" s="1"/>
  <c r="D17" i="1"/>
  <c r="M6" i="1" s="1"/>
  <c r="M7" i="1" s="1"/>
  <c r="D28" i="1"/>
  <c r="F54" i="1"/>
  <c r="F59" i="1" s="1"/>
  <c r="G54" i="1"/>
  <c r="G59" i="1" s="1"/>
  <c r="D49" i="1" l="1"/>
  <c r="D51" i="1" s="1"/>
  <c r="D60" i="1" s="1"/>
  <c r="D58" i="1"/>
  <c r="D54" i="1"/>
  <c r="D59" i="1" s="1"/>
  <c r="B49" i="1"/>
  <c r="B51" i="1" s="1"/>
  <c r="B60" i="1" s="1"/>
  <c r="B58" i="1"/>
  <c r="G49" i="1"/>
  <c r="G51" i="1" s="1"/>
  <c r="G60" i="1" s="1"/>
  <c r="G58" i="1"/>
  <c r="E49" i="1"/>
  <c r="E51" i="1" s="1"/>
  <c r="E60" i="1" s="1"/>
  <c r="E58" i="1"/>
  <c r="C49" i="1"/>
  <c r="C51" i="1" s="1"/>
  <c r="C60" i="1" s="1"/>
  <c r="C58" i="1"/>
  <c r="C54" i="1"/>
  <c r="C59" i="1" s="1"/>
  <c r="F49" i="1"/>
  <c r="F51" i="1" s="1"/>
  <c r="F60" i="1" s="1"/>
  <c r="F58" i="1"/>
</calcChain>
</file>

<file path=xl/sharedStrings.xml><?xml version="1.0" encoding="utf-8"?>
<sst xmlns="http://schemas.openxmlformats.org/spreadsheetml/2006/main" count="87" uniqueCount="80">
  <si>
    <t>CERVECERIA BBC DE LA SABANA SAS</t>
  </si>
  <si>
    <t>Cifras en miles de pesos</t>
  </si>
  <si>
    <t>Efectivo y equivalentes al efectivo</t>
  </si>
  <si>
    <t>Cuentas comerciales por cobrar</t>
  </si>
  <si>
    <t>Inventarios corrientes</t>
  </si>
  <si>
    <t>Activos por impuestos corrientes</t>
  </si>
  <si>
    <t>Otros activos no financieros corrientes</t>
  </si>
  <si>
    <t>Activos corrientes totales</t>
  </si>
  <si>
    <t>Propiedades, planta y equipo</t>
  </si>
  <si>
    <t>Activos intangibles distintos de la plusvalía</t>
  </si>
  <si>
    <t>Activos por impuestos diferidos</t>
  </si>
  <si>
    <t>Otros activos financieros no corrientes</t>
  </si>
  <si>
    <t>Otros activos no financieros no corrientes</t>
  </si>
  <si>
    <t>Total de activos no corrientes</t>
  </si>
  <si>
    <t>Total de activos</t>
  </si>
  <si>
    <t>Otras provisiones corrientes</t>
  </si>
  <si>
    <t>Cuentas por pagar comerciales</t>
  </si>
  <si>
    <t>Pasivos por impuestos corrientes</t>
  </si>
  <si>
    <t>Otros pasivos financieros corrientes</t>
  </si>
  <si>
    <t>Otros pasivos no financieros corrientes</t>
  </si>
  <si>
    <t>Pasivos corrientes totales</t>
  </si>
  <si>
    <t>Cuentas comerciales por pagar no corrientes</t>
  </si>
  <si>
    <t>Pasivo por impuestos diferidos</t>
  </si>
  <si>
    <t>Otros pasivos financieros no corrientes</t>
  </si>
  <si>
    <t xml:space="preserve">Total de pasivos no corrientes </t>
  </si>
  <si>
    <t xml:space="preserve">Total pasivos </t>
  </si>
  <si>
    <t>Capital emitido</t>
  </si>
  <si>
    <t xml:space="preserve">Prima de emisión </t>
  </si>
  <si>
    <t>Otras reservas</t>
  </si>
  <si>
    <t>Ganancias acumuladas</t>
  </si>
  <si>
    <t>Patrimonio total</t>
  </si>
  <si>
    <t>Total de patrimonio y pasivos</t>
  </si>
  <si>
    <t>Ingresos de actividades ordinarias</t>
  </si>
  <si>
    <t>Costo de ventas</t>
  </si>
  <si>
    <t>Otros ingresos</t>
  </si>
  <si>
    <t>Gastos de ventas</t>
  </si>
  <si>
    <t>Gastos de administración</t>
  </si>
  <si>
    <t>Otros gastos</t>
  </si>
  <si>
    <t>Otras ganancias</t>
  </si>
  <si>
    <t>Ingresos financieros</t>
  </si>
  <si>
    <t>Costos financieros</t>
  </si>
  <si>
    <t>Ingreso (gasto) por impuestos</t>
  </si>
  <si>
    <t>Utilidad bruta</t>
  </si>
  <si>
    <t>Utilidad operacional</t>
  </si>
  <si>
    <t>Utilidad antes de impuestos</t>
  </si>
  <si>
    <t>Utilida neta</t>
  </si>
  <si>
    <t>Depreciaciones y amortizaciones</t>
  </si>
  <si>
    <t>EBITDA</t>
  </si>
  <si>
    <t>Prom. Activos</t>
  </si>
  <si>
    <t>Rotación Activos</t>
  </si>
  <si>
    <t>veces</t>
  </si>
  <si>
    <t>Activos Fijos (AF) = CAPEX</t>
  </si>
  <si>
    <t>Prom. AF</t>
  </si>
  <si>
    <t>Rotación AF</t>
  </si>
  <si>
    <t>Prom. Inventarios</t>
  </si>
  <si>
    <t>Rotación Inventarios</t>
  </si>
  <si>
    <t>Días de Inventario</t>
  </si>
  <si>
    <t>días</t>
  </si>
  <si>
    <t>Prom. CxC</t>
  </si>
  <si>
    <t>Rotación CxC</t>
  </si>
  <si>
    <t>Días de CxC</t>
  </si>
  <si>
    <t>Inventario Inicial</t>
  </si>
  <si>
    <t>Inventario Final</t>
  </si>
  <si>
    <t>Compras</t>
  </si>
  <si>
    <t>Prom. CxP</t>
  </si>
  <si>
    <t>Rotación CxP</t>
  </si>
  <si>
    <t>Días de CxP</t>
  </si>
  <si>
    <t>Ciclo de efectivo</t>
  </si>
  <si>
    <t>KTNO</t>
  </si>
  <si>
    <t>Prom. KTNO</t>
  </si>
  <si>
    <t>Rotación KTNO</t>
  </si>
  <si>
    <t>Margen Bruto</t>
  </si>
  <si>
    <t>Margen Operacional</t>
  </si>
  <si>
    <t>Margen EBITDA</t>
  </si>
  <si>
    <t>Margen Neto</t>
  </si>
  <si>
    <t>Deudas corto plazo</t>
  </si>
  <si>
    <t>Deudas largo plazo</t>
  </si>
  <si>
    <t>Total deudas financieras</t>
  </si>
  <si>
    <t>Intereses</t>
  </si>
  <si>
    <t>CAPEX (Activo Fijo=PPE+Intangibles)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</si>
</sst>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164" formatCode="_(* #,##0.00_);_(* \(#,##0.00\);_(* &quot;-&quot;??_);_(@_)"/>
    <numFmt numFmtId="165" formatCode="_(* #,##0_);_(* \(#,##0\);_(* &quot;-&quot;??_);_(@_)"/>
    <numFmt numFmtId="166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indexed="8"/>
      <name val="Arial"/>
      <family val="2"/>
    </font>
    <font>
      <sz val="12"/>
      <name val="Franklin Gothic Book"/>
      <family val="2"/>
    </font>
    <font>
      <b/>
      <sz val="12"/>
      <name val="Franklin Gothic Book"/>
      <family val="2"/>
    </font>
    <font>
      <sz val="12"/>
      <color theme="1"/>
      <name val="Aptos Narrow"/>
      <family val="2"/>
      <scheme val="minor"/>
    </font>
    <font>
      <sz val="12"/>
      <color theme="9" tint="-0.499984740745262"/>
      <name val="Franklin Gothic Book"/>
      <family val="2"/>
    </font>
    <font>
      <b/>
      <sz val="12"/>
      <color theme="1"/>
      <name val="Franklin Gothic Book"/>
      <family val="2"/>
    </font>
    <font>
      <b/>
      <sz val="12"/>
      <color rgb="FF14085C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5">
    <xf numFmtId="0" fontId="0" fillId="0" borderId="0" xfId="0"/>
    <xf numFmtId="165" fontId="3" fillId="0" borderId="0" xfId="2" applyNumberFormat="1" applyFont="1" applyBorder="1" applyAlignment="1">
      <alignment vertical="center"/>
    </xf>
    <xf numFmtId="165" fontId="4" fillId="0" borderId="0" xfId="2" applyNumberFormat="1" applyFont="1" applyBorder="1" applyAlignment="1">
      <alignment vertical="center"/>
    </xf>
    <xf numFmtId="1" fontId="4" fillId="0" borderId="1" xfId="2" applyNumberFormat="1" applyFont="1" applyBorder="1" applyAlignment="1">
      <alignment horizontal="center" vertical="center"/>
    </xf>
    <xf numFmtId="0" fontId="5" fillId="0" borderId="0" xfId="0" applyFont="1"/>
    <xf numFmtId="6" fontId="6" fillId="2" borderId="1" xfId="0" applyNumberFormat="1" applyFont="1" applyFill="1" applyBorder="1" applyAlignment="1">
      <alignment horizontal="center" vertical="center"/>
    </xf>
    <xf numFmtId="6" fontId="7" fillId="0" borderId="2" xfId="0" applyNumberFormat="1" applyFont="1" applyBorder="1" applyAlignment="1">
      <alignment horizontal="center" vertical="center"/>
    </xf>
    <xf numFmtId="6" fontId="5" fillId="0" borderId="0" xfId="0" applyNumberFormat="1" applyFont="1"/>
    <xf numFmtId="49" fontId="4" fillId="0" borderId="1" xfId="2" applyNumberFormat="1" applyFont="1" applyBorder="1" applyAlignment="1">
      <alignment horizontal="center" vertical="center"/>
    </xf>
    <xf numFmtId="165" fontId="8" fillId="0" borderId="0" xfId="2" applyNumberFormat="1" applyFont="1" applyBorder="1" applyAlignment="1">
      <alignment vertical="center"/>
    </xf>
    <xf numFmtId="166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5" fontId="3" fillId="0" borderId="0" xfId="2" applyNumberFormat="1" applyFont="1" applyFill="1" applyBorder="1" applyAlignment="1">
      <alignment vertical="center"/>
    </xf>
    <xf numFmtId="9" fontId="6" fillId="2" borderId="1" xfId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vertical="center"/>
    </xf>
  </cellXfs>
  <cellStyles count="3">
    <cellStyle name="Comma 28" xfId="2" xr:uid="{F16D8D3C-D9CA-47D8-96C4-8D9738188106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513431</xdr:colOff>
      <xdr:row>3</xdr:row>
      <xdr:rowOff>117231</xdr:rowOff>
    </xdr:from>
    <xdr:to>
      <xdr:col>19</xdr:col>
      <xdr:colOff>735447</xdr:colOff>
      <xdr:row>4</xdr:row>
      <xdr:rowOff>196594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7533173-A0C3-474F-AC08-6F6712A92FE1}"/>
                </a:ext>
              </a:extLst>
            </xdr:cNvPr>
            <xdr:cNvSpPr txBox="1"/>
          </xdr:nvSpPr>
          <xdr:spPr>
            <a:xfrm>
              <a:off x="17555854" y="740019"/>
              <a:ext cx="3270016" cy="2918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7533173-A0C3-474F-AC08-6F6712A92FE1}"/>
                </a:ext>
              </a:extLst>
            </xdr:cNvPr>
            <xdr:cNvSpPr txBox="1"/>
          </xdr:nvSpPr>
          <xdr:spPr>
            <a:xfrm>
              <a:off x="17555854" y="740019"/>
              <a:ext cx="3270016" cy="2918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de Activos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Activos Totales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622286</xdr:colOff>
      <xdr:row>7</xdr:row>
      <xdr:rowOff>94738</xdr:rowOff>
    </xdr:from>
    <xdr:to>
      <xdr:col>19</xdr:col>
      <xdr:colOff>572953</xdr:colOff>
      <xdr:row>8</xdr:row>
      <xdr:rowOff>201144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8">
              <a:extLst>
                <a:ext uri="{FF2B5EF4-FFF2-40B4-BE49-F238E27FC236}">
                  <a16:creationId xmlns:a16="http://schemas.microsoft.com/office/drawing/2014/main" id="{867B6AF6-14BB-4E38-8B28-8EB8F073B68C}"/>
                </a:ext>
              </a:extLst>
            </xdr:cNvPr>
            <xdr:cNvSpPr txBox="1"/>
          </xdr:nvSpPr>
          <xdr:spPr>
            <a:xfrm>
              <a:off x="17664709" y="1567450"/>
              <a:ext cx="2998667" cy="31888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Fijos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Fijos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3" name="CuadroTexto 8">
              <a:extLst>
                <a:ext uri="{FF2B5EF4-FFF2-40B4-BE49-F238E27FC236}">
                  <a16:creationId xmlns:a16="http://schemas.microsoft.com/office/drawing/2014/main" id="{867B6AF6-14BB-4E38-8B28-8EB8F073B68C}"/>
                </a:ext>
              </a:extLst>
            </xdr:cNvPr>
            <xdr:cNvSpPr txBox="1"/>
          </xdr:nvSpPr>
          <xdr:spPr>
            <a:xfrm>
              <a:off x="17664709" y="1567450"/>
              <a:ext cx="2998667" cy="31888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Activos Fijos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Activos Fijos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560465</xdr:colOff>
      <xdr:row>11</xdr:row>
      <xdr:rowOff>184998</xdr:rowOff>
    </xdr:from>
    <xdr:to>
      <xdr:col>19</xdr:col>
      <xdr:colOff>612915</xdr:colOff>
      <xdr:row>13</xdr:row>
      <xdr:rowOff>56112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14">
              <a:extLst>
                <a:ext uri="{FF2B5EF4-FFF2-40B4-BE49-F238E27FC236}">
                  <a16:creationId xmlns:a16="http://schemas.microsoft.com/office/drawing/2014/main" id="{33BA718C-E36B-45D1-849C-C81572A3DC56}"/>
                </a:ext>
              </a:extLst>
            </xdr:cNvPr>
            <xdr:cNvSpPr txBox="1"/>
          </xdr:nvSpPr>
          <xdr:spPr>
            <a:xfrm>
              <a:off x="17602888" y="2507633"/>
              <a:ext cx="3100450" cy="29607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Costos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Inventarios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4" name="CuadroTexto 14">
              <a:extLst>
                <a:ext uri="{FF2B5EF4-FFF2-40B4-BE49-F238E27FC236}">
                  <a16:creationId xmlns:a16="http://schemas.microsoft.com/office/drawing/2014/main" id="{33BA718C-E36B-45D1-849C-C81572A3DC56}"/>
                </a:ext>
              </a:extLst>
            </xdr:cNvPr>
            <xdr:cNvSpPr txBox="1"/>
          </xdr:nvSpPr>
          <xdr:spPr>
            <a:xfrm>
              <a:off x="17602888" y="2507633"/>
              <a:ext cx="3100450" cy="29607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de Inventarios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"Costos de 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Inventarios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759839</xdr:colOff>
      <xdr:row>13</xdr:row>
      <xdr:rowOff>148167</xdr:rowOff>
    </xdr:from>
    <xdr:to>
      <xdr:col>19</xdr:col>
      <xdr:colOff>333365</xdr:colOff>
      <xdr:row>15</xdr:row>
      <xdr:rowOff>22469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12">
              <a:extLst>
                <a:ext uri="{FF2B5EF4-FFF2-40B4-BE49-F238E27FC236}">
                  <a16:creationId xmlns:a16="http://schemas.microsoft.com/office/drawing/2014/main" id="{06E99BB6-3CEB-4D47-A6E5-B8C5B8C8A5BF}"/>
                </a:ext>
              </a:extLst>
            </xdr:cNvPr>
            <xdr:cNvSpPr txBox="1"/>
          </xdr:nvSpPr>
          <xdr:spPr>
            <a:xfrm>
              <a:off x="17802262" y="2895763"/>
              <a:ext cx="2621526" cy="29926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Inventarios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5" name="CuadroTexto 12">
              <a:extLst>
                <a:ext uri="{FF2B5EF4-FFF2-40B4-BE49-F238E27FC236}">
                  <a16:creationId xmlns:a16="http://schemas.microsoft.com/office/drawing/2014/main" id="{06E99BB6-3CEB-4D47-A6E5-B8C5B8C8A5BF}"/>
                </a:ext>
              </a:extLst>
            </xdr:cNvPr>
            <xdr:cNvSpPr txBox="1"/>
          </xdr:nvSpPr>
          <xdr:spPr>
            <a:xfrm>
              <a:off x="17802262" y="2895763"/>
              <a:ext cx="2621526" cy="29926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Inventario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Inventarios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587087</xdr:colOff>
      <xdr:row>15</xdr:row>
      <xdr:rowOff>173070</xdr:rowOff>
    </xdr:from>
    <xdr:to>
      <xdr:col>20</xdr:col>
      <xdr:colOff>582424</xdr:colOff>
      <xdr:row>17</xdr:row>
      <xdr:rowOff>164961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15">
              <a:extLst>
                <a:ext uri="{FF2B5EF4-FFF2-40B4-BE49-F238E27FC236}">
                  <a16:creationId xmlns:a16="http://schemas.microsoft.com/office/drawing/2014/main" id="{19D20058-7D4F-4762-B26F-C66A9CB313D1}"/>
                </a:ext>
              </a:extLst>
            </xdr:cNvPr>
            <xdr:cNvSpPr txBox="1"/>
          </xdr:nvSpPr>
          <xdr:spPr>
            <a:xfrm>
              <a:off x="17629510" y="3345628"/>
              <a:ext cx="3805337" cy="41685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Cobrar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6" name="CuadroTexto 15">
              <a:extLst>
                <a:ext uri="{FF2B5EF4-FFF2-40B4-BE49-F238E27FC236}">
                  <a16:creationId xmlns:a16="http://schemas.microsoft.com/office/drawing/2014/main" id="{19D20058-7D4F-4762-B26F-C66A9CB313D1}"/>
                </a:ext>
              </a:extLst>
            </xdr:cNvPr>
            <xdr:cNvSpPr txBox="1"/>
          </xdr:nvSpPr>
          <xdr:spPr>
            <a:xfrm>
              <a:off x="17629510" y="3345628"/>
              <a:ext cx="3805337" cy="41685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Cuentas por Cobrar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Cuentas por Cobrar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638557</xdr:colOff>
      <xdr:row>17</xdr:row>
      <xdr:rowOff>155671</xdr:rowOff>
    </xdr:from>
    <xdr:to>
      <xdr:col>20</xdr:col>
      <xdr:colOff>552790</xdr:colOff>
      <xdr:row>19</xdr:row>
      <xdr:rowOff>53826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13">
              <a:extLst>
                <a:ext uri="{FF2B5EF4-FFF2-40B4-BE49-F238E27FC236}">
                  <a16:creationId xmlns:a16="http://schemas.microsoft.com/office/drawing/2014/main" id="{749F60E7-4EF8-4623-9CE0-D7874FC64B86}"/>
                </a:ext>
              </a:extLst>
            </xdr:cNvPr>
            <xdr:cNvSpPr txBox="1"/>
          </xdr:nvSpPr>
          <xdr:spPr>
            <a:xfrm>
              <a:off x="17680980" y="3753190"/>
              <a:ext cx="3724233" cy="32311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Cobrar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7" name="CuadroTexto 13">
              <a:extLst>
                <a:ext uri="{FF2B5EF4-FFF2-40B4-BE49-F238E27FC236}">
                  <a16:creationId xmlns:a16="http://schemas.microsoft.com/office/drawing/2014/main" id="{749F60E7-4EF8-4623-9CE0-D7874FC64B86}"/>
                </a:ext>
              </a:extLst>
            </xdr:cNvPr>
            <xdr:cNvSpPr txBox="1"/>
          </xdr:nvSpPr>
          <xdr:spPr>
            <a:xfrm>
              <a:off x="17680980" y="3753190"/>
              <a:ext cx="3724233" cy="32311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Cuentas por Cobrar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Cuentas por Cobrar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556914</xdr:colOff>
      <xdr:row>21</xdr:row>
      <xdr:rowOff>135962</xdr:rowOff>
    </xdr:from>
    <xdr:to>
      <xdr:col>20</xdr:col>
      <xdr:colOff>546012</xdr:colOff>
      <xdr:row>23</xdr:row>
      <xdr:rowOff>35872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2">
              <a:extLst>
                <a:ext uri="{FF2B5EF4-FFF2-40B4-BE49-F238E27FC236}">
                  <a16:creationId xmlns:a16="http://schemas.microsoft.com/office/drawing/2014/main" id="{59F581BC-E2C2-4960-93E3-C4F5014D4890}"/>
                </a:ext>
              </a:extLst>
            </xdr:cNvPr>
            <xdr:cNvSpPr txBox="1"/>
          </xdr:nvSpPr>
          <xdr:spPr>
            <a:xfrm>
              <a:off x="17599337" y="4583404"/>
              <a:ext cx="3799098" cy="32487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Pagar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Compras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Pagar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" name="CuadroTexto 2">
              <a:extLst>
                <a:ext uri="{FF2B5EF4-FFF2-40B4-BE49-F238E27FC236}">
                  <a16:creationId xmlns:a16="http://schemas.microsoft.com/office/drawing/2014/main" id="{59F581BC-E2C2-4960-93E3-C4F5014D4890}"/>
                </a:ext>
              </a:extLst>
            </xdr:cNvPr>
            <xdr:cNvSpPr txBox="1"/>
          </xdr:nvSpPr>
          <xdr:spPr>
            <a:xfrm>
              <a:off x="17599337" y="4583404"/>
              <a:ext cx="3799098" cy="32487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Cuentas por Pagar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"Compras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Cuentas por Pagar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603061</xdr:colOff>
      <xdr:row>20</xdr:row>
      <xdr:rowOff>72394</xdr:rowOff>
    </xdr:from>
    <xdr:to>
      <xdr:col>21</xdr:col>
      <xdr:colOff>52082</xdr:colOff>
      <xdr:row>21</xdr:row>
      <xdr:rowOff>14203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11">
              <a:extLst>
                <a:ext uri="{FF2B5EF4-FFF2-40B4-BE49-F238E27FC236}">
                  <a16:creationId xmlns:a16="http://schemas.microsoft.com/office/drawing/2014/main" id="{45C291D8-2785-4BEE-974B-2A4A4E99ABD2}"/>
                </a:ext>
              </a:extLst>
            </xdr:cNvPr>
            <xdr:cNvSpPr txBox="1"/>
          </xdr:nvSpPr>
          <xdr:spPr>
            <a:xfrm>
              <a:off x="17645484" y="4307356"/>
              <a:ext cx="4021021" cy="1542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Compras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Costo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Ventas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+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Final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–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Inicial</m:t>
                    </m:r>
                  </m:oMath>
                </m:oMathPara>
              </a14:m>
              <a:endParaRPr lang="es-CO" sz="10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" name="CuadroTexto 11">
              <a:extLst>
                <a:ext uri="{FF2B5EF4-FFF2-40B4-BE49-F238E27FC236}">
                  <a16:creationId xmlns:a16="http://schemas.microsoft.com/office/drawing/2014/main" id="{45C291D8-2785-4BEE-974B-2A4A4E99ABD2}"/>
                </a:ext>
              </a:extLst>
            </xdr:cNvPr>
            <xdr:cNvSpPr txBox="1"/>
          </xdr:nvSpPr>
          <xdr:spPr>
            <a:xfrm>
              <a:off x="17645484" y="4307356"/>
              <a:ext cx="4021021" cy="1542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"Compras = Costo de Ventas + Inventario Final – Inventario Inicial</a:t>
              </a:r>
              <a:r>
                <a:rPr lang="es-CO" sz="1000" b="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359019</xdr:colOff>
      <xdr:row>23</xdr:row>
      <xdr:rowOff>93421</xdr:rowOff>
    </xdr:from>
    <xdr:to>
      <xdr:col>21</xdr:col>
      <xdr:colOff>28885</xdr:colOff>
      <xdr:row>24</xdr:row>
      <xdr:rowOff>204763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13">
              <a:extLst>
                <a:ext uri="{FF2B5EF4-FFF2-40B4-BE49-F238E27FC236}">
                  <a16:creationId xmlns:a16="http://schemas.microsoft.com/office/drawing/2014/main" id="{66E374E1-E75F-44C3-8577-C9B06B7F51E1}"/>
                </a:ext>
              </a:extLst>
            </xdr:cNvPr>
            <xdr:cNvSpPr txBox="1"/>
          </xdr:nvSpPr>
          <xdr:spPr>
            <a:xfrm>
              <a:off x="17401442" y="4965825"/>
              <a:ext cx="4241866" cy="32382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Pagar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Pagar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" name="CuadroTexto 13">
              <a:extLst>
                <a:ext uri="{FF2B5EF4-FFF2-40B4-BE49-F238E27FC236}">
                  <a16:creationId xmlns:a16="http://schemas.microsoft.com/office/drawing/2014/main" id="{66E374E1-E75F-44C3-8577-C9B06B7F51E1}"/>
                </a:ext>
              </a:extLst>
            </xdr:cNvPr>
            <xdr:cNvSpPr txBox="1"/>
          </xdr:nvSpPr>
          <xdr:spPr>
            <a:xfrm>
              <a:off x="17401442" y="4965825"/>
              <a:ext cx="4241866" cy="32382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Cuentas por Pagar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Cuentas por Pagar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719017</xdr:colOff>
      <xdr:row>26</xdr:row>
      <xdr:rowOff>191001</xdr:rowOff>
    </xdr:from>
    <xdr:to>
      <xdr:col>20</xdr:col>
      <xdr:colOff>761536</xdr:colOff>
      <xdr:row>27</xdr:row>
      <xdr:rowOff>135294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">
              <a:extLst>
                <a:ext uri="{FF2B5EF4-FFF2-40B4-BE49-F238E27FC236}">
                  <a16:creationId xmlns:a16="http://schemas.microsoft.com/office/drawing/2014/main" id="{C7E1158A-9800-43A9-93DB-D6425A318BDD}"/>
                </a:ext>
              </a:extLst>
            </xdr:cNvPr>
            <xdr:cNvSpPr txBox="1"/>
          </xdr:nvSpPr>
          <xdr:spPr>
            <a:xfrm>
              <a:off x="17761440" y="5700847"/>
              <a:ext cx="3852519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Ciclo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efectivo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+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CxC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–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CxP</m:t>
                    </m:r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1" name="CuadroTexto 1">
              <a:extLst>
                <a:ext uri="{FF2B5EF4-FFF2-40B4-BE49-F238E27FC236}">
                  <a16:creationId xmlns:a16="http://schemas.microsoft.com/office/drawing/2014/main" id="{C7E1158A-9800-43A9-93DB-D6425A318BDD}"/>
                </a:ext>
              </a:extLst>
            </xdr:cNvPr>
            <xdr:cNvSpPr txBox="1"/>
          </xdr:nvSpPr>
          <xdr:spPr>
            <a:xfrm>
              <a:off x="17761440" y="5700847"/>
              <a:ext cx="3852519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"Ciclo de efectivo = Días de Inventario + Días de CxC – Días de CxP</a:t>
              </a:r>
              <a:r>
                <a:rPr lang="es-CO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690621</xdr:colOff>
      <xdr:row>28</xdr:row>
      <xdr:rowOff>46879</xdr:rowOff>
    </xdr:from>
    <xdr:to>
      <xdr:col>21</xdr:col>
      <xdr:colOff>384460</xdr:colOff>
      <xdr:row>29</xdr:row>
      <xdr:rowOff>187226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DE73B722-AD8A-4B4B-8ABD-A23F52C980F4}"/>
            </a:ext>
          </a:extLst>
        </xdr:cNvPr>
        <xdr:cNvSpPr txBox="1"/>
      </xdr:nvSpPr>
      <xdr:spPr>
        <a:xfrm>
          <a:off x="17733044" y="5981687"/>
          <a:ext cx="4265839" cy="35282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200000"/>
            </a:lnSpc>
          </a:pPr>
          <a:r>
            <a:rPr lang="es-MX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KTNO = Efectivo + CxC + Inventario – CxP – Otras CxP</a:t>
          </a:r>
          <a:endParaRPr lang="es-CO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15</xdr:col>
      <xdr:colOff>552480</xdr:colOff>
      <xdr:row>30</xdr:row>
      <xdr:rowOff>84856</xdr:rowOff>
    </xdr:from>
    <xdr:to>
      <xdr:col>19</xdr:col>
      <xdr:colOff>529688</xdr:colOff>
      <xdr:row>31</xdr:row>
      <xdr:rowOff>171085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3">
              <a:extLst>
                <a:ext uri="{FF2B5EF4-FFF2-40B4-BE49-F238E27FC236}">
                  <a16:creationId xmlns:a16="http://schemas.microsoft.com/office/drawing/2014/main" id="{AA860031-B9AA-4895-9D3C-B8E6AD86565B}"/>
                </a:ext>
              </a:extLst>
            </xdr:cNvPr>
            <xdr:cNvSpPr txBox="1"/>
          </xdr:nvSpPr>
          <xdr:spPr>
            <a:xfrm>
              <a:off x="17594903" y="6444625"/>
              <a:ext cx="3025208" cy="29871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Capital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Trabajo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KTNO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3" name="CuadroTexto 13">
              <a:extLst>
                <a:ext uri="{FF2B5EF4-FFF2-40B4-BE49-F238E27FC236}">
                  <a16:creationId xmlns:a16="http://schemas.microsoft.com/office/drawing/2014/main" id="{AA860031-B9AA-4895-9D3C-B8E6AD86565B}"/>
                </a:ext>
              </a:extLst>
            </xdr:cNvPr>
            <xdr:cNvSpPr txBox="1"/>
          </xdr:nvSpPr>
          <xdr:spPr>
            <a:xfrm>
              <a:off x="17594903" y="6444625"/>
              <a:ext cx="3025208" cy="29871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Capital de Trabajo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KTNO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0AAC-B0BF-4C85-AD00-72B09C7F9E39}">
  <dimension ref="A1:P67"/>
  <sheetViews>
    <sheetView tabSelected="1" zoomScaleNormal="100" workbookViewId="0"/>
  </sheetViews>
  <sheetFormatPr baseColWidth="10" defaultRowHeight="15.75" x14ac:dyDescent="0.25"/>
  <cols>
    <col min="1" max="1" width="46.140625" style="4" customWidth="1"/>
    <col min="2" max="7" width="16.42578125" style="4" bestFit="1" customWidth="1"/>
    <col min="9" max="9" width="28" bestFit="1" customWidth="1"/>
    <col min="10" max="12" width="14.5703125" bestFit="1" customWidth="1"/>
    <col min="13" max="15" width="14.5703125" style="4" bestFit="1" customWidth="1"/>
    <col min="16" max="16384" width="11.42578125" style="4"/>
  </cols>
  <sheetData>
    <row r="1" spans="1:16" ht="16.5" x14ac:dyDescent="0.25">
      <c r="A1" s="2" t="s">
        <v>0</v>
      </c>
    </row>
    <row r="2" spans="1:16" ht="16.5" x14ac:dyDescent="0.25">
      <c r="A2" s="1" t="s">
        <v>1</v>
      </c>
    </row>
    <row r="4" spans="1:16" ht="16.5" x14ac:dyDescent="0.25">
      <c r="A4" s="1"/>
      <c r="B4" s="3">
        <v>2018</v>
      </c>
      <c r="C4" s="3">
        <v>2019</v>
      </c>
      <c r="D4" s="3">
        <v>2020</v>
      </c>
      <c r="E4" s="3">
        <v>2021</v>
      </c>
      <c r="F4" s="3">
        <v>2022</v>
      </c>
      <c r="G4" s="3">
        <v>2023</v>
      </c>
      <c r="I4" s="4"/>
      <c r="M4"/>
      <c r="N4"/>
      <c r="O4"/>
    </row>
    <row r="5" spans="1:16" ht="16.5" x14ac:dyDescent="0.25">
      <c r="A5" s="1" t="s">
        <v>2</v>
      </c>
      <c r="B5" s="5">
        <v>267007</v>
      </c>
      <c r="C5" s="5">
        <v>37355</v>
      </c>
      <c r="D5" s="5">
        <v>509</v>
      </c>
      <c r="E5" s="5">
        <v>152193</v>
      </c>
      <c r="F5" s="5">
        <v>15362</v>
      </c>
      <c r="G5" s="5">
        <v>11321</v>
      </c>
      <c r="I5" s="4"/>
      <c r="J5" s="8">
        <v>2018</v>
      </c>
      <c r="K5" s="8">
        <v>2019</v>
      </c>
      <c r="L5" s="8">
        <v>2020</v>
      </c>
      <c r="M5" s="8">
        <v>2021</v>
      </c>
      <c r="N5" s="8">
        <v>2022</v>
      </c>
      <c r="O5" s="8">
        <v>2023</v>
      </c>
    </row>
    <row r="6" spans="1:16" ht="16.5" x14ac:dyDescent="0.25">
      <c r="A6" s="1" t="s">
        <v>3</v>
      </c>
      <c r="B6" s="5">
        <v>55662</v>
      </c>
      <c r="C6" s="5">
        <v>345009</v>
      </c>
      <c r="D6" s="5">
        <v>6363</v>
      </c>
      <c r="E6" s="5">
        <v>260422</v>
      </c>
      <c r="F6" s="5">
        <v>877865</v>
      </c>
      <c r="G6" s="5">
        <v>698863</v>
      </c>
      <c r="I6" s="1" t="s">
        <v>48</v>
      </c>
      <c r="K6" s="5">
        <f>+AVERAGE(B17:C17)</f>
        <v>42812996</v>
      </c>
      <c r="L6" s="5">
        <f t="shared" ref="L6:O6" si="0">+AVERAGE(C17:D17)</f>
        <v>42461930</v>
      </c>
      <c r="M6" s="5">
        <f t="shared" si="0"/>
        <v>38230193</v>
      </c>
      <c r="N6" s="5">
        <f t="shared" si="0"/>
        <v>38253605</v>
      </c>
      <c r="O6" s="5">
        <f t="shared" si="0"/>
        <v>37978810.5</v>
      </c>
    </row>
    <row r="7" spans="1:16" ht="16.5" x14ac:dyDescent="0.25">
      <c r="A7" s="1" t="s">
        <v>4</v>
      </c>
      <c r="B7" s="5">
        <v>2278485</v>
      </c>
      <c r="C7" s="5">
        <v>3181084</v>
      </c>
      <c r="D7" s="5">
        <v>3052725</v>
      </c>
      <c r="E7" s="5">
        <v>3178900</v>
      </c>
      <c r="F7" s="5">
        <v>3398257</v>
      </c>
      <c r="G7" s="5">
        <v>3155567</v>
      </c>
      <c r="I7" s="9" t="s">
        <v>49</v>
      </c>
      <c r="K7" s="10">
        <f>+C38/K6</f>
        <v>0.47496895568812797</v>
      </c>
      <c r="L7" s="10">
        <f t="shared" ref="L7:O7" si="1">+D38/L6</f>
        <v>4.8077678051845499E-2</v>
      </c>
      <c r="M7" s="10">
        <f t="shared" si="1"/>
        <v>0.38030263148292243</v>
      </c>
      <c r="N7" s="10">
        <f t="shared" si="1"/>
        <v>0.43227345501162573</v>
      </c>
      <c r="O7" s="10">
        <f t="shared" si="1"/>
        <v>0.51854541363268869</v>
      </c>
      <c r="P7" s="9" t="s">
        <v>50</v>
      </c>
    </row>
    <row r="8" spans="1:16" ht="16.5" x14ac:dyDescent="0.25">
      <c r="A8" s="1" t="s">
        <v>5</v>
      </c>
      <c r="B8" s="5">
        <v>1171976</v>
      </c>
      <c r="C8" s="5">
        <v>2229066</v>
      </c>
      <c r="D8" s="5">
        <v>352816</v>
      </c>
      <c r="E8" s="5">
        <v>1683480</v>
      </c>
      <c r="F8" s="5">
        <v>3352693</v>
      </c>
      <c r="G8" s="5">
        <v>5227255</v>
      </c>
      <c r="I8" s="4"/>
      <c r="M8"/>
      <c r="N8"/>
      <c r="O8"/>
    </row>
    <row r="9" spans="1:16" ht="16.5" x14ac:dyDescent="0.25">
      <c r="A9" s="1" t="s">
        <v>6</v>
      </c>
      <c r="B9" s="5"/>
      <c r="C9" s="5"/>
      <c r="D9" s="5">
        <v>977</v>
      </c>
      <c r="E9" s="5">
        <v>2217</v>
      </c>
      <c r="F9" s="5">
        <v>3756</v>
      </c>
      <c r="G9" s="5">
        <v>3611</v>
      </c>
      <c r="I9" s="1" t="s">
        <v>51</v>
      </c>
      <c r="J9" s="5">
        <f>+B11+B12</f>
        <v>31244381</v>
      </c>
      <c r="K9" s="5">
        <f t="shared" ref="K9:O9" si="2">+C11+C12</f>
        <v>36902829</v>
      </c>
      <c r="L9" s="5">
        <f t="shared" si="2"/>
        <v>34842317</v>
      </c>
      <c r="M9" s="5">
        <f t="shared" si="2"/>
        <v>32927467</v>
      </c>
      <c r="N9" s="5">
        <f t="shared" si="2"/>
        <v>30654598</v>
      </c>
      <c r="O9" s="5">
        <f t="shared" si="2"/>
        <v>28558473</v>
      </c>
    </row>
    <row r="10" spans="1:16" ht="16.5" x14ac:dyDescent="0.25">
      <c r="A10" s="2" t="s">
        <v>7</v>
      </c>
      <c r="B10" s="6">
        <f>SUM(B5:B9)</f>
        <v>3773130</v>
      </c>
      <c r="C10" s="6">
        <f t="shared" ref="C10:G10" si="3">SUM(C5:C9)</f>
        <v>5792514</v>
      </c>
      <c r="D10" s="6">
        <f t="shared" si="3"/>
        <v>3413390</v>
      </c>
      <c r="E10" s="6">
        <f t="shared" si="3"/>
        <v>5277212</v>
      </c>
      <c r="F10" s="6">
        <f t="shared" si="3"/>
        <v>7647933</v>
      </c>
      <c r="G10" s="6">
        <f t="shared" si="3"/>
        <v>9096617</v>
      </c>
      <c r="I10" s="1" t="s">
        <v>52</v>
      </c>
      <c r="K10" s="5">
        <f>+AVERAGE(J9:K9)</f>
        <v>34073605</v>
      </c>
      <c r="L10" s="5">
        <f t="shared" ref="L10:O10" si="4">+AVERAGE(K9:L9)</f>
        <v>35872573</v>
      </c>
      <c r="M10" s="5">
        <f t="shared" si="4"/>
        <v>33884892</v>
      </c>
      <c r="N10" s="5">
        <f t="shared" si="4"/>
        <v>31791032.5</v>
      </c>
      <c r="O10" s="5">
        <f t="shared" si="4"/>
        <v>29606535.5</v>
      </c>
    </row>
    <row r="11" spans="1:16" ht="16.5" x14ac:dyDescent="0.25">
      <c r="A11" s="1" t="s">
        <v>8</v>
      </c>
      <c r="B11" s="5">
        <v>31244381</v>
      </c>
      <c r="C11" s="5">
        <v>36902829</v>
      </c>
      <c r="D11" s="5">
        <v>34768658</v>
      </c>
      <c r="E11" s="5">
        <v>32856330</v>
      </c>
      <c r="F11" s="5">
        <v>30582477</v>
      </c>
      <c r="G11" s="5">
        <v>28478130</v>
      </c>
      <c r="I11" s="9" t="s">
        <v>53</v>
      </c>
      <c r="K11" s="10">
        <f>+C38/K10</f>
        <v>0.59679168083330192</v>
      </c>
      <c r="L11" s="10">
        <f t="shared" ref="L11:O11" si="5">+D38/L10</f>
        <v>5.6908964963288247E-2</v>
      </c>
      <c r="M11" s="10">
        <f t="shared" si="5"/>
        <v>0.42907154610379161</v>
      </c>
      <c r="N11" s="10">
        <f t="shared" si="5"/>
        <v>0.52014724592540362</v>
      </c>
      <c r="O11" s="10">
        <f t="shared" si="5"/>
        <v>0.66518211831978791</v>
      </c>
      <c r="P11" s="9" t="s">
        <v>50</v>
      </c>
    </row>
    <row r="12" spans="1:16" ht="16.5" x14ac:dyDescent="0.25">
      <c r="A12" s="1" t="s">
        <v>9</v>
      </c>
      <c r="B12" s="5"/>
      <c r="C12" s="5"/>
      <c r="D12" s="5">
        <v>73659</v>
      </c>
      <c r="E12" s="5">
        <v>71137</v>
      </c>
      <c r="F12" s="5">
        <v>72121</v>
      </c>
      <c r="G12" s="5">
        <v>80343</v>
      </c>
      <c r="I12" s="4"/>
      <c r="M12"/>
      <c r="N12"/>
      <c r="O12"/>
    </row>
    <row r="13" spans="1:16" ht="16.5" x14ac:dyDescent="0.25">
      <c r="A13" s="1" t="s">
        <v>10</v>
      </c>
      <c r="B13" s="5">
        <v>3227623</v>
      </c>
      <c r="C13" s="5">
        <v>2618599</v>
      </c>
      <c r="D13" s="5"/>
      <c r="E13" s="5"/>
      <c r="F13" s="5"/>
      <c r="G13" s="5"/>
      <c r="I13" s="1" t="s">
        <v>54</v>
      </c>
      <c r="K13" s="5">
        <f>+AVERAGE(B7:C7)</f>
        <v>2729784.5</v>
      </c>
      <c r="L13" s="5">
        <f t="shared" ref="L13:O13" si="6">+AVERAGE(C7:D7)</f>
        <v>3116904.5</v>
      </c>
      <c r="M13" s="5">
        <f t="shared" si="6"/>
        <v>3115812.5</v>
      </c>
      <c r="N13" s="5">
        <f t="shared" si="6"/>
        <v>3288578.5</v>
      </c>
      <c r="O13" s="5">
        <f t="shared" si="6"/>
        <v>3276912</v>
      </c>
    </row>
    <row r="14" spans="1:16" ht="16.5" x14ac:dyDescent="0.25">
      <c r="A14" s="1" t="s">
        <v>11</v>
      </c>
      <c r="B14" s="5"/>
      <c r="C14" s="5">
        <v>1354211</v>
      </c>
      <c r="D14" s="5"/>
      <c r="E14" s="5"/>
      <c r="F14" s="5"/>
      <c r="G14" s="5"/>
      <c r="I14" s="9" t="s">
        <v>55</v>
      </c>
      <c r="K14" s="10">
        <f>+C39/K13</f>
        <v>7.5204632453587452</v>
      </c>
      <c r="L14" s="10">
        <f t="shared" ref="L14:O14" si="7">+D39/L13</f>
        <v>1.2970734265358468</v>
      </c>
      <c r="M14" s="10">
        <f t="shared" si="7"/>
        <v>5.8922515395262067</v>
      </c>
      <c r="N14" s="10">
        <f t="shared" si="7"/>
        <v>6.1238039475110595</v>
      </c>
      <c r="O14" s="10">
        <f t="shared" si="7"/>
        <v>7.6219468206653094</v>
      </c>
      <c r="P14" s="9" t="s">
        <v>50</v>
      </c>
    </row>
    <row r="15" spans="1:16" ht="16.5" x14ac:dyDescent="0.25">
      <c r="A15" s="1" t="s">
        <v>12</v>
      </c>
      <c r="B15" s="5">
        <v>712705</v>
      </c>
      <c r="C15" s="5"/>
      <c r="D15" s="5"/>
      <c r="E15" s="5"/>
      <c r="F15" s="5"/>
      <c r="G15" s="5"/>
      <c r="I15" s="9" t="s">
        <v>56</v>
      </c>
      <c r="K15" s="11">
        <f>365/K14</f>
        <v>48.534244246889948</v>
      </c>
      <c r="L15" s="11">
        <f t="shared" ref="L15:O15" si="8">365/L14</f>
        <v>281.40272750388709</v>
      </c>
      <c r="M15" s="11">
        <f t="shared" si="8"/>
        <v>61.945760046311513</v>
      </c>
      <c r="N15" s="11">
        <f t="shared" si="8"/>
        <v>59.603475736408825</v>
      </c>
      <c r="O15" s="11">
        <f t="shared" si="8"/>
        <v>47.88802763755568</v>
      </c>
      <c r="P15" s="9" t="s">
        <v>57</v>
      </c>
    </row>
    <row r="16" spans="1:16" ht="16.5" x14ac:dyDescent="0.25">
      <c r="A16" s="2" t="s">
        <v>13</v>
      </c>
      <c r="B16" s="6">
        <f>SUM(B11:B15)</f>
        <v>35184709</v>
      </c>
      <c r="C16" s="6">
        <f t="shared" ref="C16:G16" si="9">SUM(C11:C15)</f>
        <v>40875639</v>
      </c>
      <c r="D16" s="6">
        <f t="shared" si="9"/>
        <v>34842317</v>
      </c>
      <c r="E16" s="6">
        <f t="shared" si="9"/>
        <v>32927467</v>
      </c>
      <c r="F16" s="6">
        <f t="shared" si="9"/>
        <v>30654598</v>
      </c>
      <c r="G16" s="6">
        <f t="shared" si="9"/>
        <v>28558473</v>
      </c>
      <c r="I16" s="4"/>
      <c r="M16"/>
      <c r="N16"/>
      <c r="O16"/>
    </row>
    <row r="17" spans="1:16" ht="16.5" x14ac:dyDescent="0.25">
      <c r="A17" s="2" t="s">
        <v>14</v>
      </c>
      <c r="B17" s="6">
        <f>+B10+B16</f>
        <v>38957839</v>
      </c>
      <c r="C17" s="6">
        <f t="shared" ref="C17:G17" si="10">+C10+C16</f>
        <v>46668153</v>
      </c>
      <c r="D17" s="6">
        <f t="shared" si="10"/>
        <v>38255707</v>
      </c>
      <c r="E17" s="6">
        <f t="shared" si="10"/>
        <v>38204679</v>
      </c>
      <c r="F17" s="6">
        <f t="shared" si="10"/>
        <v>38302531</v>
      </c>
      <c r="G17" s="6">
        <f t="shared" si="10"/>
        <v>37655090</v>
      </c>
      <c r="I17" s="1" t="s">
        <v>58</v>
      </c>
      <c r="K17" s="5">
        <f>+AVERAGE(B6:C6)</f>
        <v>200335.5</v>
      </c>
      <c r="L17" s="5">
        <f t="shared" ref="L17:O17" si="11">+AVERAGE(C6:D6)</f>
        <v>175686</v>
      </c>
      <c r="M17" s="5">
        <f t="shared" si="11"/>
        <v>133392.5</v>
      </c>
      <c r="N17" s="5">
        <f t="shared" si="11"/>
        <v>569143.5</v>
      </c>
      <c r="O17" s="5">
        <f t="shared" si="11"/>
        <v>788364</v>
      </c>
    </row>
    <row r="18" spans="1:16" ht="16.5" x14ac:dyDescent="0.25">
      <c r="A18" s="1" t="s">
        <v>15</v>
      </c>
      <c r="B18" s="5"/>
      <c r="C18" s="5"/>
      <c r="D18" s="5"/>
      <c r="E18" s="5"/>
      <c r="F18" s="5"/>
      <c r="G18" s="5">
        <v>20000</v>
      </c>
      <c r="I18" s="9" t="s">
        <v>59</v>
      </c>
      <c r="K18" s="10">
        <f>+C38/K17</f>
        <v>101.50394712869162</v>
      </c>
      <c r="L18" s="10">
        <f t="shared" ref="L18:O18" si="12">+D38/L17</f>
        <v>11.619998178568583</v>
      </c>
      <c r="M18" s="10">
        <f t="shared" si="12"/>
        <v>108.99445621005678</v>
      </c>
      <c r="N18" s="10">
        <f t="shared" si="12"/>
        <v>29.054215676714222</v>
      </c>
      <c r="O18" s="10">
        <f t="shared" si="12"/>
        <v>24.980514077253655</v>
      </c>
      <c r="P18" s="9" t="s">
        <v>50</v>
      </c>
    </row>
    <row r="19" spans="1:16" ht="16.5" x14ac:dyDescent="0.25">
      <c r="A19" s="1" t="s">
        <v>16</v>
      </c>
      <c r="B19" s="5">
        <v>4339596</v>
      </c>
      <c r="C19" s="5">
        <v>6808617</v>
      </c>
      <c r="D19" s="5">
        <v>528296</v>
      </c>
      <c r="E19" s="5">
        <v>4463377</v>
      </c>
      <c r="F19" s="5">
        <v>2974943</v>
      </c>
      <c r="G19" s="5">
        <v>2753968</v>
      </c>
      <c r="I19" s="9" t="s">
        <v>60</v>
      </c>
      <c r="K19" s="11">
        <f>365/K18</f>
        <v>3.5959192753089231</v>
      </c>
      <c r="L19" s="11">
        <f t="shared" ref="L19:O19" si="13">365/L18</f>
        <v>31.411364648334459</v>
      </c>
      <c r="M19" s="11">
        <f t="shared" si="13"/>
        <v>3.3487941744171197</v>
      </c>
      <c r="N19" s="11">
        <f t="shared" si="13"/>
        <v>12.562720813438881</v>
      </c>
      <c r="O19" s="11">
        <f t="shared" si="13"/>
        <v>14.611388655622411</v>
      </c>
      <c r="P19" s="9" t="s">
        <v>57</v>
      </c>
    </row>
    <row r="20" spans="1:16" ht="16.5" x14ac:dyDescent="0.25">
      <c r="A20" s="1" t="s">
        <v>17</v>
      </c>
      <c r="B20" s="5"/>
      <c r="C20" s="5">
        <v>800151</v>
      </c>
      <c r="D20" s="5">
        <v>134182</v>
      </c>
      <c r="E20" s="5">
        <v>613429</v>
      </c>
      <c r="F20" s="5">
        <v>905490</v>
      </c>
      <c r="G20" s="5">
        <v>888935</v>
      </c>
      <c r="I20" s="4"/>
      <c r="M20"/>
      <c r="N20"/>
      <c r="O20"/>
    </row>
    <row r="21" spans="1:16" ht="16.5" x14ac:dyDescent="0.25">
      <c r="A21" s="1" t="s">
        <v>18</v>
      </c>
      <c r="B21" s="5">
        <v>1131138</v>
      </c>
      <c r="C21" s="5">
        <v>790090</v>
      </c>
      <c r="D21" s="5">
        <v>916353</v>
      </c>
      <c r="E21" s="5">
        <v>987571</v>
      </c>
      <c r="F21" s="5">
        <v>65218</v>
      </c>
      <c r="G21" s="5">
        <v>1017141</v>
      </c>
      <c r="I21" s="1" t="s">
        <v>61</v>
      </c>
      <c r="K21" s="5">
        <f>+B7</f>
        <v>2278485</v>
      </c>
      <c r="L21" s="5">
        <f t="shared" ref="L21:O21" si="14">+C7</f>
        <v>3181084</v>
      </c>
      <c r="M21" s="5">
        <f t="shared" si="14"/>
        <v>3052725</v>
      </c>
      <c r="N21" s="5">
        <f t="shared" si="14"/>
        <v>3178900</v>
      </c>
      <c r="O21" s="5">
        <f t="shared" si="14"/>
        <v>3398257</v>
      </c>
    </row>
    <row r="22" spans="1:16" ht="16.5" x14ac:dyDescent="0.25">
      <c r="A22" s="1" t="s">
        <v>19</v>
      </c>
      <c r="B22" s="5">
        <v>627630</v>
      </c>
      <c r="C22" s="5">
        <v>26669</v>
      </c>
      <c r="D22" s="5">
        <v>153882</v>
      </c>
      <c r="E22" s="5">
        <v>249692</v>
      </c>
      <c r="F22" s="5">
        <v>268756</v>
      </c>
      <c r="G22" s="5">
        <v>287733</v>
      </c>
      <c r="I22" s="1" t="s">
        <v>62</v>
      </c>
      <c r="K22" s="5">
        <f>+C7</f>
        <v>3181084</v>
      </c>
      <c r="L22" s="5">
        <f t="shared" ref="L22:O22" si="15">+D7</f>
        <v>3052725</v>
      </c>
      <c r="M22" s="5">
        <f t="shared" si="15"/>
        <v>3178900</v>
      </c>
      <c r="N22" s="5">
        <f t="shared" si="15"/>
        <v>3398257</v>
      </c>
      <c r="O22" s="5">
        <f t="shared" si="15"/>
        <v>3155567</v>
      </c>
    </row>
    <row r="23" spans="1:16" ht="16.5" x14ac:dyDescent="0.25">
      <c r="A23" s="2" t="s">
        <v>20</v>
      </c>
      <c r="B23" s="6">
        <f>SUM(B18:B22)</f>
        <v>6098364</v>
      </c>
      <c r="C23" s="6">
        <f t="shared" ref="C23:G23" si="16">SUM(C18:C22)</f>
        <v>8425527</v>
      </c>
      <c r="D23" s="6">
        <f t="shared" si="16"/>
        <v>1732713</v>
      </c>
      <c r="E23" s="6">
        <f t="shared" si="16"/>
        <v>6314069</v>
      </c>
      <c r="F23" s="6">
        <f t="shared" si="16"/>
        <v>4214407</v>
      </c>
      <c r="G23" s="6">
        <f t="shared" si="16"/>
        <v>4967777</v>
      </c>
      <c r="I23" s="12" t="s">
        <v>63</v>
      </c>
      <c r="K23" s="5">
        <f>+C39+K22-K21</f>
        <v>21431843</v>
      </c>
      <c r="L23" s="5">
        <f t="shared" ref="L23:O23" si="17">+D39+L22-L21</f>
        <v>3914495</v>
      </c>
      <c r="M23" s="5">
        <f t="shared" si="17"/>
        <v>18485326</v>
      </c>
      <c r="N23" s="5">
        <f t="shared" si="17"/>
        <v>20357967</v>
      </c>
      <c r="O23" s="5">
        <f t="shared" si="17"/>
        <v>24733759</v>
      </c>
    </row>
    <row r="24" spans="1:16" ht="16.5" x14ac:dyDescent="0.25">
      <c r="A24" s="1" t="s">
        <v>21</v>
      </c>
      <c r="B24" s="5">
        <v>26908424</v>
      </c>
      <c r="C24" s="5">
        <v>13914793</v>
      </c>
      <c r="D24" s="5">
        <v>35036622</v>
      </c>
      <c r="E24" s="5">
        <v>1731356</v>
      </c>
      <c r="F24" s="5">
        <v>9324633</v>
      </c>
      <c r="G24" s="5">
        <v>17604483</v>
      </c>
      <c r="I24" s="1" t="s">
        <v>64</v>
      </c>
      <c r="K24" s="5">
        <f>+AVERAGE(B19:C19)</f>
        <v>5574106.5</v>
      </c>
      <c r="L24" s="5">
        <f t="shared" ref="L24:O24" si="18">+AVERAGE(C19:D19)</f>
        <v>3668456.5</v>
      </c>
      <c r="M24" s="5">
        <f t="shared" si="18"/>
        <v>2495836.5</v>
      </c>
      <c r="N24" s="5">
        <f t="shared" si="18"/>
        <v>3719160</v>
      </c>
      <c r="O24" s="5">
        <f t="shared" si="18"/>
        <v>2864455.5</v>
      </c>
    </row>
    <row r="25" spans="1:16" ht="16.5" x14ac:dyDescent="0.25">
      <c r="A25" s="1" t="s">
        <v>22</v>
      </c>
      <c r="B25" s="5">
        <v>3280336</v>
      </c>
      <c r="C25" s="5">
        <v>3080925</v>
      </c>
      <c r="D25" s="5">
        <v>663365</v>
      </c>
      <c r="E25" s="5">
        <v>813872</v>
      </c>
      <c r="F25" s="5">
        <v>739455</v>
      </c>
      <c r="G25" s="5">
        <v>971760</v>
      </c>
      <c r="I25" s="9" t="s">
        <v>65</v>
      </c>
      <c r="K25" s="10">
        <f>+K23/K24</f>
        <v>3.8448929886789927</v>
      </c>
      <c r="L25" s="10">
        <f t="shared" ref="L25:O25" si="19">+L23/L24</f>
        <v>1.0670686704340095</v>
      </c>
      <c r="M25" s="10">
        <f t="shared" si="19"/>
        <v>7.4064651270225434</v>
      </c>
      <c r="N25" s="10">
        <f t="shared" si="19"/>
        <v>5.4738077953086179</v>
      </c>
      <c r="O25" s="10">
        <f t="shared" si="19"/>
        <v>8.634715742660342</v>
      </c>
      <c r="P25" s="9" t="s">
        <v>50</v>
      </c>
    </row>
    <row r="26" spans="1:16" ht="16.5" x14ac:dyDescent="0.25">
      <c r="A26" s="1" t="s">
        <v>23</v>
      </c>
      <c r="B26" s="5">
        <v>4161630</v>
      </c>
      <c r="C26" s="5">
        <v>3397553</v>
      </c>
      <c r="D26" s="5">
        <v>2713493</v>
      </c>
      <c r="E26" s="5">
        <v>1784923</v>
      </c>
      <c r="F26" s="5">
        <v>2005022</v>
      </c>
      <c r="G26" s="5">
        <v>0</v>
      </c>
      <c r="I26" s="9" t="s">
        <v>66</v>
      </c>
      <c r="K26" s="11">
        <f>365/K25</f>
        <v>94.931120599381032</v>
      </c>
      <c r="L26" s="11">
        <f t="shared" ref="L26:O26" si="20">365/L25</f>
        <v>342.0585854624926</v>
      </c>
      <c r="M26" s="11">
        <f t="shared" si="20"/>
        <v>49.281268964366653</v>
      </c>
      <c r="N26" s="11">
        <f t="shared" si="20"/>
        <v>66.681186780585705</v>
      </c>
      <c r="O26" s="11">
        <f t="shared" si="20"/>
        <v>42.271223613846963</v>
      </c>
      <c r="P26" s="9" t="s">
        <v>57</v>
      </c>
    </row>
    <row r="27" spans="1:16" ht="16.5" x14ac:dyDescent="0.25">
      <c r="A27" s="2" t="s">
        <v>24</v>
      </c>
      <c r="B27" s="6">
        <f>SUM(B24:B26)</f>
        <v>34350390</v>
      </c>
      <c r="C27" s="6">
        <f t="shared" ref="C27:G27" si="21">SUM(C24:C26)</f>
        <v>20393271</v>
      </c>
      <c r="D27" s="6">
        <f t="shared" si="21"/>
        <v>38413480</v>
      </c>
      <c r="E27" s="6">
        <f t="shared" si="21"/>
        <v>4330151</v>
      </c>
      <c r="F27" s="6">
        <f t="shared" si="21"/>
        <v>12069110</v>
      </c>
      <c r="G27" s="6">
        <f t="shared" si="21"/>
        <v>18576243</v>
      </c>
      <c r="I27" s="4"/>
      <c r="M27"/>
      <c r="N27"/>
      <c r="O27"/>
    </row>
    <row r="28" spans="1:16" ht="16.5" x14ac:dyDescent="0.25">
      <c r="A28" s="2" t="s">
        <v>25</v>
      </c>
      <c r="B28" s="6">
        <f>+B23+B27</f>
        <v>40448754</v>
      </c>
      <c r="C28" s="6">
        <f t="shared" ref="C28:G28" si="22">+C23+C27</f>
        <v>28818798</v>
      </c>
      <c r="D28" s="6">
        <f t="shared" si="22"/>
        <v>40146193</v>
      </c>
      <c r="E28" s="6">
        <f t="shared" si="22"/>
        <v>10644220</v>
      </c>
      <c r="F28" s="6">
        <f t="shared" si="22"/>
        <v>16283517</v>
      </c>
      <c r="G28" s="6">
        <f t="shared" si="22"/>
        <v>23544020</v>
      </c>
      <c r="I28" s="9" t="s">
        <v>67</v>
      </c>
      <c r="J28" s="4"/>
      <c r="K28" s="11">
        <f>+K15+K19-K26</f>
        <v>-42.800957077182161</v>
      </c>
      <c r="L28" s="11">
        <f t="shared" ref="L28:O28" si="23">+L15+L19-L26</f>
        <v>-29.244493310271025</v>
      </c>
      <c r="M28" s="11">
        <f t="shared" si="23"/>
        <v>16.013285256361975</v>
      </c>
      <c r="N28" s="11">
        <f t="shared" si="23"/>
        <v>5.4850097692620068</v>
      </c>
      <c r="O28" s="11">
        <f t="shared" si="23"/>
        <v>20.22819267933113</v>
      </c>
      <c r="P28" s="9" t="s">
        <v>57</v>
      </c>
    </row>
    <row r="29" spans="1:16" ht="16.5" x14ac:dyDescent="0.25">
      <c r="A29" s="1" t="s">
        <v>26</v>
      </c>
      <c r="B29" s="5">
        <v>350000</v>
      </c>
      <c r="C29" s="5">
        <v>560000</v>
      </c>
      <c r="D29" s="5">
        <v>100000</v>
      </c>
      <c r="E29" s="5">
        <v>450000</v>
      </c>
      <c r="F29" s="5">
        <v>450000</v>
      </c>
      <c r="G29" s="5">
        <v>450000</v>
      </c>
      <c r="I29" s="4"/>
      <c r="M29"/>
      <c r="N29"/>
      <c r="O29"/>
    </row>
    <row r="30" spans="1:16" ht="16.5" x14ac:dyDescent="0.25">
      <c r="A30" s="1" t="s">
        <v>27</v>
      </c>
      <c r="B30" s="5">
        <v>10770000</v>
      </c>
      <c r="C30" s="5">
        <v>31560000</v>
      </c>
      <c r="D30" s="5"/>
      <c r="E30" s="5">
        <v>34650000</v>
      </c>
      <c r="F30" s="5">
        <v>34650000</v>
      </c>
      <c r="G30" s="5">
        <v>34650000</v>
      </c>
      <c r="I30" s="1" t="s">
        <v>68</v>
      </c>
      <c r="J30" s="5">
        <f>+B6+B7+B8-B19-B20</f>
        <v>-833473</v>
      </c>
      <c r="K30" s="5">
        <f t="shared" ref="K30:O30" si="24">+C6+C7+C8-C19-C20</f>
        <v>-1853609</v>
      </c>
      <c r="L30" s="5">
        <f t="shared" si="24"/>
        <v>2749426</v>
      </c>
      <c r="M30" s="5">
        <f t="shared" si="24"/>
        <v>45996</v>
      </c>
      <c r="N30" s="5">
        <f t="shared" si="24"/>
        <v>3748382</v>
      </c>
      <c r="O30" s="5">
        <f t="shared" si="24"/>
        <v>5438782</v>
      </c>
    </row>
    <row r="31" spans="1:16" ht="16.5" x14ac:dyDescent="0.25">
      <c r="A31" s="1" t="s">
        <v>28</v>
      </c>
      <c r="B31" s="5">
        <v>62832</v>
      </c>
      <c r="C31" s="5">
        <v>62832</v>
      </c>
      <c r="D31" s="5"/>
      <c r="E31" s="5"/>
      <c r="F31" s="5"/>
      <c r="G31" s="5"/>
      <c r="I31" s="1" t="s">
        <v>69</v>
      </c>
      <c r="K31" s="5">
        <f>+AVERAGE(J30:K30)</f>
        <v>-1343541</v>
      </c>
      <c r="L31" s="5">
        <f t="shared" ref="L31:O31" si="25">+AVERAGE(K30:L30)</f>
        <v>447908.5</v>
      </c>
      <c r="M31" s="5">
        <f t="shared" si="25"/>
        <v>1397711</v>
      </c>
      <c r="N31" s="5">
        <f t="shared" si="25"/>
        <v>1897189</v>
      </c>
      <c r="O31" s="5">
        <f t="shared" si="25"/>
        <v>4593582</v>
      </c>
    </row>
    <row r="32" spans="1:16" ht="16.5" x14ac:dyDescent="0.25">
      <c r="A32" s="1" t="s">
        <v>29</v>
      </c>
      <c r="B32" s="5">
        <v>-12673747</v>
      </c>
      <c r="C32" s="5">
        <v>-14333477</v>
      </c>
      <c r="D32" s="5">
        <v>-1990486</v>
      </c>
      <c r="E32" s="5">
        <v>-7539541</v>
      </c>
      <c r="F32" s="5">
        <v>-13080986</v>
      </c>
      <c r="G32" s="5">
        <v>-20988930</v>
      </c>
      <c r="I32" s="9" t="s">
        <v>70</v>
      </c>
      <c r="K32" s="11">
        <f>+C38/K31</f>
        <v>-15.135261223885241</v>
      </c>
      <c r="L32" s="11">
        <f t="shared" ref="L32:O32" si="26">+D38/L31</f>
        <v>4.5577857977689638</v>
      </c>
      <c r="M32" s="11">
        <f t="shared" si="26"/>
        <v>10.402038046491729</v>
      </c>
      <c r="N32" s="11">
        <f t="shared" si="26"/>
        <v>8.7160625535990359</v>
      </c>
      <c r="O32" s="11">
        <f t="shared" si="26"/>
        <v>4.2872290077765021</v>
      </c>
    </row>
    <row r="33" spans="1:7" ht="16.5" x14ac:dyDescent="0.25">
      <c r="A33" s="2" t="s">
        <v>30</v>
      </c>
      <c r="B33" s="6">
        <f>SUM(B29:B32)</f>
        <v>-1490915</v>
      </c>
      <c r="C33" s="6">
        <f t="shared" ref="C33:G33" si="27">SUM(C29:C32)</f>
        <v>17849355</v>
      </c>
      <c r="D33" s="6">
        <f t="shared" si="27"/>
        <v>-1890486</v>
      </c>
      <c r="E33" s="6">
        <f t="shared" si="27"/>
        <v>27560459</v>
      </c>
      <c r="F33" s="6">
        <f t="shared" si="27"/>
        <v>22019014</v>
      </c>
      <c r="G33" s="6">
        <f t="shared" si="27"/>
        <v>14111070</v>
      </c>
    </row>
    <row r="34" spans="1:7" ht="16.5" x14ac:dyDescent="0.25">
      <c r="A34" s="2" t="s">
        <v>31</v>
      </c>
      <c r="B34" s="6">
        <v>38957839</v>
      </c>
      <c r="C34" s="6">
        <v>46668153</v>
      </c>
      <c r="D34" s="6">
        <v>38255707</v>
      </c>
      <c r="E34" s="6">
        <v>38204679</v>
      </c>
      <c r="F34" s="6">
        <v>38302531</v>
      </c>
      <c r="G34" s="6">
        <v>37655090</v>
      </c>
    </row>
    <row r="35" spans="1:7" x14ac:dyDescent="0.25">
      <c r="B35" s="7"/>
      <c r="C35" s="7"/>
      <c r="D35" s="7"/>
      <c r="E35" s="7"/>
      <c r="F35" s="7"/>
      <c r="G35" s="7"/>
    </row>
    <row r="36" spans="1:7" ht="16.5" x14ac:dyDescent="0.25">
      <c r="A36" s="1"/>
    </row>
    <row r="37" spans="1:7" ht="16.5" x14ac:dyDescent="0.25">
      <c r="A37" s="1"/>
      <c r="B37" s="3">
        <v>2018</v>
      </c>
      <c r="C37" s="3">
        <v>2019</v>
      </c>
      <c r="D37" s="3">
        <v>2020</v>
      </c>
      <c r="E37" s="3">
        <v>2021</v>
      </c>
      <c r="F37" s="3">
        <v>2022</v>
      </c>
      <c r="G37" s="3">
        <v>2023</v>
      </c>
    </row>
    <row r="38" spans="1:7" ht="16.5" x14ac:dyDescent="0.25">
      <c r="A38" s="1" t="s">
        <v>32</v>
      </c>
      <c r="B38" s="5">
        <v>14300032</v>
      </c>
      <c r="C38" s="5">
        <v>20334844</v>
      </c>
      <c r="D38" s="5">
        <v>2041471</v>
      </c>
      <c r="E38" s="5">
        <v>14539043</v>
      </c>
      <c r="F38" s="5">
        <v>16536018</v>
      </c>
      <c r="G38" s="5">
        <v>19693738</v>
      </c>
    </row>
    <row r="39" spans="1:7" ht="16.5" x14ac:dyDescent="0.25">
      <c r="A39" s="1" t="s">
        <v>33</v>
      </c>
      <c r="B39" s="5">
        <v>15323568</v>
      </c>
      <c r="C39" s="5">
        <v>20529244</v>
      </c>
      <c r="D39" s="5">
        <v>4042854</v>
      </c>
      <c r="E39" s="5">
        <v>18359151</v>
      </c>
      <c r="F39" s="5">
        <v>20138610</v>
      </c>
      <c r="G39" s="5">
        <v>24976449</v>
      </c>
    </row>
    <row r="40" spans="1:7" ht="16.5" x14ac:dyDescent="0.25">
      <c r="A40" s="2" t="s">
        <v>42</v>
      </c>
      <c r="B40" s="6">
        <f>+B38-B39</f>
        <v>-1023536</v>
      </c>
      <c r="C40" s="6">
        <f>+C38-C39</f>
        <v>-194400</v>
      </c>
      <c r="D40" s="6">
        <f>+D38-D39</f>
        <v>-2001383</v>
      </c>
      <c r="E40" s="6">
        <f>+E38-E39</f>
        <v>-3820108</v>
      </c>
      <c r="F40" s="6">
        <f t="shared" ref="F40" si="28">+F38-F39</f>
        <v>-3602592</v>
      </c>
      <c r="G40" s="6">
        <f>+G38-G39</f>
        <v>-5282711</v>
      </c>
    </row>
    <row r="41" spans="1:7" ht="16.5" x14ac:dyDescent="0.25">
      <c r="A41" s="1" t="s">
        <v>34</v>
      </c>
      <c r="B41" s="5"/>
      <c r="C41" s="5">
        <v>641510</v>
      </c>
      <c r="D41" s="5"/>
      <c r="E41" s="5"/>
      <c r="F41" s="5">
        <v>0</v>
      </c>
      <c r="G41" s="5">
        <v>0</v>
      </c>
    </row>
    <row r="42" spans="1:7" ht="16.5" x14ac:dyDescent="0.25">
      <c r="A42" s="1" t="s">
        <v>35</v>
      </c>
      <c r="B42" s="5">
        <v>63</v>
      </c>
      <c r="C42" s="5">
        <v>105769</v>
      </c>
      <c r="D42" s="5"/>
      <c r="E42" s="5">
        <v>59320</v>
      </c>
      <c r="F42" s="5">
        <v>0</v>
      </c>
      <c r="G42" s="5">
        <v>0</v>
      </c>
    </row>
    <row r="43" spans="1:7" ht="16.5" x14ac:dyDescent="0.25">
      <c r="A43" s="1" t="s">
        <v>36</v>
      </c>
      <c r="B43" s="5">
        <v>691822</v>
      </c>
      <c r="C43" s="5">
        <v>882096</v>
      </c>
      <c r="D43" s="5">
        <v>530594</v>
      </c>
      <c r="E43" s="5">
        <v>1051822</v>
      </c>
      <c r="F43" s="5">
        <v>1255180</v>
      </c>
      <c r="G43" s="5">
        <v>1532790</v>
      </c>
    </row>
    <row r="44" spans="1:7" ht="16.5" x14ac:dyDescent="0.25">
      <c r="A44" s="1" t="s">
        <v>37</v>
      </c>
      <c r="B44" s="5">
        <v>105212</v>
      </c>
      <c r="C44" s="5">
        <v>318766</v>
      </c>
      <c r="D44" s="5">
        <v>16230</v>
      </c>
      <c r="E44" s="5"/>
      <c r="F44" s="5">
        <v>4186</v>
      </c>
      <c r="G44" s="5">
        <v>7652</v>
      </c>
    </row>
    <row r="45" spans="1:7" ht="16.5" x14ac:dyDescent="0.25">
      <c r="A45" s="1" t="s">
        <v>38</v>
      </c>
      <c r="B45" s="5">
        <v>648505</v>
      </c>
      <c r="C45" s="5"/>
      <c r="D45" s="5"/>
      <c r="E45" s="5">
        <v>-155601</v>
      </c>
      <c r="F45" s="5">
        <v>38012</v>
      </c>
      <c r="G45" s="5">
        <v>97554</v>
      </c>
    </row>
    <row r="46" spans="1:7" ht="16.5" x14ac:dyDescent="0.25">
      <c r="A46" s="2" t="s">
        <v>43</v>
      </c>
      <c r="B46" s="6">
        <f>+B40+B41-B42-B43-B44+B45</f>
        <v>-1172128</v>
      </c>
      <c r="C46" s="6">
        <f>+C40+C41-C42-C43-C44+C45</f>
        <v>-859521</v>
      </c>
      <c r="D46" s="6">
        <f>+D40+D41-D42-D43-D44+D45</f>
        <v>-2548207</v>
      </c>
      <c r="E46" s="6">
        <f>+E40+E41-E42-E43-E44+E45</f>
        <v>-5086851</v>
      </c>
      <c r="F46" s="6">
        <f t="shared" ref="F46" si="29">+F40+F41-F42-F43-F44+F45</f>
        <v>-4823946</v>
      </c>
      <c r="G46" s="6">
        <f>+G40+G41-G42-G43-G44+G45</f>
        <v>-6725599</v>
      </c>
    </row>
    <row r="47" spans="1:7" ht="16.5" x14ac:dyDescent="0.25">
      <c r="A47" s="1" t="s">
        <v>39</v>
      </c>
      <c r="B47" s="5">
        <v>79638</v>
      </c>
      <c r="C47" s="5">
        <v>697404</v>
      </c>
      <c r="D47" s="5">
        <v>3026</v>
      </c>
      <c r="E47" s="5">
        <v>7451</v>
      </c>
      <c r="F47" s="5"/>
      <c r="G47" s="5">
        <v>79871</v>
      </c>
    </row>
    <row r="48" spans="1:7" ht="16.5" x14ac:dyDescent="0.25">
      <c r="A48" s="1" t="s">
        <v>40</v>
      </c>
      <c r="B48" s="5">
        <v>496827</v>
      </c>
      <c r="C48" s="5">
        <v>1088000</v>
      </c>
      <c r="D48" s="5">
        <v>30275</v>
      </c>
      <c r="E48" s="5">
        <v>319148</v>
      </c>
      <c r="F48" s="5">
        <v>791916</v>
      </c>
      <c r="G48" s="5">
        <v>1029911</v>
      </c>
    </row>
    <row r="49" spans="1:7" ht="16.5" x14ac:dyDescent="0.25">
      <c r="A49" s="2" t="s">
        <v>44</v>
      </c>
      <c r="B49" s="6">
        <f>+B46+B47-B48</f>
        <v>-1589317</v>
      </c>
      <c r="C49" s="6">
        <f>+C46+C47-C48</f>
        <v>-1250117</v>
      </c>
      <c r="D49" s="6">
        <f>+D46+D47-D48</f>
        <v>-2575456</v>
      </c>
      <c r="E49" s="6">
        <f>+E46+E47-E48</f>
        <v>-5398548</v>
      </c>
      <c r="F49" s="6">
        <f t="shared" ref="F49" si="30">+F46+F47-F48</f>
        <v>-5615862</v>
      </c>
      <c r="G49" s="6">
        <f>+G46+G47-G48</f>
        <v>-7675639</v>
      </c>
    </row>
    <row r="50" spans="1:7" ht="16.5" x14ac:dyDescent="0.25">
      <c r="A50" s="1" t="s">
        <v>41</v>
      </c>
      <c r="B50" s="5">
        <v>-629734</v>
      </c>
      <c r="C50" s="5">
        <v>409613</v>
      </c>
      <c r="D50" s="5">
        <v>669201</v>
      </c>
      <c r="E50" s="5">
        <v>150507</v>
      </c>
      <c r="F50" s="5">
        <v>-74417</v>
      </c>
      <c r="G50" s="5">
        <v>232305</v>
      </c>
    </row>
    <row r="51" spans="1:7" ht="16.5" x14ac:dyDescent="0.25">
      <c r="A51" s="2" t="s">
        <v>45</v>
      </c>
      <c r="B51" s="6">
        <f>+B49-B50</f>
        <v>-959583</v>
      </c>
      <c r="C51" s="6">
        <f>+C49-C50</f>
        <v>-1659730</v>
      </c>
      <c r="D51" s="6">
        <f>+D49-D50</f>
        <v>-3244657</v>
      </c>
      <c r="E51" s="6">
        <f>+E49-E50</f>
        <v>-5549055</v>
      </c>
      <c r="F51" s="6">
        <f t="shared" ref="F51" si="31">+F49-F50</f>
        <v>-5541445</v>
      </c>
      <c r="G51" s="6">
        <f>+G49-G50</f>
        <v>-7907944</v>
      </c>
    </row>
    <row r="53" spans="1:7" ht="16.5" x14ac:dyDescent="0.25">
      <c r="A53" s="1" t="s">
        <v>46</v>
      </c>
      <c r="C53" s="5">
        <v>2571383</v>
      </c>
      <c r="D53" s="5">
        <v>1119941</v>
      </c>
      <c r="E53" s="5">
        <v>3753299</v>
      </c>
      <c r="F53" s="5">
        <v>3964613</v>
      </c>
      <c r="G53" s="5">
        <v>4432483</v>
      </c>
    </row>
    <row r="54" spans="1:7" ht="16.5" x14ac:dyDescent="0.25">
      <c r="A54" s="2" t="s">
        <v>47</v>
      </c>
      <c r="B54" s="6"/>
      <c r="C54" s="6">
        <f>+C46+C53</f>
        <v>1711862</v>
      </c>
      <c r="D54" s="6">
        <f t="shared" ref="D54:G54" si="32">+D46+D53</f>
        <v>-1428266</v>
      </c>
      <c r="E54" s="6">
        <f t="shared" si="32"/>
        <v>-1333552</v>
      </c>
      <c r="F54" s="6">
        <f t="shared" si="32"/>
        <v>-859333</v>
      </c>
      <c r="G54" s="6">
        <f t="shared" si="32"/>
        <v>-2293116</v>
      </c>
    </row>
    <row r="55" spans="1:7" ht="16.5" x14ac:dyDescent="0.25">
      <c r="A55" s="2"/>
      <c r="B55" s="2"/>
      <c r="C55" s="2"/>
      <c r="D55" s="2"/>
      <c r="E55" s="2"/>
      <c r="F55" s="2"/>
      <c r="G55" s="2"/>
    </row>
    <row r="56" spans="1:7" ht="16.5" x14ac:dyDescent="0.25">
      <c r="A56" s="1"/>
      <c r="B56" s="3">
        <v>2018</v>
      </c>
      <c r="C56" s="3">
        <v>2019</v>
      </c>
      <c r="D56" s="3">
        <v>2020</v>
      </c>
      <c r="E56" s="3">
        <v>2021</v>
      </c>
      <c r="F56" s="3">
        <v>2022</v>
      </c>
      <c r="G56" s="3">
        <v>2023</v>
      </c>
    </row>
    <row r="57" spans="1:7" ht="16.5" x14ac:dyDescent="0.25">
      <c r="A57" s="1" t="s">
        <v>71</v>
      </c>
      <c r="B57" s="13">
        <f>+B40/B38</f>
        <v>-7.1575783886357741E-2</v>
      </c>
      <c r="C57" s="13">
        <f t="shared" ref="C57:G57" si="33">+C40/C38</f>
        <v>-9.5599454807718219E-3</v>
      </c>
      <c r="D57" s="13">
        <f t="shared" si="33"/>
        <v>-0.9803631792957137</v>
      </c>
      <c r="E57" s="13">
        <f t="shared" si="33"/>
        <v>-0.26274824278324233</v>
      </c>
      <c r="F57" s="13">
        <f t="shared" si="33"/>
        <v>-0.21786333324020329</v>
      </c>
      <c r="G57" s="13">
        <f t="shared" si="33"/>
        <v>-0.26824318471181041</v>
      </c>
    </row>
    <row r="58" spans="1:7" ht="16.5" x14ac:dyDescent="0.25">
      <c r="A58" s="1" t="s">
        <v>72</v>
      </c>
      <c r="B58" s="13">
        <f>+B46/B38</f>
        <v>-8.1966809584761768E-2</v>
      </c>
      <c r="C58" s="13">
        <f t="shared" ref="C58:G58" si="34">+C46/C38</f>
        <v>-4.2268384257090931E-2</v>
      </c>
      <c r="D58" s="13">
        <f t="shared" si="34"/>
        <v>-1.2482210131811815</v>
      </c>
      <c r="E58" s="13">
        <f t="shared" si="34"/>
        <v>-0.34987522906425134</v>
      </c>
      <c r="F58" s="13">
        <f t="shared" si="34"/>
        <v>-0.29172355763037994</v>
      </c>
      <c r="G58" s="13">
        <f t="shared" si="34"/>
        <v>-0.34150951942185886</v>
      </c>
    </row>
    <row r="59" spans="1:7" ht="16.5" x14ac:dyDescent="0.25">
      <c r="A59" s="1" t="s">
        <v>73</v>
      </c>
      <c r="B59" s="13">
        <f>+B54/B38</f>
        <v>0</v>
      </c>
      <c r="C59" s="13">
        <f t="shared" ref="C59:G59" si="35">+C54/C38</f>
        <v>8.418367999282414E-2</v>
      </c>
      <c r="D59" s="13">
        <f t="shared" si="35"/>
        <v>-0.69962590700529181</v>
      </c>
      <c r="E59" s="13">
        <f t="shared" si="35"/>
        <v>-9.172213054187954E-2</v>
      </c>
      <c r="F59" s="13">
        <f t="shared" si="35"/>
        <v>-5.1967347882664376E-2</v>
      </c>
      <c r="G59" s="13">
        <f t="shared" si="35"/>
        <v>-0.11643883959459601</v>
      </c>
    </row>
    <row r="60" spans="1:7" ht="16.5" x14ac:dyDescent="0.25">
      <c r="A60" s="1" t="s">
        <v>74</v>
      </c>
      <c r="B60" s="13">
        <f>+B51/B38</f>
        <v>-6.7103556131902359E-2</v>
      </c>
      <c r="C60" s="13">
        <f t="shared" ref="C60:G60" si="36">+C51/C38</f>
        <v>-8.1620001609060785E-2</v>
      </c>
      <c r="D60" s="13">
        <f t="shared" si="36"/>
        <v>-1.5893720753319542</v>
      </c>
      <c r="E60" s="13">
        <f t="shared" si="36"/>
        <v>-0.38166576713474193</v>
      </c>
      <c r="F60" s="13">
        <f t="shared" si="36"/>
        <v>-0.33511362892807689</v>
      </c>
      <c r="G60" s="13">
        <f t="shared" si="36"/>
        <v>-0.4015461158262591</v>
      </c>
    </row>
    <row r="62" spans="1:7" ht="16.5" x14ac:dyDescent="0.25">
      <c r="A62" s="1" t="s">
        <v>75</v>
      </c>
      <c r="B62" s="5">
        <f>+B21</f>
        <v>1131138</v>
      </c>
      <c r="C62" s="5">
        <f t="shared" ref="C62:G62" si="37">+C21</f>
        <v>790090</v>
      </c>
      <c r="D62" s="5">
        <f t="shared" si="37"/>
        <v>916353</v>
      </c>
      <c r="E62" s="5">
        <f t="shared" si="37"/>
        <v>987571</v>
      </c>
      <c r="F62" s="5">
        <f t="shared" si="37"/>
        <v>65218</v>
      </c>
      <c r="G62" s="5">
        <f t="shared" si="37"/>
        <v>1017141</v>
      </c>
    </row>
    <row r="63" spans="1:7" ht="16.5" x14ac:dyDescent="0.25">
      <c r="A63" s="1" t="s">
        <v>76</v>
      </c>
      <c r="B63" s="5">
        <f>+B26</f>
        <v>4161630</v>
      </c>
      <c r="C63" s="5">
        <f t="shared" ref="C63:G63" si="38">+C26</f>
        <v>3397553</v>
      </c>
      <c r="D63" s="5">
        <f t="shared" si="38"/>
        <v>2713493</v>
      </c>
      <c r="E63" s="5">
        <f t="shared" si="38"/>
        <v>1784923</v>
      </c>
      <c r="F63" s="5">
        <f t="shared" si="38"/>
        <v>2005022</v>
      </c>
      <c r="G63" s="5">
        <f t="shared" si="38"/>
        <v>0</v>
      </c>
    </row>
    <row r="64" spans="1:7" ht="16.5" x14ac:dyDescent="0.25">
      <c r="A64" s="14" t="s">
        <v>77</v>
      </c>
      <c r="B64" s="6">
        <f>SUM(B62:B63)</f>
        <v>5292768</v>
      </c>
      <c r="C64" s="6">
        <f t="shared" ref="C64:G64" si="39">SUM(C62:C63)</f>
        <v>4187643</v>
      </c>
      <c r="D64" s="6">
        <f t="shared" si="39"/>
        <v>3629846</v>
      </c>
      <c r="E64" s="6">
        <f t="shared" si="39"/>
        <v>2772494</v>
      </c>
      <c r="F64" s="6">
        <f t="shared" si="39"/>
        <v>2070240</v>
      </c>
      <c r="G64" s="6">
        <f t="shared" si="39"/>
        <v>1017141</v>
      </c>
    </row>
    <row r="65" spans="1:7" ht="16.5" x14ac:dyDescent="0.25">
      <c r="A65" s="12" t="s">
        <v>78</v>
      </c>
      <c r="B65" s="5">
        <f>+B48</f>
        <v>496827</v>
      </c>
      <c r="C65" s="5">
        <f t="shared" ref="C65:G65" si="40">+C48</f>
        <v>1088000</v>
      </c>
      <c r="D65" s="5">
        <f t="shared" si="40"/>
        <v>30275</v>
      </c>
      <c r="E65" s="5">
        <f t="shared" si="40"/>
        <v>319148</v>
      </c>
      <c r="F65" s="5">
        <f t="shared" si="40"/>
        <v>791916</v>
      </c>
      <c r="G65" s="5">
        <f t="shared" si="40"/>
        <v>1029911</v>
      </c>
    </row>
    <row r="67" spans="1:7" ht="16.5" x14ac:dyDescent="0.25">
      <c r="A67" s="12" t="s">
        <v>79</v>
      </c>
      <c r="B67" s="5">
        <f>+B11+B12</f>
        <v>31244381</v>
      </c>
      <c r="C67" s="5">
        <f t="shared" ref="C67:G67" si="41">+C11+C12</f>
        <v>36902829</v>
      </c>
      <c r="D67" s="5">
        <f t="shared" si="41"/>
        <v>34842317</v>
      </c>
      <c r="E67" s="5">
        <f t="shared" si="41"/>
        <v>32927467</v>
      </c>
      <c r="F67" s="5">
        <f t="shared" si="41"/>
        <v>30654598</v>
      </c>
      <c r="G67" s="5">
        <f t="shared" si="41"/>
        <v>28558473</v>
      </c>
    </row>
  </sheetData>
  <pageMargins left="0.7" right="0.7" top="0.75" bottom="0.75" header="0.3" footer="0.3"/>
  <ignoredErrors>
    <ignoredError sqref="B10:G10 K13:O24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2025-05-19T23:08:50Z</dcterms:created>
  <dcterms:modified xsi:type="dcterms:W3CDTF">2025-05-20T02:53:28Z</dcterms:modified>
</cp:coreProperties>
</file>